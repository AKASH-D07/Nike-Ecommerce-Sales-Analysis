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besant\powerBI\projects\nike\"/>
    </mc:Choice>
  </mc:AlternateContent>
  <xr:revisionPtr revIDLastSave="0" documentId="13_ncr:1_{F0D4BBBD-7EF2-4409-A10F-3370AE92EF68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sales 1" sheetId="7" r:id="rId1"/>
    <sheet name="product" sheetId="5" r:id="rId2"/>
    <sheet name="customer" sheetId="6" r:id="rId3"/>
    <sheet name="Sales_Data" sheetId="1" r:id="rId4"/>
    <sheet name="Product_Master" sheetId="2" r:id="rId5"/>
    <sheet name="SHOES" sheetId="8" r:id="rId6"/>
    <sheet name="Customer_Data" sheetId="3" r:id="rId7"/>
  </sheets>
  <definedNames>
    <definedName name="_xlnm._FilterDatabase" localSheetId="3" hidden="1">Sales_Data!$A$1:$O$1201</definedName>
    <definedName name="ExternalData_1" localSheetId="2" hidden="1">customer!$A$1:$I$57</definedName>
    <definedName name="ExternalData_1" localSheetId="1" hidden="1">product!$A$1:$I$334</definedName>
    <definedName name="ExternalData_2" localSheetId="0" hidden="1">'sales 1'!$A$1:$Q$374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 a="1"/>
  <c r="K8" i="2" s="1"/>
  <c r="S4" i="7"/>
  <c r="S7" i="7"/>
  <c r="S13" i="7"/>
  <c r="S16" i="7"/>
  <c r="S19" i="7"/>
  <c r="S23" i="7"/>
  <c r="S24" i="7"/>
  <c r="S25" i="7"/>
  <c r="S28" i="7"/>
  <c r="S31" i="7"/>
  <c r="S37" i="7"/>
  <c r="S40" i="7"/>
  <c r="S43" i="7"/>
  <c r="S47" i="7"/>
  <c r="S48" i="7"/>
  <c r="S49" i="7"/>
  <c r="S52" i="7"/>
  <c r="S55" i="7"/>
  <c r="S59" i="7"/>
  <c r="S60" i="7"/>
  <c r="S61" i="7"/>
  <c r="S64" i="7"/>
  <c r="S67" i="7"/>
  <c r="S73" i="7"/>
  <c r="S76" i="7"/>
  <c r="S79" i="7"/>
  <c r="S83" i="7"/>
  <c r="S84" i="7"/>
  <c r="S85" i="7"/>
  <c r="S88" i="7"/>
  <c r="S91" i="7"/>
  <c r="S97" i="7"/>
  <c r="S100" i="7"/>
  <c r="S103" i="7"/>
  <c r="S107" i="7"/>
  <c r="S108" i="7"/>
  <c r="S109" i="7"/>
  <c r="S112" i="7"/>
  <c r="S115" i="7"/>
  <c r="S119" i="7"/>
  <c r="S121" i="7"/>
  <c r="S124" i="7"/>
  <c r="S127" i="7"/>
  <c r="S133" i="7"/>
  <c r="S136" i="7"/>
  <c r="S139" i="7"/>
  <c r="S143" i="7"/>
  <c r="S144" i="7"/>
  <c r="S145" i="7"/>
  <c r="S148" i="7"/>
  <c r="S151" i="7"/>
  <c r="S157" i="7"/>
  <c r="S160" i="7"/>
  <c r="S163" i="7"/>
  <c r="S167" i="7"/>
  <c r="S168" i="7"/>
  <c r="S169" i="7"/>
  <c r="S172" i="7"/>
  <c r="S175" i="7"/>
  <c r="S181" i="7"/>
  <c r="S184" i="7"/>
  <c r="S187" i="7"/>
  <c r="S191" i="7"/>
  <c r="S192" i="7"/>
  <c r="S193" i="7"/>
  <c r="S196" i="7"/>
  <c r="S199" i="7"/>
  <c r="S203" i="7"/>
  <c r="S204" i="7"/>
  <c r="S205" i="7"/>
  <c r="S208" i="7"/>
  <c r="S211" i="7"/>
  <c r="S217" i="7"/>
  <c r="S220" i="7"/>
  <c r="S223" i="7"/>
  <c r="S227" i="7"/>
  <c r="S228" i="7"/>
  <c r="S229" i="7"/>
  <c r="S232" i="7"/>
  <c r="S235" i="7"/>
  <c r="S241" i="7"/>
  <c r="S244" i="7"/>
  <c r="S247" i="7"/>
  <c r="S251" i="7"/>
  <c r="S252" i="7"/>
  <c r="S253" i="7"/>
  <c r="S256" i="7"/>
  <c r="S259" i="7"/>
  <c r="S263" i="7"/>
  <c r="S265" i="7"/>
  <c r="S268" i="7"/>
  <c r="S271" i="7"/>
  <c r="S277" i="7"/>
  <c r="S280" i="7"/>
  <c r="S283" i="7"/>
  <c r="S286" i="7"/>
  <c r="S287" i="7"/>
  <c r="S288" i="7"/>
  <c r="S289" i="7"/>
  <c r="S292" i="7"/>
  <c r="S295" i="7"/>
  <c r="S301" i="7"/>
  <c r="S304" i="7"/>
  <c r="S307" i="7"/>
  <c r="S310" i="7"/>
  <c r="S311" i="7"/>
  <c r="S312" i="7"/>
  <c r="S313" i="7"/>
  <c r="S316" i="7"/>
  <c r="S319" i="7"/>
  <c r="S325" i="7"/>
  <c r="S328" i="7"/>
  <c r="S331" i="7"/>
  <c r="S334" i="7"/>
  <c r="S335" i="7"/>
  <c r="S336" i="7"/>
  <c r="S337" i="7"/>
  <c r="S340" i="7"/>
  <c r="S343" i="7"/>
  <c r="S349" i="7"/>
  <c r="S352" i="7"/>
  <c r="S355" i="7"/>
  <c r="S358" i="7"/>
  <c r="S359" i="7"/>
  <c r="S360" i="7"/>
  <c r="S361" i="7"/>
  <c r="S364" i="7"/>
  <c r="S367" i="7"/>
  <c r="S373" i="7"/>
  <c r="R2" i="7"/>
  <c r="S2" i="7" s="1"/>
  <c r="R3" i="7"/>
  <c r="S3" i="7" s="1"/>
  <c r="R4" i="7"/>
  <c r="R5" i="7"/>
  <c r="S5" i="7" s="1"/>
  <c r="R6" i="7"/>
  <c r="S6" i="7" s="1"/>
  <c r="R7" i="7"/>
  <c r="R8" i="7"/>
  <c r="S8" i="7" s="1"/>
  <c r="R9" i="7"/>
  <c r="S9" i="7" s="1"/>
  <c r="R10" i="7"/>
  <c r="S10" i="7" s="1"/>
  <c r="R11" i="7"/>
  <c r="S11" i="7" s="1"/>
  <c r="R12" i="7"/>
  <c r="S12" i="7" s="1"/>
  <c r="R13" i="7"/>
  <c r="R14" i="7"/>
  <c r="S14" i="7" s="1"/>
  <c r="R15" i="7"/>
  <c r="S15" i="7" s="1"/>
  <c r="R16" i="7"/>
  <c r="R17" i="7"/>
  <c r="S17" i="7" s="1"/>
  <c r="R18" i="7"/>
  <c r="S18" i="7" s="1"/>
  <c r="R19" i="7"/>
  <c r="R20" i="7"/>
  <c r="S20" i="7" s="1"/>
  <c r="R21" i="7"/>
  <c r="S21" i="7" s="1"/>
  <c r="R22" i="7"/>
  <c r="S22" i="7" s="1"/>
  <c r="R23" i="7"/>
  <c r="R24" i="7"/>
  <c r="R25" i="7"/>
  <c r="R26" i="7"/>
  <c r="S26" i="7" s="1"/>
  <c r="R27" i="7"/>
  <c r="S27" i="7" s="1"/>
  <c r="R28" i="7"/>
  <c r="R29" i="7"/>
  <c r="S29" i="7" s="1"/>
  <c r="R30" i="7"/>
  <c r="S30" i="7" s="1"/>
  <c r="R31" i="7"/>
  <c r="R32" i="7"/>
  <c r="S32" i="7" s="1"/>
  <c r="R33" i="7"/>
  <c r="S33" i="7" s="1"/>
  <c r="R34" i="7"/>
  <c r="S34" i="7" s="1"/>
  <c r="R35" i="7"/>
  <c r="S35" i="7" s="1"/>
  <c r="R36" i="7"/>
  <c r="S36" i="7" s="1"/>
  <c r="R37" i="7"/>
  <c r="R38" i="7"/>
  <c r="S38" i="7" s="1"/>
  <c r="R39" i="7"/>
  <c r="S39" i="7" s="1"/>
  <c r="R40" i="7"/>
  <c r="R41" i="7"/>
  <c r="S41" i="7" s="1"/>
  <c r="R42" i="7"/>
  <c r="S42" i="7" s="1"/>
  <c r="R43" i="7"/>
  <c r="R44" i="7"/>
  <c r="S44" i="7" s="1"/>
  <c r="R45" i="7"/>
  <c r="S45" i="7" s="1"/>
  <c r="R46" i="7"/>
  <c r="S46" i="7" s="1"/>
  <c r="R47" i="7"/>
  <c r="R48" i="7"/>
  <c r="R49" i="7"/>
  <c r="R50" i="7"/>
  <c r="S50" i="7" s="1"/>
  <c r="R51" i="7"/>
  <c r="S51" i="7" s="1"/>
  <c r="R52" i="7"/>
  <c r="R53" i="7"/>
  <c r="S53" i="7" s="1"/>
  <c r="R54" i="7"/>
  <c r="S54" i="7" s="1"/>
  <c r="R55" i="7"/>
  <c r="R56" i="7"/>
  <c r="S56" i="7" s="1"/>
  <c r="R57" i="7"/>
  <c r="S57" i="7" s="1"/>
  <c r="R58" i="7"/>
  <c r="S58" i="7" s="1"/>
  <c r="R59" i="7"/>
  <c r="R60" i="7"/>
  <c r="R61" i="7"/>
  <c r="R62" i="7"/>
  <c r="S62" i="7" s="1"/>
  <c r="R63" i="7"/>
  <c r="S63" i="7" s="1"/>
  <c r="R64" i="7"/>
  <c r="R65" i="7"/>
  <c r="S65" i="7" s="1"/>
  <c r="R66" i="7"/>
  <c r="S66" i="7" s="1"/>
  <c r="R67" i="7"/>
  <c r="R68" i="7"/>
  <c r="S68" i="7" s="1"/>
  <c r="R69" i="7"/>
  <c r="S69" i="7" s="1"/>
  <c r="R70" i="7"/>
  <c r="S70" i="7" s="1"/>
  <c r="R71" i="7"/>
  <c r="S71" i="7" s="1"/>
  <c r="R72" i="7"/>
  <c r="S72" i="7" s="1"/>
  <c r="R73" i="7"/>
  <c r="R74" i="7"/>
  <c r="S74" i="7" s="1"/>
  <c r="R75" i="7"/>
  <c r="S75" i="7" s="1"/>
  <c r="R76" i="7"/>
  <c r="R77" i="7"/>
  <c r="S77" i="7" s="1"/>
  <c r="R78" i="7"/>
  <c r="S78" i="7" s="1"/>
  <c r="R79" i="7"/>
  <c r="R80" i="7"/>
  <c r="S80" i="7" s="1"/>
  <c r="R81" i="7"/>
  <c r="S81" i="7" s="1"/>
  <c r="R82" i="7"/>
  <c r="S82" i="7" s="1"/>
  <c r="R83" i="7"/>
  <c r="R84" i="7"/>
  <c r="R85" i="7"/>
  <c r="R86" i="7"/>
  <c r="S86" i="7" s="1"/>
  <c r="R87" i="7"/>
  <c r="S87" i="7" s="1"/>
  <c r="R88" i="7"/>
  <c r="R89" i="7"/>
  <c r="S89" i="7" s="1"/>
  <c r="R90" i="7"/>
  <c r="S90" i="7" s="1"/>
  <c r="R91" i="7"/>
  <c r="R92" i="7"/>
  <c r="S92" i="7" s="1"/>
  <c r="R93" i="7"/>
  <c r="S93" i="7" s="1"/>
  <c r="R94" i="7"/>
  <c r="S94" i="7" s="1"/>
  <c r="R95" i="7"/>
  <c r="S95" i="7" s="1"/>
  <c r="R96" i="7"/>
  <c r="S96" i="7" s="1"/>
  <c r="R97" i="7"/>
  <c r="R98" i="7"/>
  <c r="S98" i="7" s="1"/>
  <c r="R99" i="7"/>
  <c r="S99" i="7" s="1"/>
  <c r="R100" i="7"/>
  <c r="R101" i="7"/>
  <c r="S101" i="7" s="1"/>
  <c r="R102" i="7"/>
  <c r="S102" i="7" s="1"/>
  <c r="R103" i="7"/>
  <c r="R104" i="7"/>
  <c r="S104" i="7" s="1"/>
  <c r="R105" i="7"/>
  <c r="S105" i="7" s="1"/>
  <c r="R106" i="7"/>
  <c r="S106" i="7" s="1"/>
  <c r="R107" i="7"/>
  <c r="R108" i="7"/>
  <c r="R109" i="7"/>
  <c r="R110" i="7"/>
  <c r="S110" i="7" s="1"/>
  <c r="R111" i="7"/>
  <c r="S111" i="7" s="1"/>
  <c r="R112" i="7"/>
  <c r="R113" i="7"/>
  <c r="S113" i="7" s="1"/>
  <c r="R114" i="7"/>
  <c r="S114" i="7" s="1"/>
  <c r="R115" i="7"/>
  <c r="R116" i="7"/>
  <c r="S116" i="7" s="1"/>
  <c r="R117" i="7"/>
  <c r="S117" i="7" s="1"/>
  <c r="R118" i="7"/>
  <c r="S118" i="7" s="1"/>
  <c r="R119" i="7"/>
  <c r="R120" i="7"/>
  <c r="S120" i="7" s="1"/>
  <c r="R121" i="7"/>
  <c r="R122" i="7"/>
  <c r="S122" i="7" s="1"/>
  <c r="R123" i="7"/>
  <c r="S123" i="7" s="1"/>
  <c r="R124" i="7"/>
  <c r="R125" i="7"/>
  <c r="S125" i="7" s="1"/>
  <c r="R126" i="7"/>
  <c r="S126" i="7" s="1"/>
  <c r="R127" i="7"/>
  <c r="R128" i="7"/>
  <c r="S128" i="7" s="1"/>
  <c r="R129" i="7"/>
  <c r="S129" i="7" s="1"/>
  <c r="R130" i="7"/>
  <c r="S130" i="7" s="1"/>
  <c r="R131" i="7"/>
  <c r="S131" i="7" s="1"/>
  <c r="R132" i="7"/>
  <c r="S132" i="7" s="1"/>
  <c r="R133" i="7"/>
  <c r="R134" i="7"/>
  <c r="S134" i="7" s="1"/>
  <c r="R135" i="7"/>
  <c r="S135" i="7" s="1"/>
  <c r="R136" i="7"/>
  <c r="R137" i="7"/>
  <c r="S137" i="7" s="1"/>
  <c r="R138" i="7"/>
  <c r="S138" i="7" s="1"/>
  <c r="R139" i="7"/>
  <c r="R140" i="7"/>
  <c r="S140" i="7" s="1"/>
  <c r="R141" i="7"/>
  <c r="S141" i="7" s="1"/>
  <c r="R142" i="7"/>
  <c r="S142" i="7" s="1"/>
  <c r="R143" i="7"/>
  <c r="R144" i="7"/>
  <c r="R145" i="7"/>
  <c r="R146" i="7"/>
  <c r="S146" i="7" s="1"/>
  <c r="R147" i="7"/>
  <c r="S147" i="7" s="1"/>
  <c r="R148" i="7"/>
  <c r="R149" i="7"/>
  <c r="S149" i="7" s="1"/>
  <c r="R150" i="7"/>
  <c r="S150" i="7" s="1"/>
  <c r="R151" i="7"/>
  <c r="R152" i="7"/>
  <c r="S152" i="7" s="1"/>
  <c r="R153" i="7"/>
  <c r="S153" i="7" s="1"/>
  <c r="R154" i="7"/>
  <c r="S154" i="7" s="1"/>
  <c r="R155" i="7"/>
  <c r="S155" i="7" s="1"/>
  <c r="R156" i="7"/>
  <c r="S156" i="7" s="1"/>
  <c r="R157" i="7"/>
  <c r="R158" i="7"/>
  <c r="S158" i="7" s="1"/>
  <c r="R159" i="7"/>
  <c r="S159" i="7" s="1"/>
  <c r="R160" i="7"/>
  <c r="R161" i="7"/>
  <c r="S161" i="7" s="1"/>
  <c r="R162" i="7"/>
  <c r="S162" i="7" s="1"/>
  <c r="R163" i="7"/>
  <c r="R164" i="7"/>
  <c r="S164" i="7" s="1"/>
  <c r="R165" i="7"/>
  <c r="S165" i="7" s="1"/>
  <c r="R166" i="7"/>
  <c r="S166" i="7" s="1"/>
  <c r="R167" i="7"/>
  <c r="R168" i="7"/>
  <c r="R169" i="7"/>
  <c r="R170" i="7"/>
  <c r="S170" i="7" s="1"/>
  <c r="R171" i="7"/>
  <c r="S171" i="7" s="1"/>
  <c r="R172" i="7"/>
  <c r="R173" i="7"/>
  <c r="S173" i="7" s="1"/>
  <c r="R174" i="7"/>
  <c r="S174" i="7" s="1"/>
  <c r="R175" i="7"/>
  <c r="R176" i="7"/>
  <c r="S176" i="7" s="1"/>
  <c r="R177" i="7"/>
  <c r="S177" i="7" s="1"/>
  <c r="R178" i="7"/>
  <c r="S178" i="7" s="1"/>
  <c r="R179" i="7"/>
  <c r="S179" i="7" s="1"/>
  <c r="R180" i="7"/>
  <c r="S180" i="7" s="1"/>
  <c r="R181" i="7"/>
  <c r="R182" i="7"/>
  <c r="S182" i="7" s="1"/>
  <c r="R183" i="7"/>
  <c r="S183" i="7" s="1"/>
  <c r="R184" i="7"/>
  <c r="R185" i="7"/>
  <c r="S185" i="7" s="1"/>
  <c r="R186" i="7"/>
  <c r="S186" i="7" s="1"/>
  <c r="R187" i="7"/>
  <c r="R188" i="7"/>
  <c r="S188" i="7" s="1"/>
  <c r="R189" i="7"/>
  <c r="S189" i="7" s="1"/>
  <c r="R190" i="7"/>
  <c r="S190" i="7" s="1"/>
  <c r="R191" i="7"/>
  <c r="R192" i="7"/>
  <c r="R193" i="7"/>
  <c r="R194" i="7"/>
  <c r="S194" i="7" s="1"/>
  <c r="R195" i="7"/>
  <c r="S195" i="7" s="1"/>
  <c r="R196" i="7"/>
  <c r="R197" i="7"/>
  <c r="S197" i="7" s="1"/>
  <c r="R198" i="7"/>
  <c r="S198" i="7" s="1"/>
  <c r="R199" i="7"/>
  <c r="R200" i="7"/>
  <c r="S200" i="7" s="1"/>
  <c r="R201" i="7"/>
  <c r="S201" i="7" s="1"/>
  <c r="R202" i="7"/>
  <c r="S202" i="7" s="1"/>
  <c r="R203" i="7"/>
  <c r="R204" i="7"/>
  <c r="R205" i="7"/>
  <c r="R206" i="7"/>
  <c r="S206" i="7" s="1"/>
  <c r="R207" i="7"/>
  <c r="S207" i="7" s="1"/>
  <c r="R208" i="7"/>
  <c r="R209" i="7"/>
  <c r="S209" i="7" s="1"/>
  <c r="R210" i="7"/>
  <c r="S210" i="7" s="1"/>
  <c r="R211" i="7"/>
  <c r="R212" i="7"/>
  <c r="S212" i="7" s="1"/>
  <c r="R213" i="7"/>
  <c r="S213" i="7" s="1"/>
  <c r="R214" i="7"/>
  <c r="S214" i="7" s="1"/>
  <c r="R215" i="7"/>
  <c r="S215" i="7" s="1"/>
  <c r="R216" i="7"/>
  <c r="S216" i="7" s="1"/>
  <c r="R217" i="7"/>
  <c r="R218" i="7"/>
  <c r="S218" i="7" s="1"/>
  <c r="R219" i="7"/>
  <c r="S219" i="7" s="1"/>
  <c r="R220" i="7"/>
  <c r="R221" i="7"/>
  <c r="S221" i="7" s="1"/>
  <c r="R222" i="7"/>
  <c r="S222" i="7" s="1"/>
  <c r="R223" i="7"/>
  <c r="R224" i="7"/>
  <c r="S224" i="7" s="1"/>
  <c r="R225" i="7"/>
  <c r="S225" i="7" s="1"/>
  <c r="R226" i="7"/>
  <c r="S226" i="7" s="1"/>
  <c r="R227" i="7"/>
  <c r="R228" i="7"/>
  <c r="R229" i="7"/>
  <c r="R230" i="7"/>
  <c r="S230" i="7" s="1"/>
  <c r="R231" i="7"/>
  <c r="S231" i="7" s="1"/>
  <c r="R232" i="7"/>
  <c r="R233" i="7"/>
  <c r="S233" i="7" s="1"/>
  <c r="R234" i="7"/>
  <c r="S234" i="7" s="1"/>
  <c r="R235" i="7"/>
  <c r="R236" i="7"/>
  <c r="S236" i="7" s="1"/>
  <c r="R237" i="7"/>
  <c r="S237" i="7" s="1"/>
  <c r="R238" i="7"/>
  <c r="S238" i="7" s="1"/>
  <c r="R239" i="7"/>
  <c r="S239" i="7" s="1"/>
  <c r="R240" i="7"/>
  <c r="S240" i="7" s="1"/>
  <c r="R241" i="7"/>
  <c r="R242" i="7"/>
  <c r="S242" i="7" s="1"/>
  <c r="R243" i="7"/>
  <c r="S243" i="7" s="1"/>
  <c r="R244" i="7"/>
  <c r="R245" i="7"/>
  <c r="S245" i="7" s="1"/>
  <c r="R246" i="7"/>
  <c r="S246" i="7" s="1"/>
  <c r="R247" i="7"/>
  <c r="R248" i="7"/>
  <c r="S248" i="7" s="1"/>
  <c r="R249" i="7"/>
  <c r="S249" i="7" s="1"/>
  <c r="R250" i="7"/>
  <c r="S250" i="7" s="1"/>
  <c r="R251" i="7"/>
  <c r="R252" i="7"/>
  <c r="R253" i="7"/>
  <c r="R254" i="7"/>
  <c r="S254" i="7" s="1"/>
  <c r="R255" i="7"/>
  <c r="S255" i="7" s="1"/>
  <c r="R256" i="7"/>
  <c r="R257" i="7"/>
  <c r="S257" i="7" s="1"/>
  <c r="R258" i="7"/>
  <c r="S258" i="7" s="1"/>
  <c r="R259" i="7"/>
  <c r="R260" i="7"/>
  <c r="S260" i="7" s="1"/>
  <c r="R261" i="7"/>
  <c r="S261" i="7" s="1"/>
  <c r="R262" i="7"/>
  <c r="S262" i="7" s="1"/>
  <c r="R263" i="7"/>
  <c r="R264" i="7"/>
  <c r="S264" i="7" s="1"/>
  <c r="R265" i="7"/>
  <c r="R266" i="7"/>
  <c r="S266" i="7" s="1"/>
  <c r="R267" i="7"/>
  <c r="S267" i="7" s="1"/>
  <c r="R268" i="7"/>
  <c r="R269" i="7"/>
  <c r="S269" i="7" s="1"/>
  <c r="R270" i="7"/>
  <c r="S270" i="7" s="1"/>
  <c r="R271" i="7"/>
  <c r="R272" i="7"/>
  <c r="S272" i="7" s="1"/>
  <c r="R273" i="7"/>
  <c r="S273" i="7" s="1"/>
  <c r="R274" i="7"/>
  <c r="S274" i="7" s="1"/>
  <c r="R275" i="7"/>
  <c r="S275" i="7" s="1"/>
  <c r="R276" i="7"/>
  <c r="S276" i="7" s="1"/>
  <c r="R277" i="7"/>
  <c r="R278" i="7"/>
  <c r="S278" i="7" s="1"/>
  <c r="R279" i="7"/>
  <c r="S279" i="7" s="1"/>
  <c r="R280" i="7"/>
  <c r="R281" i="7"/>
  <c r="S281" i="7" s="1"/>
  <c r="R282" i="7"/>
  <c r="S282" i="7" s="1"/>
  <c r="R283" i="7"/>
  <c r="R284" i="7"/>
  <c r="S284" i="7" s="1"/>
  <c r="R285" i="7"/>
  <c r="S285" i="7" s="1"/>
  <c r="R286" i="7"/>
  <c r="R287" i="7"/>
  <c r="R288" i="7"/>
  <c r="R289" i="7"/>
  <c r="R290" i="7"/>
  <c r="S290" i="7" s="1"/>
  <c r="R291" i="7"/>
  <c r="S291" i="7" s="1"/>
  <c r="R292" i="7"/>
  <c r="R293" i="7"/>
  <c r="S293" i="7" s="1"/>
  <c r="R294" i="7"/>
  <c r="S294" i="7" s="1"/>
  <c r="R295" i="7"/>
  <c r="R296" i="7"/>
  <c r="S296" i="7" s="1"/>
  <c r="R297" i="7"/>
  <c r="S297" i="7" s="1"/>
  <c r="R298" i="7"/>
  <c r="S298" i="7" s="1"/>
  <c r="R299" i="7"/>
  <c r="S299" i="7" s="1"/>
  <c r="R300" i="7"/>
  <c r="S300" i="7" s="1"/>
  <c r="R301" i="7"/>
  <c r="R302" i="7"/>
  <c r="S302" i="7" s="1"/>
  <c r="R303" i="7"/>
  <c r="S303" i="7" s="1"/>
  <c r="R304" i="7"/>
  <c r="R305" i="7"/>
  <c r="S305" i="7" s="1"/>
  <c r="R306" i="7"/>
  <c r="S306" i="7" s="1"/>
  <c r="R307" i="7"/>
  <c r="R308" i="7"/>
  <c r="S308" i="7" s="1"/>
  <c r="R309" i="7"/>
  <c r="S309" i="7" s="1"/>
  <c r="R310" i="7"/>
  <c r="R311" i="7"/>
  <c r="R312" i="7"/>
  <c r="R313" i="7"/>
  <c r="R314" i="7"/>
  <c r="S314" i="7" s="1"/>
  <c r="R315" i="7"/>
  <c r="S315" i="7" s="1"/>
  <c r="R316" i="7"/>
  <c r="R317" i="7"/>
  <c r="S317" i="7" s="1"/>
  <c r="R318" i="7"/>
  <c r="S318" i="7" s="1"/>
  <c r="R319" i="7"/>
  <c r="R320" i="7"/>
  <c r="S320" i="7" s="1"/>
  <c r="R321" i="7"/>
  <c r="S321" i="7" s="1"/>
  <c r="R322" i="7"/>
  <c r="S322" i="7" s="1"/>
  <c r="R323" i="7"/>
  <c r="S323" i="7" s="1"/>
  <c r="R324" i="7"/>
  <c r="S324" i="7" s="1"/>
  <c r="R325" i="7"/>
  <c r="R326" i="7"/>
  <c r="S326" i="7" s="1"/>
  <c r="R327" i="7"/>
  <c r="S327" i="7" s="1"/>
  <c r="R328" i="7"/>
  <c r="R329" i="7"/>
  <c r="S329" i="7" s="1"/>
  <c r="R330" i="7"/>
  <c r="S330" i="7" s="1"/>
  <c r="R331" i="7"/>
  <c r="R332" i="7"/>
  <c r="S332" i="7" s="1"/>
  <c r="R333" i="7"/>
  <c r="S333" i="7" s="1"/>
  <c r="R334" i="7"/>
  <c r="R335" i="7"/>
  <c r="R336" i="7"/>
  <c r="R337" i="7"/>
  <c r="R338" i="7"/>
  <c r="S338" i="7" s="1"/>
  <c r="R339" i="7"/>
  <c r="S339" i="7" s="1"/>
  <c r="R340" i="7"/>
  <c r="R341" i="7"/>
  <c r="S341" i="7" s="1"/>
  <c r="R342" i="7"/>
  <c r="S342" i="7" s="1"/>
  <c r="R343" i="7"/>
  <c r="R344" i="7"/>
  <c r="S344" i="7" s="1"/>
  <c r="R345" i="7"/>
  <c r="S345" i="7" s="1"/>
  <c r="R346" i="7"/>
  <c r="S346" i="7" s="1"/>
  <c r="R347" i="7"/>
  <c r="S347" i="7" s="1"/>
  <c r="R348" i="7"/>
  <c r="S348" i="7" s="1"/>
  <c r="R349" i="7"/>
  <c r="R350" i="7"/>
  <c r="S350" i="7" s="1"/>
  <c r="R351" i="7"/>
  <c r="S351" i="7" s="1"/>
  <c r="R352" i="7"/>
  <c r="R353" i="7"/>
  <c r="S353" i="7" s="1"/>
  <c r="R354" i="7"/>
  <c r="S354" i="7" s="1"/>
  <c r="R355" i="7"/>
  <c r="R356" i="7"/>
  <c r="S356" i="7" s="1"/>
  <c r="R357" i="7"/>
  <c r="S357" i="7" s="1"/>
  <c r="R358" i="7"/>
  <c r="R359" i="7"/>
  <c r="R360" i="7"/>
  <c r="R361" i="7"/>
  <c r="R362" i="7"/>
  <c r="S362" i="7" s="1"/>
  <c r="R363" i="7"/>
  <c r="S363" i="7" s="1"/>
  <c r="R364" i="7"/>
  <c r="R365" i="7"/>
  <c r="S365" i="7" s="1"/>
  <c r="R366" i="7"/>
  <c r="S366" i="7" s="1"/>
  <c r="R367" i="7"/>
  <c r="R368" i="7"/>
  <c r="S368" i="7" s="1"/>
  <c r="R369" i="7"/>
  <c r="S369" i="7" s="1"/>
  <c r="R370" i="7"/>
  <c r="S370" i="7" s="1"/>
  <c r="R371" i="7"/>
  <c r="S371" i="7" s="1"/>
  <c r="R372" i="7"/>
  <c r="S372" i="7" s="1"/>
  <c r="R373" i="7"/>
  <c r="R374" i="7"/>
  <c r="S374" i="7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3" i="1"/>
  <c r="C4" i="1"/>
  <c r="C5" i="1"/>
  <c r="C6" i="1"/>
  <c r="C7" i="1"/>
  <c r="C8" i="1"/>
  <c r="C2" i="1"/>
  <c r="J78" i="5"/>
  <c r="J78" i="5" a="1"/>
  <c r="J69" i="5"/>
  <c r="J69" i="5" a="1"/>
  <c r="J86" i="5"/>
  <c r="J86" i="5" a="1"/>
  <c r="J96" i="5"/>
  <c r="J96" i="5" a="1"/>
  <c r="J80" i="5"/>
  <c r="J80" i="5" a="1"/>
  <c r="J312" i="5"/>
  <c r="J312" i="5" a="1"/>
  <c r="J163" i="5"/>
  <c r="J163" i="5" a="1"/>
  <c r="J310" i="5"/>
  <c r="J310" i="5" a="1"/>
  <c r="J122" i="5"/>
  <c r="J122" i="5" a="1"/>
  <c r="J153" i="5"/>
  <c r="J153" i="5" a="1"/>
  <c r="J285" i="5"/>
  <c r="J285" i="5" a="1"/>
  <c r="J34" i="5"/>
  <c r="J34" i="5" a="1"/>
  <c r="J168" i="5"/>
  <c r="J168" i="5" a="1"/>
  <c r="J303" i="5"/>
  <c r="J303" i="5" a="1"/>
  <c r="J180" i="5"/>
  <c r="J180" i="5" a="1"/>
  <c r="J44" i="5"/>
  <c r="J44" i="5" a="1"/>
  <c r="J235" i="5"/>
  <c r="J235" i="5" a="1"/>
  <c r="J60" i="5"/>
  <c r="J60" i="5" a="1"/>
  <c r="J175" i="5"/>
  <c r="J175" i="5" a="1"/>
  <c r="J114" i="5"/>
  <c r="J114" i="5" a="1"/>
  <c r="J214" i="5"/>
  <c r="J214" i="5" a="1"/>
  <c r="J141" i="5"/>
  <c r="J141" i="5" a="1"/>
  <c r="J50" i="5"/>
  <c r="J50" i="5" a="1"/>
  <c r="J43" i="5"/>
  <c r="J43" i="5" a="1"/>
  <c r="J203" i="5"/>
  <c r="J203" i="5" a="1"/>
  <c r="J179" i="5"/>
  <c r="J179" i="5" a="1"/>
  <c r="J161" i="5"/>
  <c r="J161" i="5" a="1"/>
  <c r="J8" i="5"/>
  <c r="J8" i="5" a="1"/>
  <c r="J67" i="5"/>
  <c r="J67" i="5" a="1"/>
  <c r="J150" i="5"/>
  <c r="J150" i="5" a="1"/>
  <c r="J146" i="5"/>
  <c r="J146" i="5" a="1"/>
  <c r="J28" i="5"/>
  <c r="J28" i="5" a="1"/>
  <c r="J188" i="5"/>
  <c r="J188" i="5" a="1"/>
  <c r="J300" i="5"/>
  <c r="J300" i="5" a="1"/>
  <c r="J301" i="5"/>
  <c r="J301" i="5" a="1"/>
  <c r="J105" i="5"/>
  <c r="J105" i="5" a="1"/>
  <c r="J259" i="5"/>
  <c r="J259" i="5" a="1"/>
  <c r="J271" i="5"/>
  <c r="J271" i="5" a="1"/>
  <c r="J262" i="5"/>
  <c r="J262" i="5" a="1"/>
  <c r="J7" i="5"/>
  <c r="J7" i="5" a="1"/>
  <c r="J151" i="5"/>
  <c r="J151" i="5" a="1"/>
  <c r="J221" i="5"/>
  <c r="J221" i="5" a="1"/>
  <c r="J283" i="5"/>
  <c r="J283" i="5" a="1"/>
  <c r="J93" i="5"/>
  <c r="J93" i="5" a="1"/>
  <c r="J253" i="5"/>
  <c r="J253" i="5" a="1"/>
  <c r="J22" i="5"/>
  <c r="J22" i="5" a="1"/>
  <c r="J176" i="5"/>
  <c r="J176" i="5" a="1"/>
  <c r="J111" i="5"/>
  <c r="J111" i="5" a="1"/>
  <c r="J279" i="5"/>
  <c r="J279" i="5" a="1"/>
  <c r="J13" i="5"/>
  <c r="J13" i="5" a="1"/>
  <c r="J272" i="5"/>
  <c r="J272" i="5" a="1"/>
  <c r="J32" i="5"/>
  <c r="J32" i="5" a="1"/>
  <c r="J183" i="5"/>
  <c r="J183" i="5" a="1"/>
  <c r="J20" i="5"/>
  <c r="J20" i="5" a="1"/>
  <c r="J144" i="5"/>
  <c r="J144" i="5" a="1"/>
  <c r="J330" i="5"/>
  <c r="J330" i="5" a="1"/>
  <c r="J91" i="5"/>
  <c r="J91" i="5" a="1"/>
  <c r="J11" i="5"/>
  <c r="J11" i="5" a="1"/>
  <c r="J239" i="5"/>
  <c r="J239" i="5" a="1"/>
  <c r="J109" i="5"/>
  <c r="J109" i="5" a="1"/>
  <c r="J334" i="5"/>
  <c r="J334" i="5" a="1"/>
  <c r="J225" i="5"/>
  <c r="J225" i="5" a="1"/>
  <c r="J256" i="5"/>
  <c r="J256" i="5" a="1"/>
  <c r="J132" i="5"/>
  <c r="J132" i="5" a="1"/>
  <c r="J173" i="5"/>
  <c r="J173" i="5" a="1"/>
  <c r="J135" i="5"/>
  <c r="J135" i="5" a="1"/>
  <c r="J106" i="5"/>
  <c r="J106" i="5" a="1"/>
  <c r="J84" i="5"/>
  <c r="J84" i="5" a="1"/>
  <c r="J190" i="5"/>
  <c r="J190" i="5" a="1"/>
  <c r="J317" i="5"/>
  <c r="J317" i="5" a="1"/>
  <c r="J90" i="5"/>
  <c r="J90" i="5" a="1"/>
  <c r="J159" i="5"/>
  <c r="J159" i="5" a="1"/>
  <c r="J220" i="5"/>
  <c r="J220" i="5" a="1"/>
  <c r="J204" i="5"/>
  <c r="J204" i="5" a="1"/>
  <c r="J118" i="5"/>
  <c r="J118" i="5" a="1"/>
  <c r="J33" i="5"/>
  <c r="J33" i="5" a="1"/>
  <c r="J187" i="5"/>
  <c r="J187" i="5" a="1"/>
  <c r="J26" i="5"/>
  <c r="J26" i="5" a="1"/>
  <c r="J329" i="5"/>
  <c r="J329" i="5" a="1"/>
  <c r="J128" i="5"/>
  <c r="J128" i="5" a="1"/>
  <c r="J255" i="5"/>
  <c r="J255" i="5" a="1"/>
  <c r="J323" i="5"/>
  <c r="J323" i="5" a="1"/>
  <c r="J98" i="5"/>
  <c r="J98" i="5" a="1"/>
  <c r="J149" i="5"/>
  <c r="J149" i="5" a="1"/>
  <c r="J242" i="5"/>
  <c r="J242" i="5" a="1"/>
  <c r="J77" i="5"/>
  <c r="J77" i="5" a="1"/>
  <c r="J99" i="5"/>
  <c r="J99" i="5" a="1"/>
  <c r="J281" i="5"/>
  <c r="J281" i="5" a="1"/>
  <c r="J10" i="5"/>
  <c r="J10" i="5" a="1"/>
  <c r="J6" i="5"/>
  <c r="J6" i="5" a="1"/>
  <c r="J29" i="5"/>
  <c r="J29" i="5" a="1"/>
  <c r="J254" i="5"/>
  <c r="J254" i="5" a="1"/>
  <c r="J76" i="5"/>
  <c r="J76" i="5" a="1"/>
  <c r="J185" i="5"/>
  <c r="J185" i="5" a="1"/>
  <c r="J189" i="5"/>
  <c r="J189" i="5" a="1"/>
  <c r="J229" i="5"/>
  <c r="J229" i="5" a="1"/>
  <c r="J194" i="5"/>
  <c r="J194" i="5" a="1"/>
  <c r="J171" i="5"/>
  <c r="J171" i="5" a="1"/>
  <c r="J66" i="5"/>
  <c r="J66" i="5" a="1"/>
  <c r="J219" i="5"/>
  <c r="J219" i="5" a="1"/>
  <c r="J247" i="5"/>
  <c r="J247" i="5" a="1"/>
  <c r="J286" i="5"/>
  <c r="J286" i="5" a="1"/>
  <c r="J278" i="5"/>
  <c r="J278" i="5" a="1"/>
  <c r="J65" i="5"/>
  <c r="J65" i="5" a="1"/>
  <c r="J104" i="5"/>
  <c r="J104" i="5" a="1"/>
  <c r="J121" i="5"/>
  <c r="J121" i="5" a="1"/>
  <c r="J257" i="5"/>
  <c r="J257" i="5" a="1"/>
  <c r="J306" i="5"/>
  <c r="J306" i="5" a="1"/>
  <c r="J15" i="5"/>
  <c r="J15" i="5" a="1"/>
  <c r="J72" i="5"/>
  <c r="J72" i="5" a="1"/>
  <c r="J172" i="5"/>
  <c r="J172" i="5" a="1"/>
  <c r="J193" i="5"/>
  <c r="J193" i="5" a="1"/>
  <c r="J326" i="5"/>
  <c r="J326" i="5" a="1"/>
  <c r="J223" i="5"/>
  <c r="J223" i="5" a="1"/>
  <c r="J321" i="5"/>
  <c r="J321" i="5" a="1"/>
  <c r="J307" i="5"/>
  <c r="J307" i="5" a="1"/>
  <c r="J94" i="5"/>
  <c r="J94" i="5" a="1"/>
  <c r="J270" i="5"/>
  <c r="J270" i="5" a="1"/>
  <c r="J227" i="5"/>
  <c r="J227" i="5" a="1"/>
  <c r="J231" i="5"/>
  <c r="J231" i="5" a="1"/>
  <c r="J314" i="5"/>
  <c r="J314" i="5" a="1"/>
  <c r="J315" i="5"/>
  <c r="J315" i="5" a="1"/>
  <c r="J304" i="5"/>
  <c r="J304" i="5" a="1"/>
  <c r="J332" i="5"/>
  <c r="J332" i="5" a="1"/>
  <c r="J157" i="5"/>
  <c r="J157" i="5" a="1"/>
  <c r="J59" i="5"/>
  <c r="J59" i="5" a="1"/>
  <c r="J74" i="5"/>
  <c r="J74" i="5" a="1"/>
  <c r="J245" i="5"/>
  <c r="J245" i="5" a="1"/>
  <c r="J277" i="5"/>
  <c r="J277" i="5" a="1"/>
  <c r="J333" i="5"/>
  <c r="J333" i="5" a="1"/>
  <c r="J136" i="5"/>
  <c r="J136" i="5" a="1"/>
  <c r="J299" i="5"/>
  <c r="J299" i="5" a="1"/>
  <c r="J134" i="5"/>
  <c r="J134" i="5" a="1"/>
  <c r="J83" i="5"/>
  <c r="J83" i="5" a="1"/>
  <c r="J31" i="5"/>
  <c r="J31" i="5" a="1"/>
  <c r="J181" i="5"/>
  <c r="J181" i="5" a="1"/>
  <c r="J92" i="5"/>
  <c r="J92" i="5" a="1"/>
  <c r="J58" i="5"/>
  <c r="J58" i="5" a="1"/>
  <c r="J129" i="5"/>
  <c r="J129" i="5" a="1"/>
  <c r="J110" i="5"/>
  <c r="J110" i="5" a="1"/>
  <c r="J56" i="5"/>
  <c r="J56" i="5" a="1"/>
  <c r="J169" i="5"/>
  <c r="J169" i="5" a="1"/>
  <c r="J95" i="5"/>
  <c r="J95" i="5" a="1"/>
  <c r="J3" i="5"/>
  <c r="J3" i="5" a="1"/>
  <c r="J131" i="5"/>
  <c r="J131" i="5" a="1"/>
  <c r="J297" i="5"/>
  <c r="J297" i="5" a="1"/>
  <c r="J264" i="5"/>
  <c r="J264" i="5" a="1"/>
  <c r="J212" i="5"/>
  <c r="J212" i="5" a="1"/>
  <c r="J305" i="5"/>
  <c r="J305" i="5" a="1"/>
  <c r="J322" i="5"/>
  <c r="J322" i="5" a="1"/>
  <c r="J207" i="5"/>
  <c r="J207" i="5" a="1"/>
  <c r="J142" i="5"/>
  <c r="J142" i="5" a="1"/>
  <c r="J249" i="5"/>
  <c r="J249" i="5" a="1"/>
  <c r="J230" i="5"/>
  <c r="J230" i="5" a="1"/>
  <c r="J55" i="5"/>
  <c r="J55" i="5" a="1"/>
  <c r="J16" i="5"/>
  <c r="J16" i="5" a="1"/>
  <c r="J79" i="5"/>
  <c r="J79" i="5" a="1"/>
  <c r="J89" i="5"/>
  <c r="J89" i="5" a="1"/>
  <c r="J87" i="5"/>
  <c r="J87" i="5" a="1"/>
  <c r="J155" i="5"/>
  <c r="J155" i="5" a="1"/>
  <c r="J274" i="5"/>
  <c r="J274" i="5" a="1"/>
  <c r="J170" i="5"/>
  <c r="J170" i="5" a="1"/>
  <c r="J211" i="5"/>
  <c r="J211" i="5" a="1"/>
  <c r="J4" i="5"/>
  <c r="J4" i="5" a="1"/>
  <c r="J162" i="5"/>
  <c r="J162" i="5" a="1"/>
  <c r="J140" i="5"/>
  <c r="J140" i="5" a="1"/>
  <c r="J208" i="5"/>
  <c r="J208" i="5" a="1"/>
  <c r="J218" i="5"/>
  <c r="J218" i="5" a="1"/>
  <c r="J41" i="5"/>
  <c r="J41" i="5" a="1"/>
  <c r="J327" i="5"/>
  <c r="J327" i="5" a="1"/>
  <c r="J206" i="5"/>
  <c r="J206" i="5" a="1"/>
  <c r="J228" i="5"/>
  <c r="J228" i="5" a="1"/>
  <c r="J24" i="5"/>
  <c r="J24" i="5" a="1"/>
  <c r="J82" i="5"/>
  <c r="J82" i="5" a="1"/>
  <c r="J112" i="5"/>
  <c r="J112" i="5" a="1"/>
  <c r="J23" i="5"/>
  <c r="J23" i="5" a="1"/>
  <c r="J61" i="5"/>
  <c r="J61" i="5" a="1"/>
  <c r="J36" i="5"/>
  <c r="J36" i="5" a="1"/>
  <c r="J251" i="5"/>
  <c r="J251" i="5" a="1"/>
  <c r="J296" i="5"/>
  <c r="J296" i="5" a="1"/>
  <c r="J201" i="5"/>
  <c r="J201" i="5" a="1"/>
  <c r="J158" i="5"/>
  <c r="J158" i="5" a="1"/>
  <c r="J40" i="5"/>
  <c r="J40" i="5" a="1"/>
  <c r="J85" i="5"/>
  <c r="J85" i="5" a="1"/>
  <c r="J237" i="5"/>
  <c r="J237" i="5" a="1"/>
  <c r="J45" i="5"/>
  <c r="J45" i="5" a="1"/>
  <c r="J224" i="5"/>
  <c r="J224" i="5" a="1"/>
  <c r="J202" i="5"/>
  <c r="J202" i="5" a="1"/>
  <c r="J108" i="5"/>
  <c r="J108" i="5" a="1"/>
  <c r="J62" i="5"/>
  <c r="J62" i="5" a="1"/>
  <c r="J52" i="5"/>
  <c r="J52" i="5" a="1"/>
  <c r="J97" i="5"/>
  <c r="J97" i="5" a="1"/>
  <c r="J39" i="5"/>
  <c r="J39" i="5" a="1"/>
  <c r="J101" i="5"/>
  <c r="J101" i="5" a="1"/>
  <c r="J68" i="5"/>
  <c r="J68" i="5" a="1"/>
  <c r="J240" i="5"/>
  <c r="J240" i="5" a="1"/>
  <c r="J325" i="5"/>
  <c r="J325" i="5" a="1"/>
  <c r="J261" i="5"/>
  <c r="J261" i="5" a="1"/>
  <c r="J75" i="5"/>
  <c r="J75" i="5" a="1"/>
  <c r="J143" i="5"/>
  <c r="J143" i="5" a="1"/>
  <c r="J19" i="5"/>
  <c r="J19" i="5" a="1"/>
  <c r="J276" i="5"/>
  <c r="J276" i="5" a="1"/>
  <c r="J287" i="5"/>
  <c r="J287" i="5" a="1"/>
  <c r="J133" i="5"/>
  <c r="J133" i="5" a="1"/>
  <c r="J210" i="5"/>
  <c r="J210" i="5" a="1"/>
  <c r="J27" i="5"/>
  <c r="J27" i="5" a="1"/>
  <c r="J51" i="5"/>
  <c r="J51" i="5" a="1"/>
  <c r="J328" i="5"/>
  <c r="J328" i="5" a="1"/>
  <c r="J199" i="5"/>
  <c r="J199" i="5" a="1"/>
  <c r="J316" i="5"/>
  <c r="J316" i="5" a="1"/>
  <c r="J174" i="5"/>
  <c r="J174" i="5" a="1"/>
  <c r="J217" i="5"/>
  <c r="J217" i="5" a="1"/>
  <c r="J196" i="5"/>
  <c r="J196" i="5" a="1"/>
  <c r="J71" i="5"/>
  <c r="J71" i="5" a="1"/>
  <c r="J205" i="5"/>
  <c r="J205" i="5" a="1"/>
  <c r="J191" i="5"/>
  <c r="J191" i="5" a="1"/>
  <c r="J233" i="5"/>
  <c r="J233" i="5" a="1"/>
  <c r="J148" i="5"/>
  <c r="J148" i="5" a="1"/>
  <c r="J266" i="5"/>
  <c r="J266" i="5" a="1"/>
  <c r="J47" i="5"/>
  <c r="J47" i="5" a="1"/>
  <c r="J309" i="5"/>
  <c r="J309" i="5" a="1"/>
  <c r="J241" i="5"/>
  <c r="J241" i="5" a="1"/>
  <c r="J88" i="5"/>
  <c r="J88" i="5" a="1"/>
  <c r="J57" i="5"/>
  <c r="J57" i="5" a="1"/>
  <c r="J216" i="5"/>
  <c r="J216" i="5" a="1"/>
  <c r="J160" i="5"/>
  <c r="J160" i="5" a="1"/>
  <c r="J319" i="5"/>
  <c r="J319" i="5" a="1"/>
  <c r="J268" i="5"/>
  <c r="J268" i="5" a="1"/>
  <c r="J14" i="5"/>
  <c r="J14" i="5" a="1"/>
  <c r="J120" i="5"/>
  <c r="J120" i="5" a="1"/>
  <c r="J252" i="5"/>
  <c r="J252" i="5" a="1"/>
  <c r="J273" i="5"/>
  <c r="J273" i="5" a="1"/>
  <c r="J198" i="5"/>
  <c r="J198" i="5" a="1"/>
  <c r="J64" i="5"/>
  <c r="J64" i="5" a="1"/>
  <c r="J156" i="5"/>
  <c r="J156" i="5" a="1"/>
  <c r="J30" i="5"/>
  <c r="J30" i="5" a="1"/>
  <c r="J5" i="5"/>
  <c r="J5" i="5" a="1"/>
  <c r="J2" i="5"/>
  <c r="J184" i="5"/>
  <c r="J184" i="5" a="1"/>
  <c r="J38" i="5"/>
  <c r="J38" i="5" a="1"/>
  <c r="J260" i="5"/>
  <c r="J260" i="5" a="1"/>
  <c r="J236" i="5"/>
  <c r="J236" i="5" a="1"/>
  <c r="J117" i="5"/>
  <c r="J117" i="5" a="1"/>
  <c r="J17" i="5"/>
  <c r="J17" i="5" a="1"/>
  <c r="J226" i="5"/>
  <c r="J226" i="5" a="1"/>
  <c r="J178" i="5"/>
  <c r="J178" i="5" a="1"/>
  <c r="J145" i="5"/>
  <c r="J145" i="5" a="1"/>
  <c r="J164" i="5"/>
  <c r="J164" i="5" a="1"/>
  <c r="J186" i="5"/>
  <c r="J186" i="5" a="1"/>
  <c r="J107" i="5"/>
  <c r="J107" i="5" a="1"/>
  <c r="J182" i="5"/>
  <c r="J182" i="5" a="1"/>
  <c r="J37" i="5"/>
  <c r="J37" i="5" a="1"/>
  <c r="J250" i="5"/>
  <c r="J250" i="5" a="1"/>
  <c r="J246" i="5"/>
  <c r="J246" i="5" a="1"/>
  <c r="J21" i="5"/>
  <c r="J21" i="5" a="1"/>
  <c r="J123" i="5"/>
  <c r="J123" i="5" a="1"/>
  <c r="J280" i="5"/>
  <c r="J280" i="5" a="1"/>
  <c r="J130" i="5"/>
  <c r="J130" i="5" a="1"/>
  <c r="J293" i="5"/>
  <c r="J293" i="5" a="1"/>
  <c r="J49" i="5"/>
  <c r="J49" i="5" a="1"/>
  <c r="J166" i="5"/>
  <c r="J166" i="5" a="1"/>
  <c r="J116" i="5"/>
  <c r="J116" i="5" a="1"/>
  <c r="J103" i="5"/>
  <c r="J103" i="5" a="1"/>
  <c r="J70" i="5"/>
  <c r="J70" i="5" a="1"/>
  <c r="J320" i="5"/>
  <c r="J320" i="5" a="1"/>
  <c r="J284" i="5"/>
  <c r="J284" i="5" a="1"/>
  <c r="J46" i="5"/>
  <c r="J46" i="5" a="1"/>
  <c r="J192" i="5"/>
  <c r="J192" i="5" a="1"/>
  <c r="J154" i="5"/>
  <c r="J154" i="5" a="1"/>
  <c r="J290" i="5"/>
  <c r="J290" i="5" a="1"/>
  <c r="J54" i="5"/>
  <c r="J54" i="5" a="1"/>
  <c r="J53" i="5"/>
  <c r="J53" i="5" a="1"/>
  <c r="J152" i="5"/>
  <c r="J152" i="5" a="1"/>
  <c r="J119" i="5"/>
  <c r="J119" i="5" a="1"/>
  <c r="J311" i="5"/>
  <c r="J311" i="5" a="1"/>
  <c r="J295" i="5"/>
  <c r="J295" i="5" a="1"/>
  <c r="J288" i="5"/>
  <c r="J288" i="5" a="1"/>
  <c r="J292" i="5"/>
  <c r="J292" i="5" a="1"/>
  <c r="J18" i="5"/>
  <c r="J18" i="5" a="1"/>
  <c r="J269" i="5"/>
  <c r="J269" i="5" a="1"/>
  <c r="J81" i="5"/>
  <c r="J81" i="5" a="1"/>
  <c r="J113" i="5"/>
  <c r="J113" i="5" a="1"/>
  <c r="J124" i="5"/>
  <c r="J124" i="5" a="1"/>
  <c r="J139" i="5"/>
  <c r="J139" i="5" a="1"/>
  <c r="J308" i="5"/>
  <c r="J308" i="5" a="1"/>
  <c r="J115" i="5"/>
  <c r="J115" i="5" a="1"/>
  <c r="J291" i="5"/>
  <c r="J291" i="5" a="1"/>
  <c r="J265" i="5"/>
  <c r="J265" i="5" a="1"/>
  <c r="J12" i="5"/>
  <c r="J12" i="5" a="1"/>
  <c r="J48" i="5"/>
  <c r="J48" i="5" a="1"/>
  <c r="J215" i="5"/>
  <c r="J215" i="5" a="1"/>
  <c r="J127" i="5"/>
  <c r="J127" i="5" a="1"/>
  <c r="J200" i="5"/>
  <c r="J200" i="5" a="1"/>
  <c r="J138" i="5"/>
  <c r="J138" i="5" a="1"/>
  <c r="J63" i="5"/>
  <c r="J63" i="5" a="1"/>
  <c r="J275" i="5"/>
  <c r="J275" i="5" a="1"/>
  <c r="J298" i="5"/>
  <c r="J298" i="5" a="1"/>
  <c r="J294" i="5"/>
  <c r="J294" i="5" a="1"/>
  <c r="J234" i="5"/>
  <c r="J234" i="5" a="1"/>
  <c r="J232" i="5"/>
  <c r="J232" i="5" a="1"/>
  <c r="J137" i="5"/>
  <c r="J137" i="5" a="1"/>
  <c r="J248" i="5"/>
  <c r="J248" i="5" a="1"/>
  <c r="J167" i="5"/>
  <c r="J167" i="5" a="1"/>
  <c r="J73" i="5"/>
  <c r="J73" i="5" a="1"/>
  <c r="J125" i="5"/>
  <c r="J125" i="5" a="1"/>
  <c r="J331" i="5"/>
  <c r="J331" i="5" a="1"/>
  <c r="J177" i="5"/>
  <c r="J177" i="5" a="1"/>
  <c r="J213" i="5"/>
  <c r="J213" i="5" a="1"/>
  <c r="J126" i="5"/>
  <c r="J126" i="5" a="1"/>
  <c r="J267" i="5"/>
  <c r="J267" i="5" a="1"/>
  <c r="J42" i="5"/>
  <c r="J42" i="5" a="1"/>
  <c r="J222" i="5"/>
  <c r="J222" i="5" a="1"/>
  <c r="J243" i="5"/>
  <c r="J243" i="5" a="1"/>
  <c r="J258" i="5"/>
  <c r="J258" i="5" a="1"/>
  <c r="J289" i="5"/>
  <c r="J289" i="5" a="1"/>
  <c r="J209" i="5"/>
  <c r="J209" i="5" a="1"/>
  <c r="J238" i="5"/>
  <c r="J238" i="5" a="1"/>
  <c r="J25" i="5"/>
  <c r="J25" i="5" a="1"/>
  <c r="J195" i="5"/>
  <c r="J195" i="5" a="1"/>
  <c r="J244" i="5"/>
  <c r="J244" i="5" a="1"/>
  <c r="J147" i="5"/>
  <c r="J147" i="5" a="1"/>
  <c r="J302" i="5"/>
  <c r="J302" i="5" a="1"/>
  <c r="J313" i="5"/>
  <c r="J313" i="5" a="1"/>
  <c r="J324" i="5"/>
  <c r="J324" i="5" a="1"/>
  <c r="J35" i="5"/>
  <c r="J35" i="5" a="1"/>
  <c r="J263" i="5"/>
  <c r="J263" i="5" a="1"/>
  <c r="J282" i="5"/>
  <c r="J282" i="5" a="1"/>
  <c r="J100" i="5"/>
  <c r="J100" i="5" a="1"/>
  <c r="J197" i="5"/>
  <c r="J197" i="5" a="1"/>
  <c r="J318" i="5"/>
  <c r="J318" i="5" a="1"/>
  <c r="J9" i="5"/>
  <c r="J9" i="5" a="1"/>
  <c r="J102" i="5"/>
  <c r="J102" i="5" a="1"/>
  <c r="J165" i="5"/>
  <c r="J2" i="5" a="1"/>
  <c r="J165" i="5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F2A0D8-4183-47B9-8420-843444800F6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7A0865B-9062-44DD-92CE-17C0C21DB04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65CD924F-A319-406E-B390-96688813FAFA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  <connection id="4" xr16:uid="{0AF55676-A66B-477F-BF1E-4D0DBA1B510E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<sst xmlns="http://schemas.openxmlformats.org/spreadsheetml/2006/main" count="22389" uniqueCount="3009">
  <si>
    <t>Order_ID</t>
  </si>
  <si>
    <t>Date</t>
  </si>
  <si>
    <t>Store_ID</t>
  </si>
  <si>
    <t>Product_ID</t>
  </si>
  <si>
    <t>Product_Name</t>
  </si>
  <si>
    <t>Category</t>
  </si>
  <si>
    <t>Size</t>
  </si>
  <si>
    <t>Quantity</t>
  </si>
  <si>
    <t>Unit_Price</t>
  </si>
  <si>
    <t>Discount</t>
  </si>
  <si>
    <t>Region</t>
  </si>
  <si>
    <t>Sales_Channel</t>
  </si>
  <si>
    <t>Payment_Mode</t>
  </si>
  <si>
    <t>Customer_Rating</t>
  </si>
  <si>
    <t>S11156</t>
  </si>
  <si>
    <t>2024-09-21</t>
  </si>
  <si>
    <t>ST108</t>
  </si>
  <si>
    <t>P1043</t>
  </si>
  <si>
    <t>Nike AirZoom</t>
  </si>
  <si>
    <t>Apparel</t>
  </si>
  <si>
    <t>S</t>
  </si>
  <si>
    <t>North</t>
  </si>
  <si>
    <t>Store</t>
  </si>
  <si>
    <t>UPI</t>
  </si>
  <si>
    <t>S11911</t>
  </si>
  <si>
    <t>2024/08/26</t>
  </si>
  <si>
    <t>ST106</t>
  </si>
  <si>
    <t>P1075</t>
  </si>
  <si>
    <t>Nike Revolution 6</t>
  </si>
  <si>
    <t>Running Shoes</t>
  </si>
  <si>
    <t>M</t>
  </si>
  <si>
    <t>South</t>
  </si>
  <si>
    <t>Credit Card</t>
  </si>
  <si>
    <t>S10799</t>
  </si>
  <si>
    <t>08-04-2023</t>
  </si>
  <si>
    <t>ST105</t>
  </si>
  <si>
    <t>P1283</t>
  </si>
  <si>
    <t>Accessories</t>
  </si>
  <si>
    <t>East</t>
  </si>
  <si>
    <t>Online</t>
  </si>
  <si>
    <t>S12510</t>
  </si>
  <si>
    <t>07-06-2024</t>
  </si>
  <si>
    <t>P1164</t>
  </si>
  <si>
    <t>Nik Air Zoom</t>
  </si>
  <si>
    <t>S11530</t>
  </si>
  <si>
    <t>2023/05/17</t>
  </si>
  <si>
    <t>ST111</t>
  </si>
  <si>
    <t>P1040</t>
  </si>
  <si>
    <t>Debit Card</t>
  </si>
  <si>
    <t>S12489</t>
  </si>
  <si>
    <t>02-07-2024</t>
  </si>
  <si>
    <t>ST101</t>
  </si>
  <si>
    <t>P1133</t>
  </si>
  <si>
    <t>Sneakers</t>
  </si>
  <si>
    <t>S10268</t>
  </si>
  <si>
    <t>2023/06/28</t>
  </si>
  <si>
    <t>P1227</t>
  </si>
  <si>
    <t>Nike Air Zoom Pegasus 39</t>
  </si>
  <si>
    <t>West</t>
  </si>
  <si>
    <t>Cash</t>
  </si>
  <si>
    <t>S12829</t>
  </si>
  <si>
    <t>2024-10-29</t>
  </si>
  <si>
    <t>ST102</t>
  </si>
  <si>
    <t>P1021</t>
  </si>
  <si>
    <t>Nike Pro Shorts</t>
  </si>
  <si>
    <t>S12930</t>
  </si>
  <si>
    <t>15-11-2024</t>
  </si>
  <si>
    <t>ST112</t>
  </si>
  <si>
    <t>P1229</t>
  </si>
  <si>
    <t>S12646</t>
  </si>
  <si>
    <t>2024/04/19</t>
  </si>
  <si>
    <t>ST110</t>
  </si>
  <si>
    <t>P1165</t>
  </si>
  <si>
    <t>Nike Dri-FIT T-Shirt</t>
  </si>
  <si>
    <t>S11948</t>
  </si>
  <si>
    <t>2024/01/30</t>
  </si>
  <si>
    <t>P1004</t>
  </si>
  <si>
    <t>XL</t>
  </si>
  <si>
    <t>S12465</t>
  </si>
  <si>
    <t>2024/11/24</t>
  </si>
  <si>
    <t>ST103</t>
  </si>
  <si>
    <t>P1158</t>
  </si>
  <si>
    <t>S12213</t>
  </si>
  <si>
    <t>2023/09/09</t>
  </si>
  <si>
    <t>ST109</t>
  </si>
  <si>
    <t>P1180</t>
  </si>
  <si>
    <t>S11150</t>
  </si>
  <si>
    <t>2024-01-15</t>
  </si>
  <si>
    <t>P1042</t>
  </si>
  <si>
    <t>S10597</t>
  </si>
  <si>
    <t>16-09-2024</t>
  </si>
  <si>
    <t>ST115</t>
  </si>
  <si>
    <t>S10499</t>
  </si>
  <si>
    <t>P1129</t>
  </si>
  <si>
    <t>S10797</t>
  </si>
  <si>
    <t>14-08-2023</t>
  </si>
  <si>
    <t>ST104</t>
  </si>
  <si>
    <t>P1265</t>
  </si>
  <si>
    <t>Nike Metcon 8</t>
  </si>
  <si>
    <t>L</t>
  </si>
  <si>
    <t>S10225</t>
  </si>
  <si>
    <t>2023/01/06</t>
  </si>
  <si>
    <t>P1238</t>
  </si>
  <si>
    <t>S11019</t>
  </si>
  <si>
    <t>24-09-2024</t>
  </si>
  <si>
    <t>P1143</t>
  </si>
  <si>
    <t>S10137</t>
  </si>
  <si>
    <t>2023/01/01</t>
  </si>
  <si>
    <t>P1022</t>
  </si>
  <si>
    <t>S11076</t>
  </si>
  <si>
    <t>29-11-2024</t>
  </si>
  <si>
    <t>P1146</t>
  </si>
  <si>
    <t>S12111</t>
  </si>
  <si>
    <t>2024-06-22</t>
  </si>
  <si>
    <t>ST114</t>
  </si>
  <si>
    <t>P1083</t>
  </si>
  <si>
    <t>S10575</t>
  </si>
  <si>
    <t>2024/07/15</t>
  </si>
  <si>
    <t>P1178</t>
  </si>
  <si>
    <t>S10094</t>
  </si>
  <si>
    <t>2024-07-08</t>
  </si>
  <si>
    <t>P1202</t>
  </si>
  <si>
    <t>S10256</t>
  </si>
  <si>
    <t>2024/09/14</t>
  </si>
  <si>
    <t>P1155</t>
  </si>
  <si>
    <t>S10745</t>
  </si>
  <si>
    <t>2024/05/08</t>
  </si>
  <si>
    <t>ST113</t>
  </si>
  <si>
    <t>P1243</t>
  </si>
  <si>
    <t>S10310</t>
  </si>
  <si>
    <t>2024/10/08</t>
  </si>
  <si>
    <t>ST107</t>
  </si>
  <si>
    <t>P1233</t>
  </si>
  <si>
    <t>S10565</t>
  </si>
  <si>
    <t>2024-09-09</t>
  </si>
  <si>
    <t>P1065</t>
  </si>
  <si>
    <t>S12505</t>
  </si>
  <si>
    <t>08-03-2024</t>
  </si>
  <si>
    <t>P1297</t>
  </si>
  <si>
    <t>S10775</t>
  </si>
  <si>
    <t>10-06-2023</t>
  </si>
  <si>
    <t>S11615</t>
  </si>
  <si>
    <t>14-09-2023</t>
  </si>
  <si>
    <t>P1052</t>
  </si>
  <si>
    <t>S12506</t>
  </si>
  <si>
    <t>2024/03/25</t>
  </si>
  <si>
    <t>P1219</t>
  </si>
  <si>
    <t>S11335</t>
  </si>
  <si>
    <t>2023-07-28</t>
  </si>
  <si>
    <t>P1058</t>
  </si>
  <si>
    <t>S12087</t>
  </si>
  <si>
    <t>2023-11-12</t>
  </si>
  <si>
    <t>S11713</t>
  </si>
  <si>
    <t>2023-11-16</t>
  </si>
  <si>
    <t>P1089</t>
  </si>
  <si>
    <t>S10312</t>
  </si>
  <si>
    <t>2024-05-15</t>
  </si>
  <si>
    <t>P1095</t>
  </si>
  <si>
    <t>S10562</t>
  </si>
  <si>
    <t>2024/06/17</t>
  </si>
  <si>
    <t>P1293</t>
  </si>
  <si>
    <t>S10878</t>
  </si>
  <si>
    <t>19-09-2024</t>
  </si>
  <si>
    <t>P1000</t>
  </si>
  <si>
    <t>S12986</t>
  </si>
  <si>
    <t>28-11-2023</t>
  </si>
  <si>
    <t>P1252</t>
  </si>
  <si>
    <t>S10065</t>
  </si>
  <si>
    <t>2024-12-17</t>
  </si>
  <si>
    <t>P1116</t>
  </si>
  <si>
    <t>S10845</t>
  </si>
  <si>
    <t>27-02-2024</t>
  </si>
  <si>
    <t>P1020</t>
  </si>
  <si>
    <t>S11748</t>
  </si>
  <si>
    <t>2023-07-11</t>
  </si>
  <si>
    <t>P1041</t>
  </si>
  <si>
    <t>S10888</t>
  </si>
  <si>
    <t>16-02-2024</t>
  </si>
  <si>
    <t>P1090</t>
  </si>
  <si>
    <t>S12020</t>
  </si>
  <si>
    <t>08-04-2024</t>
  </si>
  <si>
    <t>P1063</t>
  </si>
  <si>
    <t>S11640</t>
  </si>
  <si>
    <t>2023-08-22</t>
  </si>
  <si>
    <t>P1086</t>
  </si>
  <si>
    <t>S10483</t>
  </si>
  <si>
    <t>2024-09-25</t>
  </si>
  <si>
    <t>P1240</t>
  </si>
  <si>
    <t>S11926</t>
  </si>
  <si>
    <t>01-02-2023</t>
  </si>
  <si>
    <t>S11226</t>
  </si>
  <si>
    <t>2024/11/21</t>
  </si>
  <si>
    <t>S11263</t>
  </si>
  <si>
    <t>10-07-2024</t>
  </si>
  <si>
    <t>S10982</t>
  </si>
  <si>
    <t>2024-09-23</t>
  </si>
  <si>
    <t>S10162</t>
  </si>
  <si>
    <t>2024-01-06</t>
  </si>
  <si>
    <t>P1260</t>
  </si>
  <si>
    <t>S10194</t>
  </si>
  <si>
    <t>2023-09-22</t>
  </si>
  <si>
    <t>P1274</t>
  </si>
  <si>
    <t>S12803</t>
  </si>
  <si>
    <t>15-10-2023</t>
  </si>
  <si>
    <t>P1109</t>
  </si>
  <si>
    <t>S10855</t>
  </si>
  <si>
    <t>2023-07-27</t>
  </si>
  <si>
    <t>P1203</t>
  </si>
  <si>
    <t>S12022</t>
  </si>
  <si>
    <t>2023/12/01</t>
  </si>
  <si>
    <t>P1114</t>
  </si>
  <si>
    <t>S10346</t>
  </si>
  <si>
    <t>16-07-2023</t>
  </si>
  <si>
    <t>P1286</t>
  </si>
  <si>
    <t>S10186</t>
  </si>
  <si>
    <t>2023-10-17</t>
  </si>
  <si>
    <t>P1263</t>
  </si>
  <si>
    <t>S11668</t>
  </si>
  <si>
    <t>2023/06/08</t>
  </si>
  <si>
    <t>S11818</t>
  </si>
  <si>
    <t>2023/07/12</t>
  </si>
  <si>
    <t>S12746</t>
  </si>
  <si>
    <t>2024-11-15</t>
  </si>
  <si>
    <t>P1195</t>
  </si>
  <si>
    <t>S10489</t>
  </si>
  <si>
    <t>02-03-2023</t>
  </si>
  <si>
    <t>P1209</t>
  </si>
  <si>
    <t>S11515</t>
  </si>
  <si>
    <t>2023/04/06</t>
  </si>
  <si>
    <t>P1192</t>
  </si>
  <si>
    <t>S11108</t>
  </si>
  <si>
    <t>28-02-2023</t>
  </si>
  <si>
    <t>P1023</t>
  </si>
  <si>
    <t>S10901</t>
  </si>
  <si>
    <t>17-06-2024</t>
  </si>
  <si>
    <t>S12163</t>
  </si>
  <si>
    <t>15-04-2024</t>
  </si>
  <si>
    <t>P1169</t>
  </si>
  <si>
    <t>S11333</t>
  </si>
  <si>
    <t>2024/06/29</t>
  </si>
  <si>
    <t>P1105</t>
  </si>
  <si>
    <t>S12908</t>
  </si>
  <si>
    <t>S11931</t>
  </si>
  <si>
    <t>2023-05-25</t>
  </si>
  <si>
    <t>P1177</t>
  </si>
  <si>
    <t>S11597</t>
  </si>
  <si>
    <t>2023/01/27</t>
  </si>
  <si>
    <t>P1222</t>
  </si>
  <si>
    <t>S12215</t>
  </si>
  <si>
    <t>2023/04/18</t>
  </si>
  <si>
    <t>P1106</t>
  </si>
  <si>
    <t>S12169</t>
  </si>
  <si>
    <t>24-10-2023</t>
  </si>
  <si>
    <t>P1011</t>
  </si>
  <si>
    <t>S10118</t>
  </si>
  <si>
    <t>2023/05/27</t>
  </si>
  <si>
    <t>P1210</t>
  </si>
  <si>
    <t>S10082</t>
  </si>
  <si>
    <t>2023-05-09</t>
  </si>
  <si>
    <t>P1123</t>
  </si>
  <si>
    <t>S12692</t>
  </si>
  <si>
    <t>2023/11/09</t>
  </si>
  <si>
    <t>23-02-2024</t>
  </si>
  <si>
    <t>P1152</t>
  </si>
  <si>
    <t>S12846</t>
  </si>
  <si>
    <t>24-02-2023</t>
  </si>
  <si>
    <t>P1259</t>
  </si>
  <si>
    <t>S11801</t>
  </si>
  <si>
    <t>2023-08-03</t>
  </si>
  <si>
    <t>P1127</t>
  </si>
  <si>
    <t>P1248</t>
  </si>
  <si>
    <t>S11230</t>
  </si>
  <si>
    <t>2023-12-18</t>
  </si>
  <si>
    <t>P1108</t>
  </si>
  <si>
    <t>S12772</t>
  </si>
  <si>
    <t>2023-01-08</t>
  </si>
  <si>
    <t>S12056</t>
  </si>
  <si>
    <t>01-04-2024</t>
  </si>
  <si>
    <t>P1072</t>
  </si>
  <si>
    <t>S10907</t>
  </si>
  <si>
    <t>2024/12/17</t>
  </si>
  <si>
    <t>P1078</t>
  </si>
  <si>
    <t>S10390</t>
  </si>
  <si>
    <t>2023-04-15</t>
  </si>
  <si>
    <t>S10050</t>
  </si>
  <si>
    <t>2024/10/11</t>
  </si>
  <si>
    <t>P1103</t>
  </si>
  <si>
    <t>S12631</t>
  </si>
  <si>
    <t>2023/01/26</t>
  </si>
  <si>
    <t>S11531</t>
  </si>
  <si>
    <t>2024/04/17</t>
  </si>
  <si>
    <t>S12656</t>
  </si>
  <si>
    <t>2023/07/25</t>
  </si>
  <si>
    <t>S11068</t>
  </si>
  <si>
    <t>2024/06/24</t>
  </si>
  <si>
    <t>P1139</t>
  </si>
  <si>
    <t>S11564</t>
  </si>
  <si>
    <t>2023/04/25</t>
  </si>
  <si>
    <t>S12557</t>
  </si>
  <si>
    <t>2023/05/12</t>
  </si>
  <si>
    <t>P1049</t>
  </si>
  <si>
    <t>S12295</t>
  </si>
  <si>
    <t>2024-06-24</t>
  </si>
  <si>
    <t>P1008</t>
  </si>
  <si>
    <t>S10383</t>
  </si>
  <si>
    <t>2023-05-05</t>
  </si>
  <si>
    <t>P1296</t>
  </si>
  <si>
    <t>S10539</t>
  </si>
  <si>
    <t>2023/12/31</t>
  </si>
  <si>
    <t>P1288</t>
  </si>
  <si>
    <t>S11866</t>
  </si>
  <si>
    <t>2024-04-02</t>
  </si>
  <si>
    <t>S13000</t>
  </si>
  <si>
    <t>2023-03-09</t>
  </si>
  <si>
    <t>P1254</t>
  </si>
  <si>
    <t>S11376</t>
  </si>
  <si>
    <t>16-08-2023</t>
  </si>
  <si>
    <t>S10389</t>
  </si>
  <si>
    <t>2024-02-21</t>
  </si>
  <si>
    <t>P1205</t>
  </si>
  <si>
    <t>S11225</t>
  </si>
  <si>
    <t>11-12-2023</t>
  </si>
  <si>
    <t>P1110</t>
  </si>
  <si>
    <t>S12024</t>
  </si>
  <si>
    <t>2024/08/09</t>
  </si>
  <si>
    <t>P1070</t>
  </si>
  <si>
    <t>S11110</t>
  </si>
  <si>
    <t>2023/03/24</t>
  </si>
  <si>
    <t>P1018</t>
  </si>
  <si>
    <t>S12429</t>
  </si>
  <si>
    <t>18-04-2023</t>
  </si>
  <si>
    <t>P1282</t>
  </si>
  <si>
    <t>S12310</t>
  </si>
  <si>
    <t>2024-04-27</t>
  </si>
  <si>
    <t>S11309</t>
  </si>
  <si>
    <t>2023-12-20</t>
  </si>
  <si>
    <t>P1136</t>
  </si>
  <si>
    <t>S11773</t>
  </si>
  <si>
    <t>2024-08-15</t>
  </si>
  <si>
    <t>P1272</t>
  </si>
  <si>
    <t>S10861</t>
  </si>
  <si>
    <t>2023/10/04</t>
  </si>
  <si>
    <t>P1102</t>
  </si>
  <si>
    <t>S10469</t>
  </si>
  <si>
    <t>04-02-2024</t>
  </si>
  <si>
    <t>P1046</t>
  </si>
  <si>
    <t>S12700</t>
  </si>
  <si>
    <t>14-02-2024</t>
  </si>
  <si>
    <t>P1170</t>
  </si>
  <si>
    <t>S11148</t>
  </si>
  <si>
    <t>2024-07-11</t>
  </si>
  <si>
    <t>P1113</t>
  </si>
  <si>
    <t>S11618</t>
  </si>
  <si>
    <t>08-02-2023</t>
  </si>
  <si>
    <t>P1107</t>
  </si>
  <si>
    <t>S11050</t>
  </si>
  <si>
    <t>2024/12/04</t>
  </si>
  <si>
    <t>P1217</t>
  </si>
  <si>
    <t>S12713</t>
  </si>
  <si>
    <t>2023/02/26</t>
  </si>
  <si>
    <t>S12463</t>
  </si>
  <si>
    <t>24-11-2024</t>
  </si>
  <si>
    <t>P1298</t>
  </si>
  <si>
    <t>S10487</t>
  </si>
  <si>
    <t>03-01-2023</t>
  </si>
  <si>
    <t>P1036</t>
  </si>
  <si>
    <t>S11943</t>
  </si>
  <si>
    <t>04-06-2024</t>
  </si>
  <si>
    <t>P1207</t>
  </si>
  <si>
    <t>S12256</t>
  </si>
  <si>
    <t>2024/09/06</t>
  </si>
  <si>
    <t>S10444</t>
  </si>
  <si>
    <t>2023-02-02</t>
  </si>
  <si>
    <t>P1190</t>
  </si>
  <si>
    <t>S12987</t>
  </si>
  <si>
    <t>09-08-2023</t>
  </si>
  <si>
    <t>P1156</t>
  </si>
  <si>
    <t>S10420</t>
  </si>
  <si>
    <t>2024-11-21</t>
  </si>
  <si>
    <t>S10566</t>
  </si>
  <si>
    <t>2024-04-19</t>
  </si>
  <si>
    <t>P1147</t>
  </si>
  <si>
    <t>S12563</t>
  </si>
  <si>
    <t>26-06-2023</t>
  </si>
  <si>
    <t>P1145</t>
  </si>
  <si>
    <t>S11728</t>
  </si>
  <si>
    <t>2023/11/08</t>
  </si>
  <si>
    <t>S11705</t>
  </si>
  <si>
    <t>30-05-2024</t>
  </si>
  <si>
    <t>P1193</t>
  </si>
  <si>
    <t>S10362</t>
  </si>
  <si>
    <t>2023/10/21</t>
  </si>
  <si>
    <t>P1098</t>
  </si>
  <si>
    <t>S11329</t>
  </si>
  <si>
    <t>06-12-2023</t>
  </si>
  <si>
    <t>P1068</t>
  </si>
  <si>
    <t>S10233</t>
  </si>
  <si>
    <t>2024-03-29</t>
  </si>
  <si>
    <t>P1273</t>
  </si>
  <si>
    <t>S11571</t>
  </si>
  <si>
    <t>P1084</t>
  </si>
  <si>
    <t>S12277</t>
  </si>
  <si>
    <t>27-08-2023</t>
  </si>
  <si>
    <t>P1270</t>
  </si>
  <si>
    <t>S11380</t>
  </si>
  <si>
    <t>P1120</t>
  </si>
  <si>
    <t>S11916</t>
  </si>
  <si>
    <t>29-03-2023</t>
  </si>
  <si>
    <t>S12945</t>
  </si>
  <si>
    <t>2023-10-16</t>
  </si>
  <si>
    <t>P1159</t>
  </si>
  <si>
    <t>S11069</t>
  </si>
  <si>
    <t>2023/06/30</t>
  </si>
  <si>
    <t>S10750</t>
  </si>
  <si>
    <t>2023/01/05</t>
  </si>
  <si>
    <t>S12915</t>
  </si>
  <si>
    <t>2024/07/05</t>
  </si>
  <si>
    <t>P1251</t>
  </si>
  <si>
    <t>S10611</t>
  </si>
  <si>
    <t>11-09-2023</t>
  </si>
  <si>
    <t>P1128</t>
  </si>
  <si>
    <t>S10674</t>
  </si>
  <si>
    <t>2024/02/20</t>
  </si>
  <si>
    <t>S10221</t>
  </si>
  <si>
    <t>2024-06-12</t>
  </si>
  <si>
    <t>P1162</t>
  </si>
  <si>
    <t>S10295</t>
  </si>
  <si>
    <t>20-05-2024</t>
  </si>
  <si>
    <t>P1167</t>
  </si>
  <si>
    <t>S12603</t>
  </si>
  <si>
    <t>2024-01-16</t>
  </si>
  <si>
    <t>P1092</t>
  </si>
  <si>
    <t>S11868</t>
  </si>
  <si>
    <t>2023/07/02</t>
  </si>
  <si>
    <t>P1234</t>
  </si>
  <si>
    <t>S12206</t>
  </si>
  <si>
    <t>2024/12/09</t>
  </si>
  <si>
    <t>P1059</t>
  </si>
  <si>
    <t>S10090</t>
  </si>
  <si>
    <t>2023/11/10</t>
  </si>
  <si>
    <t>P1082</t>
  </si>
  <si>
    <t>S10668</t>
  </si>
  <si>
    <t>05-04-2023</t>
  </si>
  <si>
    <t>S10857</t>
  </si>
  <si>
    <t>2023/06/07</t>
  </si>
  <si>
    <t>P1016</t>
  </si>
  <si>
    <t>S12565</t>
  </si>
  <si>
    <t>2023-06-14</t>
  </si>
  <si>
    <t>18-03-2024</t>
  </si>
  <si>
    <t>2024-06-26</t>
  </si>
  <si>
    <t>S11787</t>
  </si>
  <si>
    <t>2023-12-11</t>
  </si>
  <si>
    <t>P1226</t>
  </si>
  <si>
    <t>2024/02/27</t>
  </si>
  <si>
    <t>P1140</t>
  </si>
  <si>
    <t>S10935</t>
  </si>
  <si>
    <t>2023/06/04</t>
  </si>
  <si>
    <t>S11792</t>
  </si>
  <si>
    <t>2024-04-24</t>
  </si>
  <si>
    <t>P1064</t>
  </si>
  <si>
    <t>S12683</t>
  </si>
  <si>
    <t>30-04-2023</t>
  </si>
  <si>
    <t>S11092</t>
  </si>
  <si>
    <t>10-05-2024</t>
  </si>
  <si>
    <t>S11455</t>
  </si>
  <si>
    <t>04-09-2023</t>
  </si>
  <si>
    <t>S12897</t>
  </si>
  <si>
    <t>2023/01/29</t>
  </si>
  <si>
    <t>P1151</t>
  </si>
  <si>
    <t>S10949</t>
  </si>
  <si>
    <t>2024/10/07</t>
  </si>
  <si>
    <t>P1124</t>
  </si>
  <si>
    <t>S10466</t>
  </si>
  <si>
    <t>2024/10/28</t>
  </si>
  <si>
    <t>S10809</t>
  </si>
  <si>
    <t>2024/12/15</t>
  </si>
  <si>
    <t>P1200</t>
  </si>
  <si>
    <t>S11397</t>
  </si>
  <si>
    <t>2024-03-04</t>
  </si>
  <si>
    <t>P1031</t>
  </si>
  <si>
    <t>S11895</t>
  </si>
  <si>
    <t>01-01-2023</t>
  </si>
  <si>
    <t>P1117</t>
  </si>
  <si>
    <t>S10900</t>
  </si>
  <si>
    <t>S11136</t>
  </si>
  <si>
    <t>2023-03-30</t>
  </si>
  <si>
    <t>P1224</t>
  </si>
  <si>
    <t>S10576</t>
  </si>
  <si>
    <t>2023/04/24</t>
  </si>
  <si>
    <t>S11416</t>
  </si>
  <si>
    <t>20-01-2023</t>
  </si>
  <si>
    <t>S10528</t>
  </si>
  <si>
    <t>2023/08/09</t>
  </si>
  <si>
    <t>S10998</t>
  </si>
  <si>
    <t>P1257</t>
  </si>
  <si>
    <t>S10079</t>
  </si>
  <si>
    <t>13-04-2024</t>
  </si>
  <si>
    <t>P1290</t>
  </si>
  <si>
    <t>S12356</t>
  </si>
  <si>
    <t>2024-02-13</t>
  </si>
  <si>
    <t>P1175</t>
  </si>
  <si>
    <t>S12578</t>
  </si>
  <si>
    <t>S10701</t>
  </si>
  <si>
    <t>P1204</t>
  </si>
  <si>
    <t>S10015</t>
  </si>
  <si>
    <t>S10669</t>
  </si>
  <si>
    <t>2024-03-14</t>
  </si>
  <si>
    <t>P1060</t>
  </si>
  <si>
    <t>S12861</t>
  </si>
  <si>
    <t>2024-01-18</t>
  </si>
  <si>
    <t>S12706</t>
  </si>
  <si>
    <t>2023-01-17</t>
  </si>
  <si>
    <t>P1091</t>
  </si>
  <si>
    <t>S12685</t>
  </si>
  <si>
    <t>2024-04-12</t>
  </si>
  <si>
    <t>P1035</t>
  </si>
  <si>
    <t>S12612</t>
  </si>
  <si>
    <t>16-05-2023</t>
  </si>
  <si>
    <t>P1099</t>
  </si>
  <si>
    <t>S12722</t>
  </si>
  <si>
    <t>2023-07-23</t>
  </si>
  <si>
    <t>P1111</t>
  </si>
  <si>
    <t>S11020</t>
  </si>
  <si>
    <t>2024-01-25</t>
  </si>
  <si>
    <t>S11386</t>
  </si>
  <si>
    <t>2024-01-04</t>
  </si>
  <si>
    <t>P1010</t>
  </si>
  <si>
    <t>2024-11-14</t>
  </si>
  <si>
    <t>P1080</t>
  </si>
  <si>
    <t>S11307</t>
  </si>
  <si>
    <t>14-11-2023</t>
  </si>
  <si>
    <t>S10150</t>
  </si>
  <si>
    <t>2023-10-05</t>
  </si>
  <si>
    <t>S11420</t>
  </si>
  <si>
    <t>2023/12/14</t>
  </si>
  <si>
    <t>P1121</t>
  </si>
  <si>
    <t>S12493</t>
  </si>
  <si>
    <t>2023-03-24</t>
  </si>
  <si>
    <t>S12235</t>
  </si>
  <si>
    <t>2023/04/30</t>
  </si>
  <si>
    <t>P1077</t>
  </si>
  <si>
    <t>S10419</t>
  </si>
  <si>
    <t>2023-10-12</t>
  </si>
  <si>
    <t>P1268</t>
  </si>
  <si>
    <t>S12131</t>
  </si>
  <si>
    <t>2023-08-20</t>
  </si>
  <si>
    <t>P1168</t>
  </si>
  <si>
    <t>S10628</t>
  </si>
  <si>
    <t>S12183</t>
  </si>
  <si>
    <t>2024/11/06</t>
  </si>
  <si>
    <t>P1150</t>
  </si>
  <si>
    <t>S10631</t>
  </si>
  <si>
    <t>2024/10/15</t>
  </si>
  <si>
    <t>S10617</t>
  </si>
  <si>
    <t>2024/11/26</t>
  </si>
  <si>
    <t>S12239</t>
  </si>
  <si>
    <t>07-03-2024</t>
  </si>
  <si>
    <t>P1033</t>
  </si>
  <si>
    <t>S10124</t>
  </si>
  <si>
    <t>2024/08/08</t>
  </si>
  <si>
    <t>P1185</t>
  </si>
  <si>
    <t>S10743</t>
  </si>
  <si>
    <t>2023-09-30</t>
  </si>
  <si>
    <t>P1247</t>
  </si>
  <si>
    <t>S11584</t>
  </si>
  <si>
    <t>2024-08-03</t>
  </si>
  <si>
    <t>P1081</t>
  </si>
  <si>
    <t>S11152</t>
  </si>
  <si>
    <t>2024/12/14</t>
  </si>
  <si>
    <t>P1025</t>
  </si>
  <si>
    <t>S12434</t>
  </si>
  <si>
    <t>2024-01-31</t>
  </si>
  <si>
    <t>P1225</t>
  </si>
  <si>
    <t>S11966</t>
  </si>
  <si>
    <t>23-03-2023</t>
  </si>
  <si>
    <t>P1232</t>
  </si>
  <si>
    <t>S10643</t>
  </si>
  <si>
    <t>P1194</t>
  </si>
  <si>
    <t>S10621</t>
  </si>
  <si>
    <t>2023/06/23</t>
  </si>
  <si>
    <t>S11900</t>
  </si>
  <si>
    <t>2024/09/29</t>
  </si>
  <si>
    <t>P1037</t>
  </si>
  <si>
    <t>S11079</t>
  </si>
  <si>
    <t>2023/12/26</t>
  </si>
  <si>
    <t>P1186</t>
  </si>
  <si>
    <t>S12038</t>
  </si>
  <si>
    <t>2024/06/27</t>
  </si>
  <si>
    <t>S10455</t>
  </si>
  <si>
    <t>2024-05-22</t>
  </si>
  <si>
    <t>S11579</t>
  </si>
  <si>
    <t>2024/08/13</t>
  </si>
  <si>
    <t>S10218</t>
  </si>
  <si>
    <t>29-01-2024</t>
  </si>
  <si>
    <t>2023/09/30</t>
  </si>
  <si>
    <t>S12067</t>
  </si>
  <si>
    <t>29-09-2024</t>
  </si>
  <si>
    <t>P1291</t>
  </si>
  <si>
    <t>S10067</t>
  </si>
  <si>
    <t>2024-09-04</t>
  </si>
  <si>
    <t>P1012</t>
  </si>
  <si>
    <t>S11596</t>
  </si>
  <si>
    <t>2024-02-22</t>
  </si>
  <si>
    <t>P1220</t>
  </si>
  <si>
    <t>S11782</t>
  </si>
  <si>
    <t>2024-03-27</t>
  </si>
  <si>
    <t>2024-09-27</t>
  </si>
  <si>
    <t>S12128</t>
  </si>
  <si>
    <t>2024/05/13</t>
  </si>
  <si>
    <t>P1137</t>
  </si>
  <si>
    <t>S10342</t>
  </si>
  <si>
    <t>20-12-2023</t>
  </si>
  <si>
    <t>P1131</t>
  </si>
  <si>
    <t>S11405</t>
  </si>
  <si>
    <t>2023-11-04</t>
  </si>
  <si>
    <t>P1076</t>
  </si>
  <si>
    <t>S12365</t>
  </si>
  <si>
    <t>13-01-2023</t>
  </si>
  <si>
    <t>S11874</t>
  </si>
  <si>
    <t>30-08-2023</t>
  </si>
  <si>
    <t>P1176</t>
  </si>
  <si>
    <t>S12594</t>
  </si>
  <si>
    <t>2023-06-17</t>
  </si>
  <si>
    <t>S11694</t>
  </si>
  <si>
    <t>2023-01-13</t>
  </si>
  <si>
    <t>S10397</t>
  </si>
  <si>
    <t>P1262</t>
  </si>
  <si>
    <t>S11830</t>
  </si>
  <si>
    <t>06-12-2024</t>
  </si>
  <si>
    <t>P1096</t>
  </si>
  <si>
    <t>S10452</t>
  </si>
  <si>
    <t>2023-09-23</t>
  </si>
  <si>
    <t>S12957</t>
  </si>
  <si>
    <t>S11965</t>
  </si>
  <si>
    <t>2024/10/16</t>
  </si>
  <si>
    <t>P1074</t>
  </si>
  <si>
    <t>S10131</t>
  </si>
  <si>
    <t>2023-08-31</t>
  </si>
  <si>
    <t>S12518</t>
  </si>
  <si>
    <t>2023/11/22</t>
  </si>
  <si>
    <t>P1223</t>
  </si>
  <si>
    <t>S11394</t>
  </si>
  <si>
    <t>10-04-2024</t>
  </si>
  <si>
    <t>P1163</t>
  </si>
  <si>
    <t>S10205</t>
  </si>
  <si>
    <t>2024/12/21</t>
  </si>
  <si>
    <t>S11793</t>
  </si>
  <si>
    <t>P1132</t>
  </si>
  <si>
    <t>S11546</t>
  </si>
  <si>
    <t>2023/09/18</t>
  </si>
  <si>
    <t>S12733</t>
  </si>
  <si>
    <t>2023-07-17</t>
  </si>
  <si>
    <t>S12462</t>
  </si>
  <si>
    <t>2024-03-28</t>
  </si>
  <si>
    <t>S11382</t>
  </si>
  <si>
    <t>2023-07-21</t>
  </si>
  <si>
    <t>S10481</t>
  </si>
  <si>
    <t>29-04-2023</t>
  </si>
  <si>
    <t>S11140</t>
  </si>
  <si>
    <t>2024-04-04</t>
  </si>
  <si>
    <t>S10169</t>
  </si>
  <si>
    <t>2024-12-02</t>
  </si>
  <si>
    <t>20-05-2023</t>
  </si>
  <si>
    <t>P1214</t>
  </si>
  <si>
    <t>S12778</t>
  </si>
  <si>
    <t>2023-07-25</t>
  </si>
  <si>
    <t>S11008</t>
  </si>
  <si>
    <t>2023/08/12</t>
  </si>
  <si>
    <t>P1055</t>
  </si>
  <si>
    <t>S10055</t>
  </si>
  <si>
    <t>28-05-2023</t>
  </si>
  <si>
    <t>S10725</t>
  </si>
  <si>
    <t>2024-09-14</t>
  </si>
  <si>
    <t>06-03-2024</t>
  </si>
  <si>
    <t>P1079</t>
  </si>
  <si>
    <t>S12486</t>
  </si>
  <si>
    <t>2023-04-21</t>
  </si>
  <si>
    <t>S12065</t>
  </si>
  <si>
    <t>2024/07/17</t>
  </si>
  <si>
    <t>S10070</t>
  </si>
  <si>
    <t>2024/01/29</t>
  </si>
  <si>
    <t>S12351</t>
  </si>
  <si>
    <t>2023/08/16</t>
  </si>
  <si>
    <t>S10720</t>
  </si>
  <si>
    <t>2023/08/18</t>
  </si>
  <si>
    <t>S12913</t>
  </si>
  <si>
    <t>2023-01-15</t>
  </si>
  <si>
    <t>S12152</t>
  </si>
  <si>
    <t>S10627</t>
  </si>
  <si>
    <t>2024/04/22</t>
  </si>
  <si>
    <t>P1174</t>
  </si>
  <si>
    <t>S10347</t>
  </si>
  <si>
    <t>2024/12/24</t>
  </si>
  <si>
    <t>S12735</t>
  </si>
  <si>
    <t>2023/07/10</t>
  </si>
  <si>
    <t>P1085</t>
  </si>
  <si>
    <t>S10229</t>
  </si>
  <si>
    <t>S11191</t>
  </si>
  <si>
    <t>2024/07/16</t>
  </si>
  <si>
    <t>S10904</t>
  </si>
  <si>
    <t>2024-07-22</t>
  </si>
  <si>
    <t>P1007</t>
  </si>
  <si>
    <t>S10227</t>
  </si>
  <si>
    <t>2023/05/06</t>
  </si>
  <si>
    <t>P1242</t>
  </si>
  <si>
    <t>S10440</t>
  </si>
  <si>
    <t>04-03-2024</t>
  </si>
  <si>
    <t>S12537</t>
  </si>
  <si>
    <t>11-10-2024</t>
  </si>
  <si>
    <t>P1061</t>
  </si>
  <si>
    <t>S10898</t>
  </si>
  <si>
    <t>2023/07/11</t>
  </si>
  <si>
    <t>P1171</t>
  </si>
  <si>
    <t>S10457</t>
  </si>
  <si>
    <t>31-08-2023</t>
  </si>
  <si>
    <t>20-03-2023</t>
  </si>
  <si>
    <t>P1258</t>
  </si>
  <si>
    <t>S10558</t>
  </si>
  <si>
    <t>28-08-2024</t>
  </si>
  <si>
    <t>S10237</t>
  </si>
  <si>
    <t>2024/07/10</t>
  </si>
  <si>
    <t>S11544</t>
  </si>
  <si>
    <t>P1197</t>
  </si>
  <si>
    <t>S11081</t>
  </si>
  <si>
    <t>P1032</t>
  </si>
  <si>
    <t>S11165</t>
  </si>
  <si>
    <t>P1285</t>
  </si>
  <si>
    <t>S11897</t>
  </si>
  <si>
    <t>2023/10/01</t>
  </si>
  <si>
    <t>S12724</t>
  </si>
  <si>
    <t>2023/02/17</t>
  </si>
  <si>
    <t>P1013</t>
  </si>
  <si>
    <t>S12031</t>
  </si>
  <si>
    <t>21-01-2024</t>
  </si>
  <si>
    <t>S10147</t>
  </si>
  <si>
    <t>2024-08-07</t>
  </si>
  <si>
    <t>P1208</t>
  </si>
  <si>
    <t>S11788</t>
  </si>
  <si>
    <t>04-12-2024</t>
  </si>
  <si>
    <t>P1066</t>
  </si>
  <si>
    <t>S10083</t>
  </si>
  <si>
    <t>2024/05/09</t>
  </si>
  <si>
    <t>P1047</t>
  </si>
  <si>
    <t>S11582</t>
  </si>
  <si>
    <t>S11400</t>
  </si>
  <si>
    <t>2023-11-08</t>
  </si>
  <si>
    <t>S11103</t>
  </si>
  <si>
    <t>2023-04-07</t>
  </si>
  <si>
    <t>S11240</t>
  </si>
  <si>
    <t>2024-12-08</t>
  </si>
  <si>
    <t>S12046</t>
  </si>
  <si>
    <t>22-10-2024</t>
  </si>
  <si>
    <t>S11464</t>
  </si>
  <si>
    <t>2023/12/04</t>
  </si>
  <si>
    <t>P1261</t>
  </si>
  <si>
    <t>S12236</t>
  </si>
  <si>
    <t>2023-12-08</t>
  </si>
  <si>
    <t>S12332</t>
  </si>
  <si>
    <t>P1201</t>
  </si>
  <si>
    <t>S12036</t>
  </si>
  <si>
    <t>S11495</t>
  </si>
  <si>
    <t>2023/10/12</t>
  </si>
  <si>
    <t>P1184</t>
  </si>
  <si>
    <t>S10967</t>
  </si>
  <si>
    <t>2024/08/06</t>
  </si>
  <si>
    <t>P1183</t>
  </si>
  <si>
    <t>S11387</t>
  </si>
  <si>
    <t>2024-10-31</t>
  </si>
  <si>
    <t>P1015</t>
  </si>
  <si>
    <t>S10932</t>
  </si>
  <si>
    <t>2023-05-21</t>
  </si>
  <si>
    <t>P1256</t>
  </si>
  <si>
    <t>S12535</t>
  </si>
  <si>
    <t>29-07-2023</t>
  </si>
  <si>
    <t>S10918</t>
  </si>
  <si>
    <t>03-10-2023</t>
  </si>
  <si>
    <t>S12538</t>
  </si>
  <si>
    <t>2023-04-24</t>
  </si>
  <si>
    <t>P1057</t>
  </si>
  <si>
    <t>S10776</t>
  </si>
  <si>
    <t>11-06-2023</t>
  </si>
  <si>
    <t>S11680</t>
  </si>
  <si>
    <t>31-12-2024</t>
  </si>
  <si>
    <t>P1104</t>
  </si>
  <si>
    <t>S10784</t>
  </si>
  <si>
    <t>2024/04/27</t>
  </si>
  <si>
    <t>S12168</t>
  </si>
  <si>
    <t>10-11-2024</t>
  </si>
  <si>
    <t>S12613</t>
  </si>
  <si>
    <t>S12998</t>
  </si>
  <si>
    <t>08-07-2024</t>
  </si>
  <si>
    <t>S10047</t>
  </si>
  <si>
    <t>2023-01-25</t>
  </si>
  <si>
    <t>S12167</t>
  </si>
  <si>
    <t>2023/05/07</t>
  </si>
  <si>
    <t>P1094</t>
  </si>
  <si>
    <t>S12768</t>
  </si>
  <si>
    <t>26-12-2023</t>
  </si>
  <si>
    <t>S11378</t>
  </si>
  <si>
    <t>2023-08-05</t>
  </si>
  <si>
    <t>P1191</t>
  </si>
  <si>
    <t>S11478</t>
  </si>
  <si>
    <t>11-09-2024</t>
  </si>
  <si>
    <t>S10355</t>
  </si>
  <si>
    <t>29-06-2023</t>
  </si>
  <si>
    <t>S11381</t>
  </si>
  <si>
    <t>2024-11-13</t>
  </si>
  <si>
    <t>S11414</t>
  </si>
  <si>
    <t>26-01-2023</t>
  </si>
  <si>
    <t>S11264</t>
  </si>
  <si>
    <t>2023/02/09</t>
  </si>
  <si>
    <t>S10251</t>
  </si>
  <si>
    <t>15-07-2024</t>
  </si>
  <si>
    <t>S12524</t>
  </si>
  <si>
    <t>S12929</t>
  </si>
  <si>
    <t>2023-01-16</t>
  </si>
  <si>
    <t>P1148</t>
  </si>
  <si>
    <t>S11629</t>
  </si>
  <si>
    <t>2024/09/07</t>
  </si>
  <si>
    <t>P1280</t>
  </si>
  <si>
    <t>S11797</t>
  </si>
  <si>
    <t>2023-05-19</t>
  </si>
  <si>
    <t>S12638</t>
  </si>
  <si>
    <t>12-08-2024</t>
  </si>
  <si>
    <t>P1228</t>
  </si>
  <si>
    <t>S12457</t>
  </si>
  <si>
    <t>28-10-2024</t>
  </si>
  <si>
    <t>S12252</t>
  </si>
  <si>
    <t>12-10-2024</t>
  </si>
  <si>
    <t>P1125</t>
  </si>
  <si>
    <t>S12346</t>
  </si>
  <si>
    <t>2024/05/02</t>
  </si>
  <si>
    <t>S11852</t>
  </si>
  <si>
    <t>2024-10-14</t>
  </si>
  <si>
    <t>P1009</t>
  </si>
  <si>
    <t>S11278</t>
  </si>
  <si>
    <t>2023/03/12</t>
  </si>
  <si>
    <t>S10817</t>
  </si>
  <si>
    <t>24-09-2023</t>
  </si>
  <si>
    <t>P1300</t>
  </si>
  <si>
    <t>S10656</t>
  </si>
  <si>
    <t>2024/04/30</t>
  </si>
  <si>
    <t>S12755</t>
  </si>
  <si>
    <t>03-07-2024</t>
  </si>
  <si>
    <t>S12210</t>
  </si>
  <si>
    <t>16-10-2024</t>
  </si>
  <si>
    <t>S10471</t>
  </si>
  <si>
    <t>24-05-2023</t>
  </si>
  <si>
    <t>S12151</t>
  </si>
  <si>
    <t>S10509</t>
  </si>
  <si>
    <t>09-03-2024</t>
  </si>
  <si>
    <t>P1026</t>
  </si>
  <si>
    <t>S10755</t>
  </si>
  <si>
    <t>2023/03/04</t>
  </si>
  <si>
    <t>P1005</t>
  </si>
  <si>
    <t>S10933</t>
  </si>
  <si>
    <t>P1138</t>
  </si>
  <si>
    <t>S12800</t>
  </si>
  <si>
    <t>2023/12/21</t>
  </si>
  <si>
    <t>S12058</t>
  </si>
  <si>
    <t>S10770</t>
  </si>
  <si>
    <t>10-11-2023</t>
  </si>
  <si>
    <t>S10664</t>
  </si>
  <si>
    <t>2023/04/08</t>
  </si>
  <si>
    <t>S11942</t>
  </si>
  <si>
    <t>2024-12-21</t>
  </si>
  <si>
    <t>P1239</t>
  </si>
  <si>
    <t>S10468</t>
  </si>
  <si>
    <t>2023-03-07</t>
  </si>
  <si>
    <t>P1017</t>
  </si>
  <si>
    <t>S12266</t>
  </si>
  <si>
    <t>12-11-2023</t>
  </si>
  <si>
    <t>S10601</t>
  </si>
  <si>
    <t>S12159</t>
  </si>
  <si>
    <t>2024-04-20</t>
  </si>
  <si>
    <t>S12040</t>
  </si>
  <si>
    <t>2023-01-23</t>
  </si>
  <si>
    <t>S10188</t>
  </si>
  <si>
    <t>2023/08/24</t>
  </si>
  <si>
    <t>2023/12/25</t>
  </si>
  <si>
    <t>P1028</t>
  </si>
  <si>
    <t>S12708</t>
  </si>
  <si>
    <t>2024/09/01</t>
  </si>
  <si>
    <t>P1287</t>
  </si>
  <si>
    <t>S12570</t>
  </si>
  <si>
    <t>2023/08/31</t>
  </si>
  <si>
    <t>P1289</t>
  </si>
  <si>
    <t>S11022</t>
  </si>
  <si>
    <t>2023/10/05</t>
  </si>
  <si>
    <t>S10654</t>
  </si>
  <si>
    <t>14-04-2024</t>
  </si>
  <si>
    <t>S12308</t>
  </si>
  <si>
    <t>2023-03-22</t>
  </si>
  <si>
    <t>S10459</t>
  </si>
  <si>
    <t>2023-02-21</t>
  </si>
  <si>
    <t>S12847</t>
  </si>
  <si>
    <t>2024/08/20</t>
  </si>
  <si>
    <t>S11520</t>
  </si>
  <si>
    <t>07-10-2023</t>
  </si>
  <si>
    <t>P1182</t>
  </si>
  <si>
    <t>S10423</t>
  </si>
  <si>
    <t>2023/05/28</t>
  </si>
  <si>
    <t>S12072</t>
  </si>
  <si>
    <t>P1181</t>
  </si>
  <si>
    <t>S10702</t>
  </si>
  <si>
    <t>2023-04-16</t>
  </si>
  <si>
    <t>S10634</t>
  </si>
  <si>
    <t>2024-08-28</t>
  </si>
  <si>
    <t>29-05-2023</t>
  </si>
  <si>
    <t>P1230</t>
  </si>
  <si>
    <t>S12469</t>
  </si>
  <si>
    <t>2023/01/03</t>
  </si>
  <si>
    <t>S10203</t>
  </si>
  <si>
    <t>10-01-2023</t>
  </si>
  <si>
    <t>P1292</t>
  </si>
  <si>
    <t>S10291</t>
  </si>
  <si>
    <t>2024/02/24</t>
  </si>
  <si>
    <t>P1038</t>
  </si>
  <si>
    <t>P1187</t>
  </si>
  <si>
    <t>S11055</t>
  </si>
  <si>
    <t>S12991</t>
  </si>
  <si>
    <t>2023-06-16</t>
  </si>
  <si>
    <t>S10950</t>
  </si>
  <si>
    <t>02-04-2024</t>
  </si>
  <si>
    <t>P1172</t>
  </si>
  <si>
    <t>S11985</t>
  </si>
  <si>
    <t>2023-09-27</t>
  </si>
  <si>
    <t>S11304</t>
  </si>
  <si>
    <t>S10102</t>
  </si>
  <si>
    <t>2023-09-06</t>
  </si>
  <si>
    <t>S10655</t>
  </si>
  <si>
    <t>18-11-2024</t>
  </si>
  <si>
    <t>S11946</t>
  </si>
  <si>
    <t>2023/01/25</t>
  </si>
  <si>
    <t>S11927</t>
  </si>
  <si>
    <t>20-07-2024</t>
  </si>
  <si>
    <t>P1134</t>
  </si>
  <si>
    <t>S12010</t>
  </si>
  <si>
    <t>2023-08-01</t>
  </si>
  <si>
    <t>S11752</t>
  </si>
  <si>
    <t>2024/03/29</t>
  </si>
  <si>
    <t>S10400</t>
  </si>
  <si>
    <t>2024-03-21</t>
  </si>
  <si>
    <t>P1067</t>
  </si>
  <si>
    <t>S10382</t>
  </si>
  <si>
    <t>2024-12-09</t>
  </si>
  <si>
    <t>P1212</t>
  </si>
  <si>
    <t>S10336</t>
  </si>
  <si>
    <t>2023-09-25</t>
  </si>
  <si>
    <t>S11954</t>
  </si>
  <si>
    <t>2024/08/12</t>
  </si>
  <si>
    <t>S12740</t>
  </si>
  <si>
    <t>2023/10/22</t>
  </si>
  <si>
    <t>S12687</t>
  </si>
  <si>
    <t>21-04-2024</t>
  </si>
  <si>
    <t>07-06-2023</t>
  </si>
  <si>
    <t>S11390</t>
  </si>
  <si>
    <t>26-02-2023</t>
  </si>
  <si>
    <t>P1142</t>
  </si>
  <si>
    <t>S11723</t>
  </si>
  <si>
    <t>2023/05/10</t>
  </si>
  <si>
    <t>S11636</t>
  </si>
  <si>
    <t>S11749</t>
  </si>
  <si>
    <t>03-02-2023</t>
  </si>
  <si>
    <t>P1199</t>
  </si>
  <si>
    <t>S12931</t>
  </si>
  <si>
    <t>2023/09/21</t>
  </si>
  <si>
    <t>S11273</t>
  </si>
  <si>
    <t>2024-04-10</t>
  </si>
  <si>
    <t>S12906</t>
  </si>
  <si>
    <t>2023-01-31</t>
  </si>
  <si>
    <t>S11412</t>
  </si>
  <si>
    <t>19-05-2024</t>
  </si>
  <si>
    <t>P1141</t>
  </si>
  <si>
    <t>S11077</t>
  </si>
  <si>
    <t>2024/11/10</t>
  </si>
  <si>
    <t>P1299</t>
  </si>
  <si>
    <t>2024/04/02</t>
  </si>
  <si>
    <t>S10816</t>
  </si>
  <si>
    <t>16-02-2023</t>
  </si>
  <si>
    <t>2023/07/21</t>
  </si>
  <si>
    <t>S12190</t>
  </si>
  <si>
    <t>2023/11/27</t>
  </si>
  <si>
    <t>P1279</t>
  </si>
  <si>
    <t>S10099</t>
  </si>
  <si>
    <t>2023/09/20</t>
  </si>
  <si>
    <t>S10971</t>
  </si>
  <si>
    <t>S10380</t>
  </si>
  <si>
    <t>18-04-2024</t>
  </si>
  <si>
    <t>S10297</t>
  </si>
  <si>
    <t>2024-10-04</t>
  </si>
  <si>
    <t>P1122</t>
  </si>
  <si>
    <t>S12575</t>
  </si>
  <si>
    <t>S11529</t>
  </si>
  <si>
    <t>2024-04-17</t>
  </si>
  <si>
    <t>S10841</t>
  </si>
  <si>
    <t>P1173</t>
  </si>
  <si>
    <t>S11469</t>
  </si>
  <si>
    <t>15-08-2023</t>
  </si>
  <si>
    <t>S12353</t>
  </si>
  <si>
    <t>2023/09/16</t>
  </si>
  <si>
    <t>P1029</t>
  </si>
  <si>
    <t>S11388</t>
  </si>
  <si>
    <t>2023/08/27</t>
  </si>
  <si>
    <t>2024/03/23</t>
  </si>
  <si>
    <t>S12984</t>
  </si>
  <si>
    <t>24-05-2024</t>
  </si>
  <si>
    <t>P1034</t>
  </si>
  <si>
    <t>S12318</t>
  </si>
  <si>
    <t>P1281</t>
  </si>
  <si>
    <t>S12083</t>
  </si>
  <si>
    <t>13-05-2024</t>
  </si>
  <si>
    <t>S12273</t>
  </si>
  <si>
    <t>2024/05/19</t>
  </si>
  <si>
    <t>S12313</t>
  </si>
  <si>
    <t>2023/12/05</t>
  </si>
  <si>
    <t>S12064</t>
  </si>
  <si>
    <t>2023/11/20</t>
  </si>
  <si>
    <t>S11679</t>
  </si>
  <si>
    <t>2023/08/06</t>
  </si>
  <si>
    <t>S12742</t>
  </si>
  <si>
    <t>2023-12-26</t>
  </si>
  <si>
    <t>S11995</t>
  </si>
  <si>
    <t>18-08-2023</t>
  </si>
  <si>
    <t>P1135</t>
  </si>
  <si>
    <t>S12589</t>
  </si>
  <si>
    <t>2024-07-25</t>
  </si>
  <si>
    <t>P1069</t>
  </si>
  <si>
    <t>S10582</t>
  </si>
  <si>
    <t>2024/11/03</t>
  </si>
  <si>
    <t>S11969</t>
  </si>
  <si>
    <t>2024-11-30</t>
  </si>
  <si>
    <t>S10434</t>
  </si>
  <si>
    <t>2024-08-12</t>
  </si>
  <si>
    <t>S12632</t>
  </si>
  <si>
    <t>2023-08-16</t>
  </si>
  <si>
    <t>P1294</t>
  </si>
  <si>
    <t>S10946</t>
  </si>
  <si>
    <t>2023/10/13</t>
  </si>
  <si>
    <t>S11465</t>
  </si>
  <si>
    <t>2023/07/19</t>
  </si>
  <si>
    <t>S10934</t>
  </si>
  <si>
    <t>2024-10-26</t>
  </si>
  <si>
    <t>P1249</t>
  </si>
  <si>
    <t>S12230</t>
  </si>
  <si>
    <t>2024/12/03</t>
  </si>
  <si>
    <t>S11883</t>
  </si>
  <si>
    <t>2024-09-20</t>
  </si>
  <si>
    <t>S11354</t>
  </si>
  <si>
    <t>2023/04/19</t>
  </si>
  <si>
    <t>P1093</t>
  </si>
  <si>
    <t>S10041</t>
  </si>
  <si>
    <t>03-03-2024</t>
  </si>
  <si>
    <t>P1215</t>
  </si>
  <si>
    <t>S11422</t>
  </si>
  <si>
    <t>23-04-2024</t>
  </si>
  <si>
    <t>S11267</t>
  </si>
  <si>
    <t>S12924</t>
  </si>
  <si>
    <t>21-07-2023</t>
  </si>
  <si>
    <t>S12838</t>
  </si>
  <si>
    <t>S11626</t>
  </si>
  <si>
    <t>16-01-2023</t>
  </si>
  <si>
    <t>S10824</t>
  </si>
  <si>
    <t>2024-07-28</t>
  </si>
  <si>
    <t>S11444</t>
  </si>
  <si>
    <t>2023/05/23</t>
  </si>
  <si>
    <t>P1002</t>
  </si>
  <si>
    <t>S12886</t>
  </si>
  <si>
    <t>21-06-2023</t>
  </si>
  <si>
    <t>S11563</t>
  </si>
  <si>
    <t>09-07-2024</t>
  </si>
  <si>
    <t>2023-05-30</t>
  </si>
  <si>
    <t>P1237</t>
  </si>
  <si>
    <t>S10155</t>
  </si>
  <si>
    <t>2024/09/16</t>
  </si>
  <si>
    <t>2024/07/19</t>
  </si>
  <si>
    <t>S11537</t>
  </si>
  <si>
    <t>2024/08/16</t>
  </si>
  <si>
    <t>S12914</t>
  </si>
  <si>
    <t>02-12-2023</t>
  </si>
  <si>
    <t>S12427</t>
  </si>
  <si>
    <t>2023/01/07</t>
  </si>
  <si>
    <t>S12807</t>
  </si>
  <si>
    <t>01-05-2023</t>
  </si>
  <si>
    <t>P1101</t>
  </si>
  <si>
    <t>S10474</t>
  </si>
  <si>
    <t>2023/03/29</t>
  </si>
  <si>
    <t>S10815</t>
  </si>
  <si>
    <t>S12751</t>
  </si>
  <si>
    <t>2024/03/08</t>
  </si>
  <si>
    <t>S11300</t>
  </si>
  <si>
    <t>17-02-2023</t>
  </si>
  <si>
    <t>S12966</t>
  </si>
  <si>
    <t>2023/02/01</t>
  </si>
  <si>
    <t>S10240</t>
  </si>
  <si>
    <t>S11299</t>
  </si>
  <si>
    <t>2024-11-10</t>
  </si>
  <si>
    <t>P1278</t>
  </si>
  <si>
    <t>30-12-2024</t>
  </si>
  <si>
    <t>P1006</t>
  </si>
  <si>
    <t>2024-06-06</t>
  </si>
  <si>
    <t>P1053</t>
  </si>
  <si>
    <t>S12811</t>
  </si>
  <si>
    <t>2023/09/01</t>
  </si>
  <si>
    <t>S12287</t>
  </si>
  <si>
    <t>23-09-2024</t>
  </si>
  <si>
    <t>S12707</t>
  </si>
  <si>
    <t>2023-01-03</t>
  </si>
  <si>
    <t>P1166</t>
  </si>
  <si>
    <t>S10210</t>
  </si>
  <si>
    <t>P1154</t>
  </si>
  <si>
    <t>S10957</t>
  </si>
  <si>
    <t>2023-02-12</t>
  </si>
  <si>
    <t>S12106</t>
  </si>
  <si>
    <t>S10472</t>
  </si>
  <si>
    <t>S10813</t>
  </si>
  <si>
    <t>2023/12/02</t>
  </si>
  <si>
    <t>S10629</t>
  </si>
  <si>
    <t>07-05-2023</t>
  </si>
  <si>
    <t>S10008</t>
  </si>
  <si>
    <t>14-12-2024</t>
  </si>
  <si>
    <t>P1024</t>
  </si>
  <si>
    <t>S10254</t>
  </si>
  <si>
    <t>2024/07/03</t>
  </si>
  <si>
    <t>P1027</t>
  </si>
  <si>
    <t>S10280</t>
  </si>
  <si>
    <t>25-07-2023</t>
  </si>
  <si>
    <t>08-12-2024</t>
  </si>
  <si>
    <t>S12071</t>
  </si>
  <si>
    <t>P1118</t>
  </si>
  <si>
    <t>S12511</t>
  </si>
  <si>
    <t>30-11-2024</t>
  </si>
  <si>
    <t>S10429</t>
  </si>
  <si>
    <t>22-03-2024</t>
  </si>
  <si>
    <t>S10834</t>
  </si>
  <si>
    <t>S12940</t>
  </si>
  <si>
    <t>2023-07-14</t>
  </si>
  <si>
    <t>S10867</t>
  </si>
  <si>
    <t>2024/11/23</t>
  </si>
  <si>
    <t>S10622</t>
  </si>
  <si>
    <t>2023/02/28</t>
  </si>
  <si>
    <t>S11906</t>
  </si>
  <si>
    <t>26-11-2024</t>
  </si>
  <si>
    <t>S12757</t>
  </si>
  <si>
    <t>10-10-2024</t>
  </si>
  <si>
    <t>S10096</t>
  </si>
  <si>
    <t>2023/10/09</t>
  </si>
  <si>
    <t>2023-05-13</t>
  </si>
  <si>
    <t>P1269</t>
  </si>
  <si>
    <t>S11789</t>
  </si>
  <si>
    <t>2024-03-16</t>
  </si>
  <si>
    <t>P1189</t>
  </si>
  <si>
    <t>S12333</t>
  </si>
  <si>
    <t>28-01-2023</t>
  </si>
  <si>
    <t>S10512</t>
  </si>
  <si>
    <t>27-05-2024</t>
  </si>
  <si>
    <t>S11557</t>
  </si>
  <si>
    <t>2023-10-29</t>
  </si>
  <si>
    <t>S10917</t>
  </si>
  <si>
    <t>2023/02/14</t>
  </si>
  <si>
    <t>S11172</t>
  </si>
  <si>
    <t>2023-11-03</t>
  </si>
  <si>
    <t>S10964</t>
  </si>
  <si>
    <t>S10479</t>
  </si>
  <si>
    <t>2024/06/19</t>
  </si>
  <si>
    <t>02-12-2024</t>
  </si>
  <si>
    <t>S12395</t>
  </si>
  <si>
    <t>25-11-2024</t>
  </si>
  <si>
    <t>S11312</t>
  </si>
  <si>
    <t>2023-07-02</t>
  </si>
  <si>
    <t>P1100</t>
  </si>
  <si>
    <t>S12580</t>
  </si>
  <si>
    <t>2023-09-13</t>
  </si>
  <si>
    <t>2024-03-24</t>
  </si>
  <si>
    <t>P1231</t>
  </si>
  <si>
    <t>S12025</t>
  </si>
  <si>
    <t>2023/04/13</t>
  </si>
  <si>
    <t>S11326</t>
  </si>
  <si>
    <t>22-08-2023</t>
  </si>
  <si>
    <t>P1048</t>
  </si>
  <si>
    <t>S12609</t>
  </si>
  <si>
    <t>2024-03-22</t>
  </si>
  <si>
    <t>S11510</t>
  </si>
  <si>
    <t>01-10-2023</t>
  </si>
  <si>
    <t>S10272</t>
  </si>
  <si>
    <t>2024/05/01</t>
  </si>
  <si>
    <t>S10192</t>
  </si>
  <si>
    <t>2023-09-14</t>
  </si>
  <si>
    <t>S12561</t>
  </si>
  <si>
    <t>S10115</t>
  </si>
  <si>
    <t>2023/12/20</t>
  </si>
  <si>
    <t>S10939</t>
  </si>
  <si>
    <t>30-10-2024</t>
  </si>
  <si>
    <t>P1241</t>
  </si>
  <si>
    <t>S12338</t>
  </si>
  <si>
    <t>2023-03-21</t>
  </si>
  <si>
    <t>S11700</t>
  </si>
  <si>
    <t>2024-02-12</t>
  </si>
  <si>
    <t>P1244</t>
  </si>
  <si>
    <t>S11364</t>
  </si>
  <si>
    <t>27-10-2024</t>
  </si>
  <si>
    <t>2024-02-26</t>
  </si>
  <si>
    <t>P1206</t>
  </si>
  <si>
    <t>S11171</t>
  </si>
  <si>
    <t>2024/09/10</t>
  </si>
  <si>
    <t>S11899</t>
  </si>
  <si>
    <t>S10226</t>
  </si>
  <si>
    <t>2023-05-20</t>
  </si>
  <si>
    <t>S12641</t>
  </si>
  <si>
    <t>25-11-2023</t>
  </si>
  <si>
    <t>S11603</t>
  </si>
  <si>
    <t>15-01-2024</t>
  </si>
  <si>
    <t>P1255</t>
  </si>
  <si>
    <t>S10166</t>
  </si>
  <si>
    <t>2024-12-16</t>
  </si>
  <si>
    <t>P1149</t>
  </si>
  <si>
    <t>S10692</t>
  </si>
  <si>
    <t>2024/02/18</t>
  </si>
  <si>
    <t>S11917</t>
  </si>
  <si>
    <t>2023-12-29</t>
  </si>
  <si>
    <t>P1056</t>
  </si>
  <si>
    <t>S11366</t>
  </si>
  <si>
    <t>28-01-2024</t>
  </si>
  <si>
    <t>2023-07-19</t>
  </si>
  <si>
    <t>S10746</t>
  </si>
  <si>
    <t>2024-11-12</t>
  </si>
  <si>
    <t>P1001</t>
  </si>
  <si>
    <t>S12279</t>
  </si>
  <si>
    <t>S11987</t>
  </si>
  <si>
    <t>2023/07/31</t>
  </si>
  <si>
    <t>S11967</t>
  </si>
  <si>
    <t>20-02-2023</t>
  </si>
  <si>
    <t>S12419</t>
  </si>
  <si>
    <t>S11030</t>
  </si>
  <si>
    <t>S12271</t>
  </si>
  <si>
    <t>2023-12-19</t>
  </si>
  <si>
    <t>S12571</t>
  </si>
  <si>
    <t>P1030</t>
  </si>
  <si>
    <t>S12748</t>
  </si>
  <si>
    <t>2024-04-03</t>
  </si>
  <si>
    <t>17-04-2023</t>
  </si>
  <si>
    <t>S12312</t>
  </si>
  <si>
    <t>S12218</t>
  </si>
  <si>
    <t>09-02-2024</t>
  </si>
  <si>
    <t>2024-02-04</t>
  </si>
  <si>
    <t>P1211</t>
  </si>
  <si>
    <t>S12290</t>
  </si>
  <si>
    <t>2024-01-14</t>
  </si>
  <si>
    <t>S11475</t>
  </si>
  <si>
    <t>2024/12/11</t>
  </si>
  <si>
    <t>S10496</t>
  </si>
  <si>
    <t>2024/09/27</t>
  </si>
  <si>
    <t>P1160</t>
  </si>
  <si>
    <t>S11317</t>
  </si>
  <si>
    <t>28-09-2023</t>
  </si>
  <si>
    <t>S11540</t>
  </si>
  <si>
    <t>S10548</t>
  </si>
  <si>
    <t>P1112</t>
  </si>
  <si>
    <t>S10366</t>
  </si>
  <si>
    <t>03-07-2023</t>
  </si>
  <si>
    <t>S11059</t>
  </si>
  <si>
    <t>2024/06/11</t>
  </si>
  <si>
    <t>2023-04-22</t>
  </si>
  <si>
    <t>S12513</t>
  </si>
  <si>
    <t>2023-10-21</t>
  </si>
  <si>
    <t>S11822</t>
  </si>
  <si>
    <t>26-09-2023</t>
  </si>
  <si>
    <t>P1284</t>
  </si>
  <si>
    <t>S10999</t>
  </si>
  <si>
    <t>2023/06/18</t>
  </si>
  <si>
    <t>P1213</t>
  </si>
  <si>
    <t>S11701</t>
  </si>
  <si>
    <t>S10732</t>
  </si>
  <si>
    <t>2023/10/23</t>
  </si>
  <si>
    <t>S11345</t>
  </si>
  <si>
    <t>2024-06-19</t>
  </si>
  <si>
    <t>S10881</t>
  </si>
  <si>
    <t>05-09-2023</t>
  </si>
  <si>
    <t>2024-11-25</t>
  </si>
  <si>
    <t>S11558</t>
  </si>
  <si>
    <t>2024-06-01</t>
  </si>
  <si>
    <t>S10207</t>
  </si>
  <si>
    <t>2024/11/08</t>
  </si>
  <si>
    <t>2024/05/23</t>
  </si>
  <si>
    <t>S12002</t>
  </si>
  <si>
    <t>12-05-2024</t>
  </si>
  <si>
    <t>S10199</t>
  </si>
  <si>
    <t>2023/05/31</t>
  </si>
  <si>
    <t>S12113</t>
  </si>
  <si>
    <t>2024-02-27</t>
  </si>
  <si>
    <t>S11067</t>
  </si>
  <si>
    <t>S12379</t>
  </si>
  <si>
    <t>27-06-2023</t>
  </si>
  <si>
    <t>S10136</t>
  </si>
  <si>
    <t>2023-09-02</t>
  </si>
  <si>
    <t>S11468</t>
  </si>
  <si>
    <t>S11962</t>
  </si>
  <si>
    <t>P1071</t>
  </si>
  <si>
    <t>S12617</t>
  </si>
  <si>
    <t>21-09-2024</t>
  </si>
  <si>
    <t>S12739</t>
  </si>
  <si>
    <t>2024-10-16</t>
  </si>
  <si>
    <t>S11746</t>
  </si>
  <si>
    <t>2023-04-05</t>
  </si>
  <si>
    <t>S12181</t>
  </si>
  <si>
    <t>2024/11/16</t>
  </si>
  <si>
    <t>06-07-2023</t>
  </si>
  <si>
    <t>S10103</t>
  </si>
  <si>
    <t>2023-11-28</t>
  </si>
  <si>
    <t>P1266</t>
  </si>
  <si>
    <t>2024-06-21</t>
  </si>
  <si>
    <t>P1044</t>
  </si>
  <si>
    <t>S11909</t>
  </si>
  <si>
    <t>21-07-2024</t>
  </si>
  <si>
    <t>S11399</t>
  </si>
  <si>
    <t>2023/08/03</t>
  </si>
  <si>
    <t>P1073</t>
  </si>
  <si>
    <t>19-09-2023</t>
  </si>
  <si>
    <t>2023-06-23</t>
  </si>
  <si>
    <t>S12921</t>
  </si>
  <si>
    <t>S12054</t>
  </si>
  <si>
    <t>2023-11-14</t>
  </si>
  <si>
    <t>S10345</t>
  </si>
  <si>
    <t>2024/04/06</t>
  </si>
  <si>
    <t>P1014</t>
  </si>
  <si>
    <t>S12881</t>
  </si>
  <si>
    <t>19-07-2023</t>
  </si>
  <si>
    <t>P1198</t>
  </si>
  <si>
    <t>S10129</t>
  </si>
  <si>
    <t>S12223</t>
  </si>
  <si>
    <t>2023/08/11</t>
  </si>
  <si>
    <t>P1188</t>
  </si>
  <si>
    <t>S10891</t>
  </si>
  <si>
    <t>S10337</t>
  </si>
  <si>
    <t>14-03-2023</t>
  </si>
  <si>
    <t>S12042</t>
  </si>
  <si>
    <t>S10885</t>
  </si>
  <si>
    <t>05-12-2024</t>
  </si>
  <si>
    <t>2024-08-11</t>
  </si>
  <si>
    <t>S12579</t>
  </si>
  <si>
    <t>2023-04-26</t>
  </si>
  <si>
    <t>S10944</t>
  </si>
  <si>
    <t>2024/10/30</t>
  </si>
  <si>
    <t>S10827</t>
  </si>
  <si>
    <t>2023-10-19</t>
  </si>
  <si>
    <t>P1235</t>
  </si>
  <si>
    <t>S12769</t>
  </si>
  <si>
    <t>2024-08-01</t>
  </si>
  <si>
    <t>S10296</t>
  </si>
  <si>
    <t>2024-01-02</t>
  </si>
  <si>
    <t>S10307</t>
  </si>
  <si>
    <t>2024-11-09</t>
  </si>
  <si>
    <t>S10913</t>
  </si>
  <si>
    <t>21-03-2023</t>
  </si>
  <si>
    <t>S11652</t>
  </si>
  <si>
    <t>2023/09/15</t>
  </si>
  <si>
    <t>P1245</t>
  </si>
  <si>
    <t>S11725</t>
  </si>
  <si>
    <t>S10630</t>
  </si>
  <si>
    <t>2023-04-10</t>
  </si>
  <si>
    <t>2023-04-23</t>
  </si>
  <si>
    <t>S10826</t>
  </si>
  <si>
    <t>2023-05-28</t>
  </si>
  <si>
    <t>S10339</t>
  </si>
  <si>
    <t>30-06-2024</t>
  </si>
  <si>
    <t>07-04-2023</t>
  </si>
  <si>
    <t>S12187</t>
  </si>
  <si>
    <t>21-02-2023</t>
  </si>
  <si>
    <t>2023/11/01</t>
  </si>
  <si>
    <t>S12981</t>
  </si>
  <si>
    <t>30-03-2024</t>
  </si>
  <si>
    <t>S11876</t>
  </si>
  <si>
    <t>16-03-2024</t>
  </si>
  <si>
    <t>S10766</t>
  </si>
  <si>
    <t>2023/08/28</t>
  </si>
  <si>
    <t>P1144</t>
  </si>
  <si>
    <t>S12598</t>
  </si>
  <si>
    <t>2023-03-11</t>
  </si>
  <si>
    <t>S11348</t>
  </si>
  <si>
    <t>2024/01/02</t>
  </si>
  <si>
    <t>S12233</t>
  </si>
  <si>
    <t>25-02-2023</t>
  </si>
  <si>
    <t>2024/02/25</t>
  </si>
  <si>
    <t>S10142</t>
  </si>
  <si>
    <t>2024-02-18</t>
  </si>
  <si>
    <t>S11056</t>
  </si>
  <si>
    <t>2023/06/29</t>
  </si>
  <si>
    <t>2023/08/01</t>
  </si>
  <si>
    <t>S10507</t>
  </si>
  <si>
    <t>S12117</t>
  </si>
  <si>
    <t>2023-02-06</t>
  </si>
  <si>
    <t>S12258</t>
  </si>
  <si>
    <t>2023-02-23</t>
  </si>
  <si>
    <t>P1088</t>
  </si>
  <si>
    <t>S12086</t>
  </si>
  <si>
    <t>2024/02/05</t>
  </si>
  <si>
    <t>S12073</t>
  </si>
  <si>
    <t>S12160</t>
  </si>
  <si>
    <t>09-05-2023</t>
  </si>
  <si>
    <t>S11627</t>
  </si>
  <si>
    <t>27-08-2024</t>
  </si>
  <si>
    <t>24-12-2023</t>
  </si>
  <si>
    <t>S11758</t>
  </si>
  <si>
    <t>07-10-2024</t>
  </si>
  <si>
    <t>S10569</t>
  </si>
  <si>
    <t>2023/04/14</t>
  </si>
  <si>
    <t>2024/06/09</t>
  </si>
  <si>
    <t>S12091</t>
  </si>
  <si>
    <t>S11616</t>
  </si>
  <si>
    <t>S10912</t>
  </si>
  <si>
    <t>2024/02/14</t>
  </si>
  <si>
    <t>S10931</t>
  </si>
  <si>
    <t>2024-07-26</t>
  </si>
  <si>
    <t>S11181</t>
  </si>
  <si>
    <t>30-11-2023</t>
  </si>
  <si>
    <t>P1045</t>
  </si>
  <si>
    <t>S11256</t>
  </si>
  <si>
    <t>2023-08-24</t>
  </si>
  <si>
    <t>S11352</t>
  </si>
  <si>
    <t>2023/05/04</t>
  </si>
  <si>
    <t>S10273</t>
  </si>
  <si>
    <t>2024-07-05</t>
  </si>
  <si>
    <t>S12824</t>
  </si>
  <si>
    <t>2023/02/16</t>
  </si>
  <si>
    <t>S11454</t>
  </si>
  <si>
    <t>01-01-2024</t>
  </si>
  <si>
    <t>S10759</t>
  </si>
  <si>
    <t>2023/07/04</t>
  </si>
  <si>
    <t>S12085</t>
  </si>
  <si>
    <t>S12441</t>
  </si>
  <si>
    <t>2024-05-10</t>
  </si>
  <si>
    <t>S12324</t>
  </si>
  <si>
    <t>2024/04/08</t>
  </si>
  <si>
    <t>S11730</t>
  </si>
  <si>
    <t>2023/11/15</t>
  </si>
  <si>
    <t>S11516</t>
  </si>
  <si>
    <t>S11977</t>
  </si>
  <si>
    <t>2024/05/28</t>
  </si>
  <si>
    <t>P1216</t>
  </si>
  <si>
    <t>2023/12/09</t>
  </si>
  <si>
    <t>S12226</t>
  </si>
  <si>
    <t>19-08-2023</t>
  </si>
  <si>
    <t>18-11-2023</t>
  </si>
  <si>
    <t>S10890</t>
  </si>
  <si>
    <t>2024/01/18</t>
  </si>
  <si>
    <t>2024-12-31</t>
  </si>
  <si>
    <t>16-09-2023</t>
  </si>
  <si>
    <t>S11997</t>
  </si>
  <si>
    <t>2023/08/05</t>
  </si>
  <si>
    <t>S12260</t>
  </si>
  <si>
    <t>09-02-2023</t>
  </si>
  <si>
    <t>S12623</t>
  </si>
  <si>
    <t>03-10-2024</t>
  </si>
  <si>
    <t>S12189</t>
  </si>
  <si>
    <t>18-07-2023</t>
  </si>
  <si>
    <t>S11764</t>
  </si>
  <si>
    <t>S12455</t>
  </si>
  <si>
    <t>2024/03/09</t>
  </si>
  <si>
    <t>S12383</t>
  </si>
  <si>
    <t>2024/06/23</t>
  </si>
  <si>
    <t>S11248</t>
  </si>
  <si>
    <t>2023/05/05</t>
  </si>
  <si>
    <t>S12253</t>
  </si>
  <si>
    <t>2024/10/06</t>
  </si>
  <si>
    <t>S11085</t>
  </si>
  <si>
    <t>S12666</t>
  </si>
  <si>
    <t>08-06-2023</t>
  </si>
  <si>
    <t>S10069</t>
  </si>
  <si>
    <t>2024/10/31</t>
  </si>
  <si>
    <t>19-01-2024</t>
  </si>
  <si>
    <t>P1119</t>
  </si>
  <si>
    <t>S11158</t>
  </si>
  <si>
    <t>S12556</t>
  </si>
  <si>
    <t>2023-09-03</t>
  </si>
  <si>
    <t>S12918</t>
  </si>
  <si>
    <t>S11004</t>
  </si>
  <si>
    <t>2024/06/16</t>
  </si>
  <si>
    <t>S12903</t>
  </si>
  <si>
    <t>2024-10-06</t>
  </si>
  <si>
    <t>25-07-2024</t>
  </si>
  <si>
    <t>10-05-2023</t>
  </si>
  <si>
    <t>P1115</t>
  </si>
  <si>
    <t>S11697</t>
  </si>
  <si>
    <t>04-07-2023</t>
  </si>
  <si>
    <t>S10143</t>
  </si>
  <si>
    <t>2024/04/10</t>
  </si>
  <si>
    <t>S11519</t>
  </si>
  <si>
    <t>2023-12-04</t>
  </si>
  <si>
    <t>S11166</t>
  </si>
  <si>
    <t>2023/01/21</t>
  </si>
  <si>
    <t>S11647</t>
  </si>
  <si>
    <t>2024-04-09</t>
  </si>
  <si>
    <t>S10164</t>
  </si>
  <si>
    <t>P1253</t>
  </si>
  <si>
    <t>S10874</t>
  </si>
  <si>
    <t>14-06-2024</t>
  </si>
  <si>
    <t>S12961</t>
  </si>
  <si>
    <t>04-08-2023</t>
  </si>
  <si>
    <t>S11935</t>
  </si>
  <si>
    <t>S11921</t>
  </si>
  <si>
    <t>2023-03-16</t>
  </si>
  <si>
    <t>S11073</t>
  </si>
  <si>
    <t>16-10-2023</t>
  </si>
  <si>
    <t>S12170</t>
  </si>
  <si>
    <t>2024/06/26</t>
  </si>
  <si>
    <t>S12171</t>
  </si>
  <si>
    <t>2024-03-30</t>
  </si>
  <si>
    <t>S11817</t>
  </si>
  <si>
    <t>S10377</t>
  </si>
  <si>
    <t>24-11-2023</t>
  </si>
  <si>
    <t>2023/10/18</t>
  </si>
  <si>
    <t>S11864</t>
  </si>
  <si>
    <t>22-12-2024</t>
  </si>
  <si>
    <t>S10054</t>
  </si>
  <si>
    <t>08-10-2023</t>
  </si>
  <si>
    <t>S11135</t>
  </si>
  <si>
    <t>S11981</t>
  </si>
  <si>
    <t>S12039</t>
  </si>
  <si>
    <t>S11423</t>
  </si>
  <si>
    <t>2023/12/16</t>
  </si>
  <si>
    <t>P1126</t>
  </si>
  <si>
    <t>S12330</t>
  </si>
  <si>
    <t>2023-05-16</t>
  </si>
  <si>
    <t>S10613</t>
  </si>
  <si>
    <t>2024/03/17</t>
  </si>
  <si>
    <t>S12660</t>
  </si>
  <si>
    <t>S11155</t>
  </si>
  <si>
    <t>2024/12/28</t>
  </si>
  <si>
    <t>S12946</t>
  </si>
  <si>
    <t>S12992</t>
  </si>
  <si>
    <t>2024-05-11</t>
  </si>
  <si>
    <t>S11365</t>
  </si>
  <si>
    <t>P1153</t>
  </si>
  <si>
    <t>S11860</t>
  </si>
  <si>
    <t>2023-06-18</t>
  </si>
  <si>
    <t>S12475</t>
  </si>
  <si>
    <t>2024-08-13</t>
  </si>
  <si>
    <t>S11611</t>
  </si>
  <si>
    <t>27-04-2023</t>
  </si>
  <si>
    <t>S12680</t>
  </si>
  <si>
    <t>2023/04/17</t>
  </si>
  <si>
    <t>S12269</t>
  </si>
  <si>
    <t>S10959</t>
  </si>
  <si>
    <t>2023-08-23</t>
  </si>
  <si>
    <t>S10126</t>
  </si>
  <si>
    <t>07-12-2023</t>
  </si>
  <si>
    <t>S11072</t>
  </si>
  <si>
    <t>2023/01/09</t>
  </si>
  <si>
    <t>S12512</t>
  </si>
  <si>
    <t>P1179</t>
  </si>
  <si>
    <t>22-11-2023</t>
  </si>
  <si>
    <t>16-11-2024</t>
  </si>
  <si>
    <t>P1050</t>
  </si>
  <si>
    <t>2023/06/11</t>
  </si>
  <si>
    <t>S12359</t>
  </si>
  <si>
    <t>25-05-2023</t>
  </si>
  <si>
    <t>S12418</t>
  </si>
  <si>
    <t>2023/11/30</t>
  </si>
  <si>
    <t>S11555</t>
  </si>
  <si>
    <t>2023/09/25</t>
  </si>
  <si>
    <t>S11347</t>
  </si>
  <si>
    <t>P1196</t>
  </si>
  <si>
    <t>S10014</t>
  </si>
  <si>
    <t>S12360</t>
  </si>
  <si>
    <t>23-06-2024</t>
  </si>
  <si>
    <t>S10535</t>
  </si>
  <si>
    <t>2024/11/27</t>
  </si>
  <si>
    <t>S12119</t>
  </si>
  <si>
    <t>2024-05-21</t>
  </si>
  <si>
    <t>S11696</t>
  </si>
  <si>
    <t>2024/02/12</t>
  </si>
  <si>
    <t>P1295</t>
  </si>
  <si>
    <t>S11371</t>
  </si>
  <si>
    <t>S11048</t>
  </si>
  <si>
    <t>S10884</t>
  </si>
  <si>
    <t>16-04-2024</t>
  </si>
  <si>
    <t>S11377</t>
  </si>
  <si>
    <t>2024/04/05</t>
  </si>
  <si>
    <t>S11043</t>
  </si>
  <si>
    <t>S10897</t>
  </si>
  <si>
    <t>S11890</t>
  </si>
  <si>
    <t>2023/09/12</t>
  </si>
  <si>
    <t>P1130</t>
  </si>
  <si>
    <t>S11313</t>
  </si>
  <si>
    <t>S10060</t>
  </si>
  <si>
    <t>2023/07/26</t>
  </si>
  <si>
    <t>S11133</t>
  </si>
  <si>
    <t>02-05-2023</t>
  </si>
  <si>
    <t>S11491</t>
  </si>
  <si>
    <t>S10006</t>
  </si>
  <si>
    <t>12-07-2024</t>
  </si>
  <si>
    <t>S10456</t>
  </si>
  <si>
    <t>2024/07/21</t>
  </si>
  <si>
    <t>P1275</t>
  </si>
  <si>
    <t>S10078</t>
  </si>
  <si>
    <t>S10789</t>
  </si>
  <si>
    <t>2023-10-10</t>
  </si>
  <si>
    <t>S12092</t>
  </si>
  <si>
    <t>S11097</t>
  </si>
  <si>
    <t>2023/05/02</t>
  </si>
  <si>
    <t>S11988</t>
  </si>
  <si>
    <t>2023/07/16</t>
  </si>
  <si>
    <t>P1246</t>
  </si>
  <si>
    <t>2024-06-29</t>
  </si>
  <si>
    <t>S10401</t>
  </si>
  <si>
    <t>2023-09-19</t>
  </si>
  <si>
    <t>S12191</t>
  </si>
  <si>
    <t>2024/07/13</t>
  </si>
  <si>
    <t>P1267</t>
  </si>
  <si>
    <t>S10367</t>
  </si>
  <si>
    <t>2024-08-25</t>
  </si>
  <si>
    <t>S12669</t>
  </si>
  <si>
    <t>08-03-2023</t>
  </si>
  <si>
    <t>S12142</t>
  </si>
  <si>
    <t>S12188</t>
  </si>
  <si>
    <t>11-03-2024</t>
  </si>
  <si>
    <t>S12195</t>
  </si>
  <si>
    <t>06-03-2023</t>
  </si>
  <si>
    <t>S11721</t>
  </si>
  <si>
    <t>2023-02-26</t>
  </si>
  <si>
    <t>S10063</t>
  </si>
  <si>
    <t>S11157</t>
  </si>
  <si>
    <t>2024/11/15</t>
  </si>
  <si>
    <t>2024-10-05</t>
  </si>
  <si>
    <t>S12495</t>
  </si>
  <si>
    <t>2024/05/22</t>
  </si>
  <si>
    <t>S12396</t>
  </si>
  <si>
    <t>2023/12/24</t>
  </si>
  <si>
    <t>15-09-2023</t>
  </si>
  <si>
    <t>S11804</t>
  </si>
  <si>
    <t>29-05-2024</t>
  </si>
  <si>
    <t>S12101</t>
  </si>
  <si>
    <t>2023/02/18</t>
  </si>
  <si>
    <t>S12767</t>
  </si>
  <si>
    <t>2023-07-07</t>
  </si>
  <si>
    <t>P1019</t>
  </si>
  <si>
    <t>S12057</t>
  </si>
  <si>
    <t>16-06-2023</t>
  </si>
  <si>
    <t>S12095</t>
  </si>
  <si>
    <t>2024-03-03</t>
  </si>
  <si>
    <t>S10252</t>
  </si>
  <si>
    <t>19-11-2023</t>
  </si>
  <si>
    <t>2023/05/20</t>
  </si>
  <si>
    <t>2024/01/20</t>
  </si>
  <si>
    <t>S10677</t>
  </si>
  <si>
    <t>2023-01-21</t>
  </si>
  <si>
    <t>S12576</t>
  </si>
  <si>
    <t>2023-12-27</t>
  </si>
  <si>
    <t>S10903</t>
  </si>
  <si>
    <t>15-06-2023</t>
  </si>
  <si>
    <t>S12808</t>
  </si>
  <si>
    <t>P1161</t>
  </si>
  <si>
    <t>S10721</t>
  </si>
  <si>
    <t>P1277</t>
  </si>
  <si>
    <t>2023-06-02</t>
  </si>
  <si>
    <t>2023-05-01</t>
  </si>
  <si>
    <t>S10285</t>
  </si>
  <si>
    <t>11-06-2024</t>
  </si>
  <si>
    <t>S10042</t>
  </si>
  <si>
    <t>2024-08-09</t>
  </si>
  <si>
    <t>S11228</t>
  </si>
  <si>
    <t>2023/01/04</t>
  </si>
  <si>
    <t>P1097</t>
  </si>
  <si>
    <t>S12832</t>
  </si>
  <si>
    <t>09-11-2024</t>
  </si>
  <si>
    <t>S12548</t>
  </si>
  <si>
    <t>2024-06-18</t>
  </si>
  <si>
    <t>S10350</t>
  </si>
  <si>
    <t>2024-08-22</t>
  </si>
  <si>
    <t>S11568</t>
  </si>
  <si>
    <t>06-08-2024</t>
  </si>
  <si>
    <t>09-08-2024</t>
  </si>
  <si>
    <t>07-01-2024</t>
  </si>
  <si>
    <t>S12474</t>
  </si>
  <si>
    <t>2023/11/05</t>
  </si>
  <si>
    <t>2024/10/27</t>
  </si>
  <si>
    <t>S11591</t>
  </si>
  <si>
    <t>2023-06-10</t>
  </si>
  <si>
    <t>S10430</t>
  </si>
  <si>
    <t>2024/12/20</t>
  </si>
  <si>
    <t>S11341</t>
  </si>
  <si>
    <t>S10728</t>
  </si>
  <si>
    <t>26-05-2024</t>
  </si>
  <si>
    <t>P1218</t>
  </si>
  <si>
    <t>S11183</t>
  </si>
  <si>
    <t>18-10-2023</t>
  </si>
  <si>
    <t>2023/05/09</t>
  </si>
  <si>
    <t>S11296</t>
  </si>
  <si>
    <t>2024/08/10</t>
  </si>
  <si>
    <t>S10812</t>
  </si>
  <si>
    <t>S11436</t>
  </si>
  <si>
    <t>2023-10-14</t>
  </si>
  <si>
    <t>S10411</t>
  </si>
  <si>
    <t>22-07-2024</t>
  </si>
  <si>
    <t>S10930</t>
  </si>
  <si>
    <t>2024-05-16</t>
  </si>
  <si>
    <t>S12272</t>
  </si>
  <si>
    <t>22-10-2023</t>
  </si>
  <si>
    <t>S10173</t>
  </si>
  <si>
    <t>18-02-2023</t>
  </si>
  <si>
    <t>S10860</t>
  </si>
  <si>
    <t>S10773</t>
  </si>
  <si>
    <t>S11574</t>
  </si>
  <si>
    <t>2023/03/26</t>
  </si>
  <si>
    <t>2024/02/11</t>
  </si>
  <si>
    <t>17-10-2023</t>
  </si>
  <si>
    <t>S12099</t>
  </si>
  <si>
    <t>2023-10-08</t>
  </si>
  <si>
    <t>S11439</t>
  </si>
  <si>
    <t>2023-05-31</t>
  </si>
  <si>
    <t>P1051</t>
  </si>
  <si>
    <t>S10003</t>
  </si>
  <si>
    <t>S12069</t>
  </si>
  <si>
    <t>2023/10/10</t>
  </si>
  <si>
    <t>S10265</t>
  </si>
  <si>
    <t>S10449</t>
  </si>
  <si>
    <t>20-10-2024</t>
  </si>
  <si>
    <t>S12211</t>
  </si>
  <si>
    <t>15-05-2023</t>
  </si>
  <si>
    <t>S11336</t>
  </si>
  <si>
    <t>2024-05-23</t>
  </si>
  <si>
    <t>S10761</t>
  </si>
  <si>
    <t>2023-11-07</t>
  </si>
  <si>
    <t>S12458</t>
  </si>
  <si>
    <t>2023-09-11</t>
  </si>
  <si>
    <t>2023-03-06</t>
  </si>
  <si>
    <t>S11154</t>
  </si>
  <si>
    <t>P1054</t>
  </si>
  <si>
    <t>2023/12/19</t>
  </si>
  <si>
    <t>S12951</t>
  </si>
  <si>
    <t>18-06-2024</t>
  </si>
  <si>
    <t>S11955</t>
  </si>
  <si>
    <t>2023/03/27</t>
  </si>
  <si>
    <t>S11490</t>
  </si>
  <si>
    <t>02-01-2024</t>
  </si>
  <si>
    <t>S10997</t>
  </si>
  <si>
    <t>2023/07/18</t>
  </si>
  <si>
    <t>S12869</t>
  </si>
  <si>
    <t>S12621</t>
  </si>
  <si>
    <t>S12173</t>
  </si>
  <si>
    <t>2024-11-29</t>
  </si>
  <si>
    <t>S11247</t>
  </si>
  <si>
    <t>S11016</t>
  </si>
  <si>
    <t>21-08-2024</t>
  </si>
  <si>
    <t>S11654</t>
  </si>
  <si>
    <t>2023/11/21</t>
  </si>
  <si>
    <t>S11010</t>
  </si>
  <si>
    <t>2024/10/03</t>
  </si>
  <si>
    <t>S11769</t>
  </si>
  <si>
    <t>08-01-2023</t>
  </si>
  <si>
    <t>S10993</t>
  </si>
  <si>
    <t>2023/12/03</t>
  </si>
  <si>
    <t>S11168</t>
  </si>
  <si>
    <t>04-12-2023</t>
  </si>
  <si>
    <t>S12882</t>
  </si>
  <si>
    <t>21-09-2023</t>
  </si>
  <si>
    <t>14-10-2023</t>
  </si>
  <si>
    <t>S11457</t>
  </si>
  <si>
    <t>20-04-2024</t>
  </si>
  <si>
    <t>S12520</t>
  </si>
  <si>
    <t>28-08-2023</t>
  </si>
  <si>
    <t>S10693</t>
  </si>
  <si>
    <t>S11359</t>
  </si>
  <si>
    <t>2024-01-19</t>
  </si>
  <si>
    <t>S12502</t>
  </si>
  <si>
    <t>2024/02/15</t>
  </si>
  <si>
    <t>S12508</t>
  </si>
  <si>
    <t>2023-02-08</t>
  </si>
  <si>
    <t>S12478</t>
  </si>
  <si>
    <t>S12558</t>
  </si>
  <si>
    <t>2023/05/19</t>
  </si>
  <si>
    <t>S10073</t>
  </si>
  <si>
    <t>2024/11/14</t>
  </si>
  <si>
    <t>S10737</t>
  </si>
  <si>
    <t>S11117</t>
  </si>
  <si>
    <t>2024-10-01</t>
  </si>
  <si>
    <t>2023/01/22</t>
  </si>
  <si>
    <t>S11501</t>
  </si>
  <si>
    <t>2024-02-24</t>
  </si>
  <si>
    <t>S11238</t>
  </si>
  <si>
    <t>2024/09/08</t>
  </si>
  <si>
    <t>S10686</t>
  </si>
  <si>
    <t>P1157</t>
  </si>
  <si>
    <t>S12709</t>
  </si>
  <si>
    <t>S12743</t>
  </si>
  <si>
    <t>S11634</t>
  </si>
  <si>
    <t>25-01-2023</t>
  </si>
  <si>
    <t>S10987</t>
  </si>
  <si>
    <t>2023/06/21</t>
  </si>
  <si>
    <t>06-09-2024</t>
  </si>
  <si>
    <t>S11112</t>
  </si>
  <si>
    <t>2024-09-30</t>
  </si>
  <si>
    <t>S11295</t>
  </si>
  <si>
    <t>2024/04/18</t>
  </si>
  <si>
    <t>S11075</t>
  </si>
  <si>
    <t>S12655</t>
  </si>
  <si>
    <t>2023-06-08</t>
  </si>
  <si>
    <t>S12093</t>
  </si>
  <si>
    <t>25-10-2023</t>
  </si>
  <si>
    <t>S12390</t>
  </si>
  <si>
    <t>2023/03/05</t>
  </si>
  <si>
    <t>S11896</t>
  </si>
  <si>
    <t>2023/03/20</t>
  </si>
  <si>
    <t>S12934</t>
  </si>
  <si>
    <t>03-05-2023</t>
  </si>
  <si>
    <t>P1039</t>
  </si>
  <si>
    <t>S11137</t>
  </si>
  <si>
    <t>2024/03/13</t>
  </si>
  <si>
    <t>S12895</t>
  </si>
  <si>
    <t>S11798</t>
  </si>
  <si>
    <t>P1250</t>
  </si>
  <si>
    <t>2024/01/12</t>
  </si>
  <si>
    <t>S11163</t>
  </si>
  <si>
    <t>30-07-2023</t>
  </si>
  <si>
    <t>S11664</t>
  </si>
  <si>
    <t>P1236</t>
  </si>
  <si>
    <t>S11184</t>
  </si>
  <si>
    <t>2024/12/31</t>
  </si>
  <si>
    <t>S10696</t>
  </si>
  <si>
    <t>2023-02-04</t>
  </si>
  <si>
    <t>S11836</t>
  </si>
  <si>
    <t>2023-11-02</t>
  </si>
  <si>
    <t>S11036</t>
  </si>
  <si>
    <t>2024-04-28</t>
  </si>
  <si>
    <t>S12526</t>
  </si>
  <si>
    <t>S11522</t>
  </si>
  <si>
    <t>2023/04/20</t>
  </si>
  <si>
    <t>S11060</t>
  </si>
  <si>
    <t>S12625</t>
  </si>
  <si>
    <t>S12964</t>
  </si>
  <si>
    <t>29-10-2024</t>
  </si>
  <si>
    <t>S12250</t>
  </si>
  <si>
    <t>24-03-2024</t>
  </si>
  <si>
    <t>S11275</t>
  </si>
  <si>
    <t>S12090</t>
  </si>
  <si>
    <t>2023-10-11</t>
  </si>
  <si>
    <t>2023-09-21</t>
  </si>
  <si>
    <t>S10301</t>
  </si>
  <si>
    <t>30-08-2024</t>
  </si>
  <si>
    <t>P1221</t>
  </si>
  <si>
    <t>S11638</t>
  </si>
  <si>
    <t>2024-09-07</t>
  </si>
  <si>
    <t>2024/01/25</t>
  </si>
  <si>
    <t>2023-02-27</t>
  </si>
  <si>
    <t>S12806</t>
  </si>
  <si>
    <t>2024/10/18</t>
  </si>
  <si>
    <t>S11811</t>
  </si>
  <si>
    <t>S10216</t>
  </si>
  <si>
    <t>2024/11/18</t>
  </si>
  <si>
    <t>18-01-2023</t>
  </si>
  <si>
    <t>S11243</t>
  </si>
  <si>
    <t>S10011</t>
  </si>
  <si>
    <t>07-12-2024</t>
  </si>
  <si>
    <t>S12334</t>
  </si>
  <si>
    <t>S10426</t>
  </si>
  <si>
    <t>S12837</t>
  </si>
  <si>
    <t>2024/09/26</t>
  </si>
  <si>
    <t>2023/01/15</t>
  </si>
  <si>
    <t>S11706</t>
  </si>
  <si>
    <t>2023-02-15</t>
  </si>
  <si>
    <t>S10110</t>
  </si>
  <si>
    <t>08-01-2024</t>
  </si>
  <si>
    <t>S12323</t>
  </si>
  <si>
    <t>2024/07/02</t>
  </si>
  <si>
    <t>2023-11-21</t>
  </si>
  <si>
    <t>2023-09-10</t>
  </si>
  <si>
    <t>S11712</t>
  </si>
  <si>
    <t>2024-12-23</t>
  </si>
  <si>
    <t>S10781</t>
  </si>
  <si>
    <t>02-02-2023</t>
  </si>
  <si>
    <t>S10035</t>
  </si>
  <si>
    <t>13-02-2023</t>
  </si>
  <si>
    <t>S11450</t>
  </si>
  <si>
    <t>2024/08/05</t>
  </si>
  <si>
    <t>S11458</t>
  </si>
  <si>
    <t>S12480</t>
  </si>
  <si>
    <t>2023/11/04</t>
  </si>
  <si>
    <t>S10409</t>
  </si>
  <si>
    <t>2023/09/06</t>
  </si>
  <si>
    <t>S11806</t>
  </si>
  <si>
    <t>2024-02-11</t>
  </si>
  <si>
    <t>01-06-2024</t>
  </si>
  <si>
    <t>P1271</t>
  </si>
  <si>
    <t>S10486</t>
  </si>
  <si>
    <t>S11194</t>
  </si>
  <si>
    <t>2024-04-26</t>
  </si>
  <si>
    <t>S12047</t>
  </si>
  <si>
    <t>2024/03/16</t>
  </si>
  <si>
    <t>S12672</t>
  </si>
  <si>
    <t>2023/01/19</t>
  </si>
  <si>
    <t>S12296</t>
  </si>
  <si>
    <t>2023-06-24</t>
  </si>
  <si>
    <t>2024/11/17</t>
  </si>
  <si>
    <t>S11283</t>
  </si>
  <si>
    <t>2024/09/17</t>
  </si>
  <si>
    <t>S10269</t>
  </si>
  <si>
    <t>2024/11/22</t>
  </si>
  <si>
    <t>S11195</t>
  </si>
  <si>
    <t>2023/06/26</t>
  </si>
  <si>
    <t>S11479</t>
  </si>
  <si>
    <t>S10554</t>
  </si>
  <si>
    <t>01-08-2024</t>
  </si>
  <si>
    <t>S10585</t>
  </si>
  <si>
    <t>2024-09-05</t>
  </si>
  <si>
    <t>S12973</t>
  </si>
  <si>
    <t>2024-12-04</t>
  </si>
  <si>
    <t>S11189</t>
  </si>
  <si>
    <t>S11216</t>
  </si>
  <si>
    <t>03-04-2023</t>
  </si>
  <si>
    <t>S11950</t>
  </si>
  <si>
    <t>03-02-2024</t>
  </si>
  <si>
    <t>S10068</t>
  </si>
  <si>
    <t>06-06-2023</t>
  </si>
  <si>
    <t>P1003</t>
  </si>
  <si>
    <t>S12433</t>
  </si>
  <si>
    <t>2023/11/03</t>
  </si>
  <si>
    <t>S11795</t>
  </si>
  <si>
    <t>S12684</t>
  </si>
  <si>
    <t>2024-04-23</t>
  </si>
  <si>
    <t>S10026</t>
  </si>
  <si>
    <t>19-06-2024</t>
  </si>
  <si>
    <t>S11337</t>
  </si>
  <si>
    <t>2024-10-10</t>
  </si>
  <si>
    <t>S12398</t>
  </si>
  <si>
    <t>S10120</t>
  </si>
  <si>
    <t>S11178</t>
  </si>
  <si>
    <t>2023-08-27</t>
  </si>
  <si>
    <t>S11044</t>
  </si>
  <si>
    <t>2023/01/13</t>
  </si>
  <si>
    <t>S12711</t>
  </si>
  <si>
    <t>S11105</t>
  </si>
  <si>
    <t>2023/11/17</t>
  </si>
  <si>
    <t>S12208</t>
  </si>
  <si>
    <t>2023-01-05</t>
  </si>
  <si>
    <t>2024-09-06</t>
  </si>
  <si>
    <t>S12564</t>
  </si>
  <si>
    <t>2024-05-13</t>
  </si>
  <si>
    <t>S10016</t>
  </si>
  <si>
    <t>2024-06-14</t>
  </si>
  <si>
    <t>S11200</t>
  </si>
  <si>
    <t>S12477</t>
  </si>
  <si>
    <t>20-08-2023</t>
  </si>
  <si>
    <t>S12888</t>
  </si>
  <si>
    <t>23-05-2024</t>
  </si>
  <si>
    <t>S10649</t>
  </si>
  <si>
    <t>2024/05/16</t>
  </si>
  <si>
    <t>S10523</t>
  </si>
  <si>
    <t>2023/12/07</t>
  </si>
  <si>
    <t>S12521</t>
  </si>
  <si>
    <t>2023-02-19</t>
  </si>
  <si>
    <t>S11559</t>
  </si>
  <si>
    <t>25-12-2024</t>
  </si>
  <si>
    <t>S11709</t>
  </si>
  <si>
    <t>2023-07-31</t>
  </si>
  <si>
    <t>2024/11/12</t>
  </si>
  <si>
    <t>S11372</t>
  </si>
  <si>
    <t>26-10-2023</t>
  </si>
  <si>
    <t>S11699</t>
  </si>
  <si>
    <t>2024/05/07</t>
  </si>
  <si>
    <t>S12529</t>
  </si>
  <si>
    <t>02-09-2023</t>
  </si>
  <si>
    <t>S10747</t>
  </si>
  <si>
    <t>2024-03-12</t>
  </si>
  <si>
    <t>S10869</t>
  </si>
  <si>
    <t>S12566</t>
  </si>
  <si>
    <t>2023/01/08</t>
  </si>
  <si>
    <t>02-08-2023</t>
  </si>
  <si>
    <t>S11091</t>
  </si>
  <si>
    <t>17-05-2023</t>
  </si>
  <si>
    <t>17-05-2024</t>
  </si>
  <si>
    <t>S10392</t>
  </si>
  <si>
    <t>2024/12/19</t>
  </si>
  <si>
    <t>S12825</t>
  </si>
  <si>
    <t>2024/02/08</t>
  </si>
  <si>
    <t>S12237</t>
  </si>
  <si>
    <t>12-04-2024</t>
  </si>
  <si>
    <t>S10736</t>
  </si>
  <si>
    <t>S10002</t>
  </si>
  <si>
    <t>12-03-2023</t>
  </si>
  <si>
    <t>S11290</t>
  </si>
  <si>
    <t>2023-09-09</t>
  </si>
  <si>
    <t>S10782</t>
  </si>
  <si>
    <t>2024/12/18</t>
  </si>
  <si>
    <t>S10524</t>
  </si>
  <si>
    <t>2023-03-19</t>
  </si>
  <si>
    <t>S10769</t>
  </si>
  <si>
    <t>S10986</t>
  </si>
  <si>
    <t>S12560</t>
  </si>
  <si>
    <t>11-05-2024</t>
  </si>
  <si>
    <t>S11363</t>
  </si>
  <si>
    <t>S11039</t>
  </si>
  <si>
    <t>S10278</t>
  </si>
  <si>
    <t>S10300</t>
  </si>
  <si>
    <t>2023-11-30</t>
  </si>
  <si>
    <t>S12437</t>
  </si>
  <si>
    <t>10-04-2023</t>
  </si>
  <si>
    <t>S10224</t>
  </si>
  <si>
    <t>S10559</t>
  </si>
  <si>
    <t>2024/08/19</t>
  </si>
  <si>
    <t>S10978</t>
  </si>
  <si>
    <t>04-10-2023</t>
  </si>
  <si>
    <t>S11235</t>
  </si>
  <si>
    <t>2023-06-12</t>
  </si>
  <si>
    <t>S11847</t>
  </si>
  <si>
    <t>2023-07-16</t>
  </si>
  <si>
    <t>13-01-2024</t>
  </si>
  <si>
    <t>S10968</t>
  </si>
  <si>
    <t>S10808</t>
  </si>
  <si>
    <t>2024-01-24</t>
  </si>
  <si>
    <t>S11125</t>
  </si>
  <si>
    <t>2024-03-11</t>
  </si>
  <si>
    <t>S11863</t>
  </si>
  <si>
    <t>2023-06-27</t>
  </si>
  <si>
    <t>S11928</t>
  </si>
  <si>
    <t>S10214</t>
  </si>
  <si>
    <t>S11649</t>
  </si>
  <si>
    <t>S10206</t>
  </si>
  <si>
    <t>2024-05-27</t>
  </si>
  <si>
    <t>14-04-2023</t>
  </si>
  <si>
    <t>S10384</t>
  </si>
  <si>
    <t>S11031</t>
  </si>
  <si>
    <t>2024/12/30</t>
  </si>
  <si>
    <t>22-02-2024</t>
  </si>
  <si>
    <t>2024/12/07</t>
  </si>
  <si>
    <t>S11492</t>
  </si>
  <si>
    <t>15-12-2024</t>
  </si>
  <si>
    <t>S12562</t>
  </si>
  <si>
    <t>11-08-2023</t>
  </si>
  <si>
    <t>S10182</t>
  </si>
  <si>
    <t>2023-10-07</t>
  </si>
  <si>
    <t>S12760</t>
  </si>
  <si>
    <t>09-11-2023</t>
  </si>
  <si>
    <t>13-09-2023</t>
  </si>
  <si>
    <t>P1087</t>
  </si>
  <si>
    <t>S10209</t>
  </si>
  <si>
    <t>2023-01-28</t>
  </si>
  <si>
    <t>S11311</t>
  </si>
  <si>
    <t>S11650</t>
  </si>
  <si>
    <t>2023-07-04</t>
  </si>
  <si>
    <t>S11526</t>
  </si>
  <si>
    <t>P1276</t>
  </si>
  <si>
    <t>S10914</t>
  </si>
  <si>
    <t>S12845</t>
  </si>
  <si>
    <t>2024-04-25</t>
  </si>
  <si>
    <t>S12849</t>
  </si>
  <si>
    <t>S11609</t>
  </si>
  <si>
    <t>2023/01/02</t>
  </si>
  <si>
    <t>S12873</t>
  </si>
  <si>
    <t>2024-01-13</t>
  </si>
  <si>
    <t>2024-05-08</t>
  </si>
  <si>
    <t>S11973</t>
  </si>
  <si>
    <t>S11639</t>
  </si>
  <si>
    <t>2023-02-24</t>
  </si>
  <si>
    <t>S10653</t>
  </si>
  <si>
    <t>14-12-2023</t>
  </si>
  <si>
    <t>S10160</t>
  </si>
  <si>
    <t>S10830</t>
  </si>
  <si>
    <t>2023/10/02</t>
  </si>
  <si>
    <t>S10270</t>
  </si>
  <si>
    <t>2024/08/21</t>
  </si>
  <si>
    <t>S10680</t>
  </si>
  <si>
    <t>2023-10-26</t>
  </si>
  <si>
    <t>S12459</t>
  </si>
  <si>
    <t>S11805</t>
  </si>
  <si>
    <t>2024/12/10</t>
  </si>
  <si>
    <t>S11451</t>
  </si>
  <si>
    <t>2024/03/05</t>
  </si>
  <si>
    <t>S12500</t>
  </si>
  <si>
    <t>2023/04/07</t>
  </si>
  <si>
    <t>2023/05/29</t>
  </si>
  <si>
    <t>S10877</t>
  </si>
  <si>
    <t>2024/08/03</t>
  </si>
  <si>
    <t>S11832</t>
  </si>
  <si>
    <t>S10019</t>
  </si>
  <si>
    <t>02-04-2023</t>
  </si>
  <si>
    <t>S10614</t>
  </si>
  <si>
    <t>2023/08/04</t>
  </si>
  <si>
    <t>S10323</t>
  </si>
  <si>
    <t>17-12-2024</t>
  </si>
  <si>
    <t>S12985</t>
  </si>
  <si>
    <t>07-08-2023</t>
  </si>
  <si>
    <t>S10294</t>
  </si>
  <si>
    <t>2023/12/22</t>
  </si>
  <si>
    <t>S10343</t>
  </si>
  <si>
    <t>2023/01/16</t>
  </si>
  <si>
    <t>S12701</t>
  </si>
  <si>
    <t>12-06-2024</t>
  </si>
  <si>
    <t>S11401</t>
  </si>
  <si>
    <t>2024/03/12</t>
  </si>
  <si>
    <t>2024-12-20</t>
  </si>
  <si>
    <t>S11120</t>
  </si>
  <si>
    <t>2024/02/09</t>
  </si>
  <si>
    <t>S12995</t>
  </si>
  <si>
    <t>2024/08/14</t>
  </si>
  <si>
    <t>S12352</t>
  </si>
  <si>
    <t>2023/10/11</t>
  </si>
  <si>
    <t>S11809</t>
  </si>
  <si>
    <t>2023/08/22</t>
  </si>
  <si>
    <t>S11919</t>
  </si>
  <si>
    <t>02-11-2024</t>
  </si>
  <si>
    <t>S10245</t>
  </si>
  <si>
    <t>07-02-2023</t>
  </si>
  <si>
    <t>S12007</t>
  </si>
  <si>
    <t>2023-09-08</t>
  </si>
  <si>
    <t>07-05-2024</t>
  </si>
  <si>
    <t>S10561</t>
  </si>
  <si>
    <t>2023/04/05</t>
  </si>
  <si>
    <t>S10056</t>
  </si>
  <si>
    <t>2023/03/01</t>
  </si>
  <si>
    <t>S12470</t>
  </si>
  <si>
    <t>2024/07/28</t>
  </si>
  <si>
    <t>S10404</t>
  </si>
  <si>
    <t>2023-01-11</t>
  </si>
  <si>
    <t>2024/04/11</t>
  </si>
  <si>
    <t>S12339</t>
  </si>
  <si>
    <t>S11374</t>
  </si>
  <si>
    <t>S12809</t>
  </si>
  <si>
    <t>17-01-2023</t>
  </si>
  <si>
    <t>S10996</t>
  </si>
  <si>
    <t>2024-11-07</t>
  </si>
  <si>
    <t>S12791</t>
  </si>
  <si>
    <t>2024/03/26</t>
  </si>
  <si>
    <t>S11785</t>
  </si>
  <si>
    <t>S12840</t>
  </si>
  <si>
    <t>06-11-2023</t>
  </si>
  <si>
    <t>30-04-2024</t>
  </si>
  <si>
    <t>12-09-2023</t>
  </si>
  <si>
    <t>S10242</t>
  </si>
  <si>
    <t>2023/12/06</t>
  </si>
  <si>
    <t>S10612</t>
  </si>
  <si>
    <t>21-10-2023</t>
  </si>
  <si>
    <t>2023-04-01</t>
  </si>
  <si>
    <t>S10925</t>
  </si>
  <si>
    <t>2023-06-03</t>
  </si>
  <si>
    <t>2024-03-08</t>
  </si>
  <si>
    <t>S10734</t>
  </si>
  <si>
    <t>03-03-2023</t>
  </si>
  <si>
    <t>S11547</t>
  </si>
  <si>
    <t>S10179</t>
  </si>
  <si>
    <t>S12153</t>
  </si>
  <si>
    <t>S10590</t>
  </si>
  <si>
    <t>05-05-2024</t>
  </si>
  <si>
    <t>S11786</t>
  </si>
  <si>
    <t>2023-04-28</t>
  </si>
  <si>
    <t>01-05-2024</t>
  </si>
  <si>
    <t>S12221</t>
  </si>
  <si>
    <t>2024/07/22</t>
  </si>
  <si>
    <t>S10738</t>
  </si>
  <si>
    <t>01-04-2023</t>
  </si>
  <si>
    <t>S10774</t>
  </si>
  <si>
    <t>2024-03-13</t>
  </si>
  <si>
    <t>S10049</t>
  </si>
  <si>
    <t>2024/10/01</t>
  </si>
  <si>
    <t>S10258</t>
  </si>
  <si>
    <t>01-09-2023</t>
  </si>
  <si>
    <t>S11180</t>
  </si>
  <si>
    <t>2023/01/20</t>
  </si>
  <si>
    <t>2023/10/25</t>
  </si>
  <si>
    <t>S12143</t>
  </si>
  <si>
    <t>2024/01/09</t>
  </si>
  <si>
    <t>S11862</t>
  </si>
  <si>
    <t>2024/12/12</t>
  </si>
  <si>
    <t>S10308</t>
  </si>
  <si>
    <t>21-11-2023</t>
  </si>
  <si>
    <t>2024-11-08</t>
  </si>
  <si>
    <t>S12319</t>
  </si>
  <si>
    <t>27-11-2023</t>
  </si>
  <si>
    <t>2023/11/11</t>
  </si>
  <si>
    <t>S11643</t>
  </si>
  <si>
    <t>S11481</t>
  </si>
  <si>
    <t>2023-07-15</t>
  </si>
  <si>
    <t>S10714</t>
  </si>
  <si>
    <t>2024-01-29</t>
  </si>
  <si>
    <t>S12327</t>
  </si>
  <si>
    <t>S11622</t>
  </si>
  <si>
    <t>2023/05/03</t>
  </si>
  <si>
    <t>2024-09-12</t>
  </si>
  <si>
    <t>S12643</t>
  </si>
  <si>
    <t>2024-02-02</t>
  </si>
  <si>
    <t>2023/11/13</t>
  </si>
  <si>
    <t>S10152</t>
  </si>
  <si>
    <t>28-07-2023</t>
  </si>
  <si>
    <t>P1062</t>
  </si>
  <si>
    <t>S11845</t>
  </si>
  <si>
    <t>2023-06-20</t>
  </si>
  <si>
    <t>S10482</t>
  </si>
  <si>
    <t>S10288</t>
  </si>
  <si>
    <t>2024-12-29</t>
  </si>
  <si>
    <t>2023-01-01</t>
  </si>
  <si>
    <t>S11598</t>
  </si>
  <si>
    <t>2024/10/05</t>
  </si>
  <si>
    <t>S12055</t>
  </si>
  <si>
    <t>S12904</t>
  </si>
  <si>
    <t>S11525</t>
  </si>
  <si>
    <t>S11127</t>
  </si>
  <si>
    <t>2024-09-29</t>
  </si>
  <si>
    <t>S11186</t>
  </si>
  <si>
    <t>S12496</t>
  </si>
  <si>
    <t>10-12-2024</t>
  </si>
  <si>
    <t>2023/08/02</t>
  </si>
  <si>
    <t>S10326</t>
  </si>
  <si>
    <t>2023/03/08</t>
  </si>
  <si>
    <t>S11500</t>
  </si>
  <si>
    <t>S11655</t>
  </si>
  <si>
    <t>2023-07-13</t>
  </si>
  <si>
    <t>2024-06-17</t>
  </si>
  <si>
    <t>S10316</t>
  </si>
  <si>
    <t>2024-04-21</t>
  </si>
  <si>
    <t>S11265</t>
  </si>
  <si>
    <t>S10223</t>
  </si>
  <si>
    <t>28-04-2024</t>
  </si>
  <si>
    <t>S10302</t>
  </si>
  <si>
    <t>2024-07-09</t>
  </si>
  <si>
    <t>S10929</t>
  </si>
  <si>
    <t>2023-07-22</t>
  </si>
  <si>
    <t>S12368</t>
  </si>
  <si>
    <t>12-08-2023</t>
  </si>
  <si>
    <t>S12795</t>
  </si>
  <si>
    <t>2023/08/30</t>
  </si>
  <si>
    <t>S10763</t>
  </si>
  <si>
    <t>S10541</t>
  </si>
  <si>
    <t>S10942</t>
  </si>
  <si>
    <t>S11872</t>
  </si>
  <si>
    <t>S11908</t>
  </si>
  <si>
    <t>S12080</t>
  </si>
  <si>
    <t>26-12-2024</t>
  </si>
  <si>
    <t>S12246</t>
  </si>
  <si>
    <t>2023-10-01</t>
  </si>
  <si>
    <t>S12140</t>
  </si>
  <si>
    <t>2023-12-28</t>
  </si>
  <si>
    <t>S10029</t>
  </si>
  <si>
    <t>S12634</t>
  </si>
  <si>
    <t>S10979</t>
  </si>
  <si>
    <t>2023/10/30</t>
  </si>
  <si>
    <t>2023/08/08</t>
  </si>
  <si>
    <t>S11383</t>
  </si>
  <si>
    <t>28-02-2024</t>
  </si>
  <si>
    <t>S12968</t>
  </si>
  <si>
    <t>28-10-2023</t>
  </si>
  <si>
    <t>S12461</t>
  </si>
  <si>
    <t>01-12-2023</t>
  </si>
  <si>
    <t>S10879</t>
  </si>
  <si>
    <t>2024/02/28</t>
  </si>
  <si>
    <t>2024/10/25</t>
  </si>
  <si>
    <t>2024/10/29</t>
  </si>
  <si>
    <t>S11593</t>
  </si>
  <si>
    <t>2023-04-30</t>
  </si>
  <si>
    <t>2024-03-19</t>
  </si>
  <si>
    <t>S11513</t>
  </si>
  <si>
    <t>S10514</t>
  </si>
  <si>
    <t>13-03-2023</t>
  </si>
  <si>
    <t>31-10-2023</t>
  </si>
  <si>
    <t>S11992</t>
  </si>
  <si>
    <t>S10405</t>
  </si>
  <si>
    <t>S10395</t>
  </si>
  <si>
    <t>28-12-2024</t>
  </si>
  <si>
    <t>2023-08-08</t>
  </si>
  <si>
    <t>S12311</t>
  </si>
  <si>
    <t>2024-01-22</t>
  </si>
  <si>
    <t>S10153</t>
  </si>
  <si>
    <t>2023/11/14</t>
  </si>
  <si>
    <t>S11849</t>
  </si>
  <si>
    <t>S10356</t>
  </si>
  <si>
    <t>28-06-2024</t>
  </si>
  <si>
    <t>S12936</t>
  </si>
  <si>
    <t>2023/06/14</t>
  </si>
  <si>
    <t>S10572</t>
  </si>
  <si>
    <t>S10593</t>
  </si>
  <si>
    <t>S11232</t>
  </si>
  <si>
    <t>2023-11-13</t>
  </si>
  <si>
    <t>Sub_Category</t>
  </si>
  <si>
    <t>Gender</t>
  </si>
  <si>
    <t>Launch_Year</t>
  </si>
  <si>
    <t>Supplier</t>
  </si>
  <si>
    <t>Cost_Price</t>
  </si>
  <si>
    <t>Stock_Available</t>
  </si>
  <si>
    <t>apparel</t>
  </si>
  <si>
    <t>T-Shirt</t>
  </si>
  <si>
    <t>Women</t>
  </si>
  <si>
    <t>FashionPoint</t>
  </si>
  <si>
    <t>footwear</t>
  </si>
  <si>
    <t>Bags</t>
  </si>
  <si>
    <t>Men</t>
  </si>
  <si>
    <t>Nike India Pvt Ltd</t>
  </si>
  <si>
    <t>Shorts</t>
  </si>
  <si>
    <t>Global Sports Co</t>
  </si>
  <si>
    <t>Socks</t>
  </si>
  <si>
    <t>Unisex</t>
  </si>
  <si>
    <t>Footwear</t>
  </si>
  <si>
    <t>Urban Outfitters</t>
  </si>
  <si>
    <t>P1264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</si>
  <si>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</si>
  <si>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</si>
  <si>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</si>
  <si>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</si>
  <si>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</si>
  <si>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</si>
  <si>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</si>
  <si>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</si>
  <si>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</si>
  <si>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</si>
  <si>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</si>
  <si>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</si>
  <si>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</si>
  <si>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</si>
  <si>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</si>
  <si>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</si>
  <si>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</si>
  <si>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</si>
  <si>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</si>
  <si>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</si>
  <si>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</si>
  <si>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</si>
  <si>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</si>
  <si>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</si>
  <si>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</si>
  <si>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</si>
  <si>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</si>
  <si>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</si>
  <si>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</si>
  <si>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</si>
  <si>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</si>
  <si>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</si>
  <si>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</si>
  <si>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</si>
  <si>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</si>
  <si>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</si>
  <si>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</si>
  <si>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</si>
  <si>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</si>
  <si>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</si>
  <si>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</si>
  <si>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</si>
  <si>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</si>
  <si>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</si>
  <si>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</si>
  <si>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</si>
  <si>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</si>
  <si>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</si>
  <si>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</si>
  <si>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</si>
  <si>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</si>
  <si>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</si>
  <si>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</si>
  <si>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</si>
  <si>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</si>
  <si>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</si>
  <si>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</si>
  <si>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</si>
  <si>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</si>
  <si>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</si>
  <si>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</si>
  <si>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</si>
  <si>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</si>
  <si>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</si>
  <si>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</si>
  <si>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</si>
  <si>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</si>
  <si>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</si>
  <si>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</si>
  <si>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</si>
  <si>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</si>
  <si>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</si>
  <si>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</si>
  <si>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</si>
  <si>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</si>
  <si>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</si>
  <si>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</si>
  <si>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</si>
  <si>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</si>
  <si>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</si>
  <si>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</si>
  <si>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</si>
  <si>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</si>
  <si>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</si>
  <si>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</si>
  <si>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</si>
  <si>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</si>
  <si>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</si>
  <si>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</si>
  <si>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</si>
  <si>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</si>
  <si>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</si>
  <si>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</si>
  <si>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</si>
  <si>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</si>
  <si>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</si>
  <si>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</si>
  <si>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</si>
  <si>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</si>
  <si>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</si>
  <si>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</si>
  <si>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</si>
  <si>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</si>
  <si>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</si>
  <si>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</si>
  <si>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</si>
  <si>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</si>
  <si>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</si>
  <si>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</si>
  <si>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</si>
  <si>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</si>
  <si>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</si>
  <si>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</si>
  <si>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</si>
  <si>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</si>
  <si>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</si>
  <si>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</si>
  <si>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</si>
  <si>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</si>
  <si>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</si>
  <si>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</si>
  <si>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</si>
  <si>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</si>
  <si>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</si>
  <si>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</si>
  <si>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</si>
  <si>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</si>
  <si>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</si>
  <si>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</si>
  <si>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</si>
  <si>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</si>
  <si>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</si>
  <si>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</si>
  <si>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</si>
  <si>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</si>
  <si>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</si>
  <si>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</si>
  <si>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</si>
  <si>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</si>
  <si>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</si>
  <si>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</si>
  <si>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</si>
  <si>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</si>
  <si>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</si>
  <si>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</si>
  <si>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</si>
  <si>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</si>
  <si>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</si>
  <si>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</si>
  <si>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</si>
  <si>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</si>
  <si>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</si>
  <si>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</si>
  <si>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</si>
  <si>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</si>
  <si>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</si>
  <si>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</si>
  <si>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</si>
  <si>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</si>
  <si>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</si>
  <si>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</si>
  <si>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</si>
  <si>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</si>
  <si>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</si>
  <si>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</si>
  <si>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</si>
  <si>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</si>
  <si>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</si>
  <si>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</si>
  <si>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</si>
  <si>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</si>
  <si>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</si>
  <si>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</si>
  <si>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</si>
  <si>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</si>
  <si>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</si>
  <si>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</si>
  <si>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</si>
  <si>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</si>
  <si>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</si>
  <si>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</si>
  <si>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</si>
  <si>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</si>
  <si>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</si>
  <si>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</si>
  <si>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</si>
  <si>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</si>
  <si>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</si>
  <si>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</si>
  <si>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</si>
  <si>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</si>
  <si>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</si>
  <si>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</si>
  <si>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</si>
  <si>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</si>
  <si>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</si>
  <si>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</si>
  <si>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</si>
  <si>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</si>
  <si>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Customer_ID</t>
  </si>
  <si>
    <t>Name</t>
  </si>
  <si>
    <t>Age</t>
  </si>
  <si>
    <t>Loyalty_Tier</t>
  </si>
  <si>
    <t>Total_Orders</t>
  </si>
  <si>
    <t>Avg_Spend</t>
  </si>
  <si>
    <t>Last_Purchase_Date</t>
  </si>
  <si>
    <t>C100</t>
  </si>
  <si>
    <t>Divya</t>
  </si>
  <si>
    <t>Bronze</t>
  </si>
  <si>
    <t>07/09/2024</t>
  </si>
  <si>
    <t>C101</t>
  </si>
  <si>
    <t>Arjun Mehta</t>
  </si>
  <si>
    <t>Gold</t>
  </si>
  <si>
    <t>C102</t>
  </si>
  <si>
    <t>S. Kumar</t>
  </si>
  <si>
    <t>F</t>
  </si>
  <si>
    <t>Silver</t>
  </si>
  <si>
    <t>23/06/2023</t>
  </si>
  <si>
    <t>C103</t>
  </si>
  <si>
    <t>2023/01/14</t>
  </si>
  <si>
    <t>C104</t>
  </si>
  <si>
    <t>s. kumar</t>
  </si>
  <si>
    <t>02/02/2024</t>
  </si>
  <si>
    <t>C105</t>
  </si>
  <si>
    <t>Vikram</t>
  </si>
  <si>
    <t>2024-11-16</t>
  </si>
  <si>
    <t>C106</t>
  </si>
  <si>
    <t>C107</t>
  </si>
  <si>
    <t>priya raj</t>
  </si>
  <si>
    <t>C108</t>
  </si>
  <si>
    <t>C109</t>
  </si>
  <si>
    <t>2024/02/13</t>
  </si>
  <si>
    <t>C110</t>
  </si>
  <si>
    <t>2024/09/09</t>
  </si>
  <si>
    <t>C111</t>
  </si>
  <si>
    <t>2023/02/25</t>
  </si>
  <si>
    <t>C112</t>
  </si>
  <si>
    <t>Sneha Rao</t>
  </si>
  <si>
    <t>20/07/2024</t>
  </si>
  <si>
    <t>C113</t>
  </si>
  <si>
    <t>C114</t>
  </si>
  <si>
    <t>2024/05/05</t>
  </si>
  <si>
    <t>C115</t>
  </si>
  <si>
    <t>23/06/2024</t>
  </si>
  <si>
    <t>C116</t>
  </si>
  <si>
    <t>2024-04-13</t>
  </si>
  <si>
    <t>C117</t>
  </si>
  <si>
    <t>C118</t>
  </si>
  <si>
    <t>C119</t>
  </si>
  <si>
    <t>C120</t>
  </si>
  <si>
    <t>2024/03/10</t>
  </si>
  <si>
    <t>C121</t>
  </si>
  <si>
    <t>19/02/2023</t>
  </si>
  <si>
    <t>C122</t>
  </si>
  <si>
    <t>12/08/2024</t>
  </si>
  <si>
    <t>C123</t>
  </si>
  <si>
    <t>Priya Raj</t>
  </si>
  <si>
    <t>C124</t>
  </si>
  <si>
    <t>26/05/2024</t>
  </si>
  <si>
    <t>C125</t>
  </si>
  <si>
    <t>C126</t>
  </si>
  <si>
    <t>2024-04-14</t>
  </si>
  <si>
    <t>C127</t>
  </si>
  <si>
    <t>2024/09/11</t>
  </si>
  <si>
    <t>C128</t>
  </si>
  <si>
    <t>2024-07-23</t>
  </si>
  <si>
    <t>C129</t>
  </si>
  <si>
    <t>16/08/2023</t>
  </si>
  <si>
    <t>C130</t>
  </si>
  <si>
    <t>2024/02/23</t>
  </si>
  <si>
    <t>C131</t>
  </si>
  <si>
    <t>2023/02/10</t>
  </si>
  <si>
    <t>C132</t>
  </si>
  <si>
    <t>Rahul Verma</t>
  </si>
  <si>
    <t>21/08/2024</t>
  </si>
  <si>
    <t>C133</t>
  </si>
  <si>
    <t>22/11/2024</t>
  </si>
  <si>
    <t>C134</t>
  </si>
  <si>
    <t>10/05/2023</t>
  </si>
  <si>
    <t>C135</t>
  </si>
  <si>
    <t>20/12/2024</t>
  </si>
  <si>
    <t>C136</t>
  </si>
  <si>
    <t>07/06/2023</t>
  </si>
  <si>
    <t>C137</t>
  </si>
  <si>
    <t>2024/03/31</t>
  </si>
  <si>
    <t>C138</t>
  </si>
  <si>
    <t>2023-09-15</t>
  </si>
  <si>
    <t>C139</t>
  </si>
  <si>
    <t>2023/04/23</t>
  </si>
  <si>
    <t>C140</t>
  </si>
  <si>
    <t>2024-09-22</t>
  </si>
  <si>
    <t>C141</t>
  </si>
  <si>
    <t>C142</t>
  </si>
  <si>
    <t>08/10/2024</t>
  </si>
  <si>
    <t>C143</t>
  </si>
  <si>
    <t>C144</t>
  </si>
  <si>
    <t>2023/01/23</t>
  </si>
  <si>
    <t>C145</t>
  </si>
  <si>
    <t>C146</t>
  </si>
  <si>
    <t>2024-06-23</t>
  </si>
  <si>
    <t>C147</t>
  </si>
  <si>
    <t>2024-05-18</t>
  </si>
  <si>
    <t>C148</t>
  </si>
  <si>
    <t>2023/09/28</t>
  </si>
  <si>
    <t>C149</t>
  </si>
  <si>
    <t>2024-10-03</t>
  </si>
  <si>
    <t>C150</t>
  </si>
  <si>
    <t>2024/04/07</t>
  </si>
  <si>
    <t>C151</t>
  </si>
  <si>
    <t>C152</t>
  </si>
  <si>
    <t>C153</t>
  </si>
  <si>
    <t>11/01/2023</t>
  </si>
  <si>
    <t>C154</t>
  </si>
  <si>
    <t>C155</t>
  </si>
  <si>
    <t>28/04/2023</t>
  </si>
  <si>
    <t>C156</t>
  </si>
  <si>
    <t>Ananya</t>
  </si>
  <si>
    <t>20/12/2023</t>
  </si>
  <si>
    <t>C157</t>
  </si>
  <si>
    <t>C158</t>
  </si>
  <si>
    <t>2024-04-18</t>
  </si>
  <si>
    <t>C159</t>
  </si>
  <si>
    <t>C160</t>
  </si>
  <si>
    <t>2023-07-05</t>
  </si>
  <si>
    <t>C161</t>
  </si>
  <si>
    <t>2023-08-02</t>
  </si>
  <si>
    <t>C162</t>
  </si>
  <si>
    <t>C163</t>
  </si>
  <si>
    <t>2024-03-09</t>
  </si>
  <si>
    <t>C164</t>
  </si>
  <si>
    <t>C165</t>
  </si>
  <si>
    <t>20/04/2023</t>
  </si>
  <si>
    <t>C166</t>
  </si>
  <si>
    <t>05/05/2024</t>
  </si>
  <si>
    <t>C167</t>
  </si>
  <si>
    <t>2024-05-07</t>
  </si>
  <si>
    <t>C168</t>
  </si>
  <si>
    <t>C169</t>
  </si>
  <si>
    <t>2023-12-21</t>
  </si>
  <si>
    <t>C170</t>
  </si>
  <si>
    <t>06/10/2023</t>
  </si>
  <si>
    <t>C171</t>
  </si>
  <si>
    <t>C172</t>
  </si>
  <si>
    <t>2023/01/24</t>
  </si>
  <si>
    <t>C173</t>
  </si>
  <si>
    <t>27/05/2023</t>
  </si>
  <si>
    <t>C174</t>
  </si>
  <si>
    <t>2024-09-11</t>
  </si>
  <si>
    <t>C175</t>
  </si>
  <si>
    <t>2023/11/28</t>
  </si>
  <si>
    <t>C176</t>
  </si>
  <si>
    <t>31/10/2023</t>
  </si>
  <si>
    <t>C177</t>
  </si>
  <si>
    <t>2023-09-18</t>
  </si>
  <si>
    <t>C178</t>
  </si>
  <si>
    <t>2023-10-25</t>
  </si>
  <si>
    <t>C179</t>
  </si>
  <si>
    <t>C180</t>
  </si>
  <si>
    <t>2023/11/18</t>
  </si>
  <si>
    <t>C181</t>
  </si>
  <si>
    <t>13/08/2024</t>
  </si>
  <si>
    <t>C182</t>
  </si>
  <si>
    <t>16/04/2023</t>
  </si>
  <si>
    <t>C183</t>
  </si>
  <si>
    <t>08/07/2023</t>
  </si>
  <si>
    <t>C184</t>
  </si>
  <si>
    <t>31/07/2024</t>
  </si>
  <si>
    <t>C185</t>
  </si>
  <si>
    <t>C186</t>
  </si>
  <si>
    <t>28/08/2024</t>
  </si>
  <si>
    <t>C187</t>
  </si>
  <si>
    <t>22/07/2024</t>
  </si>
  <si>
    <t>C188</t>
  </si>
  <si>
    <t>09/05/2024</t>
  </si>
  <si>
    <t>C189</t>
  </si>
  <si>
    <t>C190</t>
  </si>
  <si>
    <t>2024/10/21</t>
  </si>
  <si>
    <t>C191</t>
  </si>
  <si>
    <t>2023/12/28</t>
  </si>
  <si>
    <t>C192</t>
  </si>
  <si>
    <t>18/02/2024</t>
  </si>
  <si>
    <t>C193</t>
  </si>
  <si>
    <t>C194</t>
  </si>
  <si>
    <t>C195</t>
  </si>
  <si>
    <t>02/01/2024</t>
  </si>
  <si>
    <t>C196</t>
  </si>
  <si>
    <t>30/05/2024</t>
  </si>
  <si>
    <t>C197</t>
  </si>
  <si>
    <t>C198</t>
  </si>
  <si>
    <t>29/02/2024</t>
  </si>
  <si>
    <t>C199</t>
  </si>
  <si>
    <t>08/01/2024</t>
  </si>
  <si>
    <t>C200</t>
  </si>
  <si>
    <t>10/10/2024</t>
  </si>
  <si>
    <t>C201</t>
  </si>
  <si>
    <t>2023-05-18</t>
  </si>
  <si>
    <t>C202</t>
  </si>
  <si>
    <t>C203</t>
  </si>
  <si>
    <t>13/05/2023</t>
  </si>
  <si>
    <t>C204</t>
  </si>
  <si>
    <t>2024/07/11</t>
  </si>
  <si>
    <t>C205</t>
  </si>
  <si>
    <t>C206</t>
  </si>
  <si>
    <t>2023-02-11</t>
  </si>
  <si>
    <t>C207</t>
  </si>
  <si>
    <t>2023/02/20</t>
  </si>
  <si>
    <t>C208</t>
  </si>
  <si>
    <t>C209</t>
  </si>
  <si>
    <t>10/04/2023</t>
  </si>
  <si>
    <t>C210</t>
  </si>
  <si>
    <t>02/07/2024</t>
  </si>
  <si>
    <t>C211</t>
  </si>
  <si>
    <t>C212</t>
  </si>
  <si>
    <t>05/08/2024</t>
  </si>
  <si>
    <t>C213</t>
  </si>
  <si>
    <t>2024-04-22</t>
  </si>
  <si>
    <t>C214</t>
  </si>
  <si>
    <t>2023-01-20</t>
  </si>
  <si>
    <t>C215</t>
  </si>
  <si>
    <t>15/05/2023</t>
  </si>
  <si>
    <t>C216</t>
  </si>
  <si>
    <t>26/03/2024</t>
  </si>
  <si>
    <t>C217</t>
  </si>
  <si>
    <t>C218</t>
  </si>
  <si>
    <t>02/10/2024</t>
  </si>
  <si>
    <t>C219</t>
  </si>
  <si>
    <t>28/08/2023</t>
  </si>
  <si>
    <t>C220</t>
  </si>
  <si>
    <t>2024/06/04</t>
  </si>
  <si>
    <t>C221</t>
  </si>
  <si>
    <t>13/01/2024</t>
  </si>
  <si>
    <t>C222</t>
  </si>
  <si>
    <t>C223</t>
  </si>
  <si>
    <t>12/07/2024</t>
  </si>
  <si>
    <t>C224</t>
  </si>
  <si>
    <t>02/05/2024</t>
  </si>
  <si>
    <t>C225</t>
  </si>
  <si>
    <t>C226</t>
  </si>
  <si>
    <t>18/10/2024</t>
  </si>
  <si>
    <t>C227</t>
  </si>
  <si>
    <t>C228</t>
  </si>
  <si>
    <t>17/12/2024</t>
  </si>
  <si>
    <t>C229</t>
  </si>
  <si>
    <t>C230</t>
  </si>
  <si>
    <t>2024/04/28</t>
  </si>
  <si>
    <t>C231</t>
  </si>
  <si>
    <t>2023-04-20</t>
  </si>
  <si>
    <t>C232</t>
  </si>
  <si>
    <t>2023/12/17</t>
  </si>
  <si>
    <t>C233</t>
  </si>
  <si>
    <t>C234</t>
  </si>
  <si>
    <t>2023-06-29</t>
  </si>
  <si>
    <t>C235</t>
  </si>
  <si>
    <t>2024-08-31</t>
  </si>
  <si>
    <t>C236</t>
  </si>
  <si>
    <t>30/09/2023</t>
  </si>
  <si>
    <t>C237</t>
  </si>
  <si>
    <t>C238</t>
  </si>
  <si>
    <t>2023/10/08</t>
  </si>
  <si>
    <t>C239</t>
  </si>
  <si>
    <t>C240</t>
  </si>
  <si>
    <t>28/10/2023</t>
  </si>
  <si>
    <t>C241</t>
  </si>
  <si>
    <t>C242</t>
  </si>
  <si>
    <t>C243</t>
  </si>
  <si>
    <t>2023/09/29</t>
  </si>
  <si>
    <t>C244</t>
  </si>
  <si>
    <t>2024/04/24</t>
  </si>
  <si>
    <t>C245</t>
  </si>
  <si>
    <t>31/01/2024</t>
  </si>
  <si>
    <t>C246</t>
  </si>
  <si>
    <t>C247</t>
  </si>
  <si>
    <t>2024-01-11</t>
  </si>
  <si>
    <t>C248</t>
  </si>
  <si>
    <t>C249</t>
  </si>
  <si>
    <t>C250</t>
  </si>
  <si>
    <t>C251</t>
  </si>
  <si>
    <t>12/05/2023</t>
  </si>
  <si>
    <t>C252</t>
  </si>
  <si>
    <t>C253</t>
  </si>
  <si>
    <t>C254</t>
  </si>
  <si>
    <t>2023-06-30</t>
  </si>
  <si>
    <t>C255</t>
  </si>
  <si>
    <t>C256</t>
  </si>
  <si>
    <t>03/11/2024</t>
  </si>
  <si>
    <t>C257</t>
  </si>
  <si>
    <t>C258</t>
  </si>
  <si>
    <t>2024-05-26</t>
  </si>
  <si>
    <t>C259</t>
  </si>
  <si>
    <t>2024/08/17</t>
  </si>
  <si>
    <t>C260</t>
  </si>
  <si>
    <t>2024/05/14</t>
  </si>
  <si>
    <t>C261</t>
  </si>
  <si>
    <t>2024/04/01</t>
  </si>
  <si>
    <t>C262</t>
  </si>
  <si>
    <t>2024/10/12</t>
  </si>
  <si>
    <t>C263</t>
  </si>
  <si>
    <t>2023-11-29</t>
  </si>
  <si>
    <t>C264</t>
  </si>
  <si>
    <t>C265</t>
  </si>
  <si>
    <t>2024/01/03</t>
  </si>
  <si>
    <t>C266</t>
  </si>
  <si>
    <t>2024/04/26</t>
  </si>
  <si>
    <t>C267</t>
  </si>
  <si>
    <t>C268</t>
  </si>
  <si>
    <t>11/07/2024</t>
  </si>
  <si>
    <t>C269</t>
  </si>
  <si>
    <t>2023-11-11</t>
  </si>
  <si>
    <t>C270</t>
  </si>
  <si>
    <t>2024-01-07</t>
  </si>
  <si>
    <t>C271</t>
  </si>
  <si>
    <t>14/03/2024</t>
  </si>
  <si>
    <t>C272</t>
  </si>
  <si>
    <t>21/10/2024</t>
  </si>
  <si>
    <t>C273</t>
  </si>
  <si>
    <t>C274</t>
  </si>
  <si>
    <t>24/03/2024</t>
  </si>
  <si>
    <t>C275</t>
  </si>
  <si>
    <t>2023-03-27</t>
  </si>
  <si>
    <t>C276</t>
  </si>
  <si>
    <t>C277</t>
  </si>
  <si>
    <t>26/11/2023</t>
  </si>
  <si>
    <t>C278</t>
  </si>
  <si>
    <t>2023-05-02</t>
  </si>
  <si>
    <t>C279</t>
  </si>
  <si>
    <t>2024-11-28</t>
  </si>
  <si>
    <t>C280</t>
  </si>
  <si>
    <t>C281</t>
  </si>
  <si>
    <t>13/11/2024</t>
  </si>
  <si>
    <t>C282</t>
  </si>
  <si>
    <t>2024/01/28</t>
  </si>
  <si>
    <t>C283</t>
  </si>
  <si>
    <t>C284</t>
  </si>
  <si>
    <t>C285</t>
  </si>
  <si>
    <t>14/02/2023</t>
  </si>
  <si>
    <t>C286</t>
  </si>
  <si>
    <t>C287</t>
  </si>
  <si>
    <t>17/02/2024</t>
  </si>
  <si>
    <t>C288</t>
  </si>
  <si>
    <t>2024-07-31</t>
  </si>
  <si>
    <t>C289</t>
  </si>
  <si>
    <t>04/10/2023</t>
  </si>
  <si>
    <t>C290</t>
  </si>
  <si>
    <t>C291</t>
  </si>
  <si>
    <t>C292</t>
  </si>
  <si>
    <t>C293</t>
  </si>
  <si>
    <t>C294</t>
  </si>
  <si>
    <t>C295</t>
  </si>
  <si>
    <t>C296</t>
  </si>
  <si>
    <t>2024-03-02</t>
  </si>
  <si>
    <t>C297</t>
  </si>
  <si>
    <t>2023/05/08</t>
  </si>
  <si>
    <t>C298</t>
  </si>
  <si>
    <t>06/03/2024</t>
  </si>
  <si>
    <t>C299</t>
  </si>
  <si>
    <t>C300</t>
  </si>
  <si>
    <t>29/05/2024</t>
  </si>
  <si>
    <t>C301</t>
  </si>
  <si>
    <t>C302</t>
  </si>
  <si>
    <t>21/09/2023</t>
  </si>
  <si>
    <t>C303</t>
  </si>
  <si>
    <t>C304</t>
  </si>
  <si>
    <t>13/08/2023</t>
  </si>
  <si>
    <t>C305</t>
  </si>
  <si>
    <t>C306</t>
  </si>
  <si>
    <t>16/10/2024</t>
  </si>
  <si>
    <t>C307</t>
  </si>
  <si>
    <t>2023/07/24</t>
  </si>
  <si>
    <t>C308</t>
  </si>
  <si>
    <t>2023-07-01</t>
  </si>
  <si>
    <t>C309</t>
  </si>
  <si>
    <t>2023-05-22</t>
  </si>
  <si>
    <t>C310</t>
  </si>
  <si>
    <t>2024-12-28</t>
  </si>
  <si>
    <t>C311</t>
  </si>
  <si>
    <t>2023-03-03</t>
  </si>
  <si>
    <t>C312</t>
  </si>
  <si>
    <t>2023/01/31</t>
  </si>
  <si>
    <t>C313</t>
  </si>
  <si>
    <t>29/11/2024</t>
  </si>
  <si>
    <t>C314</t>
  </si>
  <si>
    <t>C315</t>
  </si>
  <si>
    <t>04/08/2023</t>
  </si>
  <si>
    <t>C316</t>
  </si>
  <si>
    <t>2023-08-26</t>
  </si>
  <si>
    <t>C317</t>
  </si>
  <si>
    <t>C318</t>
  </si>
  <si>
    <t>C319</t>
  </si>
  <si>
    <t>C320</t>
  </si>
  <si>
    <t>2023-02-09</t>
  </si>
  <si>
    <t>C321</t>
  </si>
  <si>
    <t>14/08/2023</t>
  </si>
  <si>
    <t>C322</t>
  </si>
  <si>
    <t>C323</t>
  </si>
  <si>
    <t>C324</t>
  </si>
  <si>
    <t>15/02/2024</t>
  </si>
  <si>
    <t>C325</t>
  </si>
  <si>
    <t>22/10/2024</t>
  </si>
  <si>
    <t>C326</t>
  </si>
  <si>
    <t>C327</t>
  </si>
  <si>
    <t>C328</t>
  </si>
  <si>
    <t>C329</t>
  </si>
  <si>
    <t>C330</t>
  </si>
  <si>
    <t>C331</t>
  </si>
  <si>
    <t>C332</t>
  </si>
  <si>
    <t>2024/04/12</t>
  </si>
  <si>
    <t>C333</t>
  </si>
  <si>
    <t>16/09/2023</t>
  </si>
  <si>
    <t>C334</t>
  </si>
  <si>
    <t>11/06/2024</t>
  </si>
  <si>
    <t>C335</t>
  </si>
  <si>
    <t>2024/03/21</t>
  </si>
  <si>
    <t>C336</t>
  </si>
  <si>
    <t>2024-09-26</t>
  </si>
  <si>
    <t>C337</t>
  </si>
  <si>
    <t>C338</t>
  </si>
  <si>
    <t>C339</t>
  </si>
  <si>
    <t>C340</t>
  </si>
  <si>
    <t>09/11/2023</t>
  </si>
  <si>
    <t>C341</t>
  </si>
  <si>
    <t>03/02/2023</t>
  </si>
  <si>
    <t>C342</t>
  </si>
  <si>
    <t>C343</t>
  </si>
  <si>
    <t>C344</t>
  </si>
  <si>
    <t>C345</t>
  </si>
  <si>
    <t>2023-10-13</t>
  </si>
  <si>
    <t>C346</t>
  </si>
  <si>
    <t>02/01/2023</t>
  </si>
  <si>
    <t>C347</t>
  </si>
  <si>
    <t>C348</t>
  </si>
  <si>
    <t>2024-06-10</t>
  </si>
  <si>
    <t>C349</t>
  </si>
  <si>
    <t>2024/11/01</t>
  </si>
  <si>
    <t>C350</t>
  </si>
  <si>
    <t>C351</t>
  </si>
  <si>
    <t>2023/07/17</t>
  </si>
  <si>
    <t>C352</t>
  </si>
  <si>
    <t>22/04/2023</t>
  </si>
  <si>
    <t>C353</t>
  </si>
  <si>
    <t>C354</t>
  </si>
  <si>
    <t>C355</t>
  </si>
  <si>
    <t>2023/07/15</t>
  </si>
  <si>
    <t>C356</t>
  </si>
  <si>
    <t>07/06/2024</t>
  </si>
  <si>
    <t>C357</t>
  </si>
  <si>
    <t>C358</t>
  </si>
  <si>
    <t>07/05/2023</t>
  </si>
  <si>
    <t>C359</t>
  </si>
  <si>
    <t>C360</t>
  </si>
  <si>
    <t>21/03/2024</t>
  </si>
  <si>
    <t>C361</t>
  </si>
  <si>
    <t>08/12/2024</t>
  </si>
  <si>
    <t>C362</t>
  </si>
  <si>
    <t>2023/04/03</t>
  </si>
  <si>
    <t>C363</t>
  </si>
  <si>
    <t>C364</t>
  </si>
  <si>
    <t>C365</t>
  </si>
  <si>
    <t>C366</t>
  </si>
  <si>
    <t>C367</t>
  </si>
  <si>
    <t>28/10/2024</t>
  </si>
  <si>
    <t>C368</t>
  </si>
  <si>
    <t>C369</t>
  </si>
  <si>
    <t>C370</t>
  </si>
  <si>
    <t>C371</t>
  </si>
  <si>
    <t>21/05/2023</t>
  </si>
  <si>
    <t>C372</t>
  </si>
  <si>
    <t>C373</t>
  </si>
  <si>
    <t>C374</t>
  </si>
  <si>
    <t>C375</t>
  </si>
  <si>
    <t>2024/05/04</t>
  </si>
  <si>
    <t>C376</t>
  </si>
  <si>
    <t>C377</t>
  </si>
  <si>
    <t>2023/04/15</t>
  </si>
  <si>
    <t>C378</t>
  </si>
  <si>
    <t>C379</t>
  </si>
  <si>
    <t>C380</t>
  </si>
  <si>
    <t>2023/03/15</t>
  </si>
  <si>
    <t>C381</t>
  </si>
  <si>
    <t>21/02/2024</t>
  </si>
  <si>
    <t>C382</t>
  </si>
  <si>
    <t>C383</t>
  </si>
  <si>
    <t>05/11/2023</t>
  </si>
  <si>
    <t>C384</t>
  </si>
  <si>
    <t>2024/08/18</t>
  </si>
  <si>
    <t>C385</t>
  </si>
  <si>
    <t>2023/02/06</t>
  </si>
  <si>
    <t>C386</t>
  </si>
  <si>
    <t>C387</t>
  </si>
  <si>
    <t>C388</t>
  </si>
  <si>
    <t>2023-05-03</t>
  </si>
  <si>
    <t>C389</t>
  </si>
  <si>
    <t>C390</t>
  </si>
  <si>
    <t>07/11/2024</t>
  </si>
  <si>
    <t>C391</t>
  </si>
  <si>
    <t>C392</t>
  </si>
  <si>
    <t>2024/06/25</t>
  </si>
  <si>
    <t>C393</t>
  </si>
  <si>
    <t>C394</t>
  </si>
  <si>
    <t>2023-11-10</t>
  </si>
  <si>
    <t>C395</t>
  </si>
  <si>
    <t>C396</t>
  </si>
  <si>
    <t>C397</t>
  </si>
  <si>
    <t>06/09/2024</t>
  </si>
  <si>
    <t>C398</t>
  </si>
  <si>
    <t>14/06/2023</t>
  </si>
  <si>
    <t>C399</t>
  </si>
  <si>
    <t>date2</t>
  </si>
  <si>
    <t>Column1</t>
  </si>
  <si>
    <t>revenue</t>
  </si>
  <si>
    <t>profit</t>
  </si>
  <si>
    <t>cost</t>
  </si>
  <si>
    <t>total_cost</t>
  </si>
  <si>
    <t>Column2</t>
  </si>
  <si>
    <t>https://www.pngwing.com/en/free-png-tpdep/download</t>
  </si>
  <si>
    <t>https://www.pngwing.com/en/free-png-blcnx/download</t>
  </si>
  <si>
    <t>https://www.pngwing.com/en/free-png-pyttr/download</t>
  </si>
  <si>
    <t>https://www.pngwing.com/en/free-png-bdami/download</t>
  </si>
  <si>
    <t>https://www.pngwing.com/en/free-png-murrn/download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</si>
</sst>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0" fontId="3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22" fontId="0" fillId="0" borderId="0" xfId="0" applyNumberFormat="1"/>
    <xf numFmtId="0" fontId="5" fillId="0" borderId="0" xfId="2"/>
  </cellXfs>
  <cellStyles count="3">
    <cellStyle name="Hyperlink" xfId="2" builtinId="8"/>
    <cellStyle name="Normal" xfId="0" builtinId="0"/>
    <cellStyle name="Percent" xfId="1" builtinId="5"/>
  </cellStyles>
  <dxfs count="38"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64" formatCode="[$-14009]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D6A6F3D-7D07-4801-8825-B335454DADD0}" autoFormatId="16" applyNumberFormats="0" applyBorderFormats="0" applyFontFormats="0" applyPatternFormats="0" applyAlignmentFormats="0" applyWidthHeightFormats="0">
  <queryTableRefresh nextId="20" unboundColumnsRight="2">
    <queryTableFields count="19">
      <queryTableField id="1" name="Order_ID" tableColumnId="1"/>
      <queryTableField id="2" name="Date" tableColumnId="2"/>
      <queryTableField id="3" name="date2" tableColumnId="3"/>
      <queryTableField id="4" name="Store_ID" tableColumnId="4"/>
      <queryTableField id="5" name="Product_ID" tableColumnId="5"/>
      <queryTableField id="6" name="Product_Name" tableColumnId="6"/>
      <queryTableField id="7" name="Category" tableColumnId="7"/>
      <queryTableField id="8" name="Size" tableColumnId="8"/>
      <queryTableField id="9" name="Quantity" tableColumnId="9"/>
      <queryTableField id="10" name="Unit_Price" tableColumnId="10"/>
      <queryTableField id="11" name="Discount" tableColumnId="11"/>
      <queryTableField id="12" name="Region" tableColumnId="12"/>
      <queryTableField id="13" name="Sales_Channel" tableColumnId="13"/>
      <queryTableField id="14" name="Payment_Mode" tableColumnId="14"/>
      <queryTableField id="15" name="Customer_Rating" tableColumnId="15"/>
      <queryTableField id="16" name="revenue" tableColumnId="16"/>
      <queryTableField id="17" name="Column1" tableColumnId="17"/>
      <queryTableField id="18" dataBound="0" tableColumnId="18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54399E-C6AA-40DA-9B75-3D3BC389077E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Gender" tableColumnId="5"/>
      <queryTableField id="6" name="Launch_Year" tableColumnId="6"/>
      <queryTableField id="7" name="Supplier" tableColumnId="7"/>
      <queryTableField id="8" name="Cost_Price" tableColumnId="8"/>
      <queryTableField id="9" name="Stock_Available" tableColumnId="9"/>
      <queryTableField id="10" dataBound="0" tableColumnId="10"/>
      <queryTableField id="11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BC6533C-C845-4285-9278-F61968135362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Region" tableColumnId="5"/>
      <queryTableField id="6" name="Loyalty_Tier" tableColumnId="6"/>
      <queryTableField id="7" name="Total_Orders" tableColumnId="7"/>
      <queryTableField id="8" name="Avg_Spend" tableColumnId="8"/>
      <queryTableField id="9" name="Last_Purchase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1CE919-4912-4137-B521-CF51DEC3EC4E}" name="Table2_2" displayName="Table2_2" ref="A1:S374" tableType="queryTable" totalsRowShown="0">
  <autoFilter ref="A1:S374" xr:uid="{1D1CE919-4912-4137-B521-CF51DEC3EC4E}"/>
  <tableColumns count="19">
    <tableColumn id="1" xr3:uid="{26988CCD-27D3-4B12-A4C1-0E4F8A3E610B}" uniqueName="1" name="Order_ID" queryTableFieldId="1" dataDxfId="37"/>
    <tableColumn id="2" xr3:uid="{05F88935-0208-465D-A484-38C2AC789085}" uniqueName="2" name="Date" queryTableFieldId="2" dataDxfId="36"/>
    <tableColumn id="3" xr3:uid="{ED18C342-90FE-4DF8-8BC9-AEE6BA6503A3}" uniqueName="3" name="date2" queryTableFieldId="3" dataDxfId="35"/>
    <tableColumn id="4" xr3:uid="{BE31CBB7-7BE1-4FC9-B36E-26C0A2BB4F4C}" uniqueName="4" name="Store_ID" queryTableFieldId="4" dataDxfId="34"/>
    <tableColumn id="5" xr3:uid="{928D07AB-3C17-44AA-ACB7-2F6CA5D6E459}" uniqueName="5" name="Product_ID" queryTableFieldId="5" dataDxfId="33"/>
    <tableColumn id="6" xr3:uid="{F225A67A-2E8E-4D70-B542-30B3D622C56E}" uniqueName="6" name="Product_Name" queryTableFieldId="6" dataDxfId="32"/>
    <tableColumn id="7" xr3:uid="{4700B30E-F3A8-4EA0-BA73-69BB26BB8741}" uniqueName="7" name="Category" queryTableFieldId="7" dataDxfId="31"/>
    <tableColumn id="8" xr3:uid="{1ADA8E08-A939-4F10-943D-0AFF802F7824}" uniqueName="8" name="Size" queryTableFieldId="8" dataDxfId="30"/>
    <tableColumn id="9" xr3:uid="{53EEFDA4-1E66-4690-81B8-3F8D6C98251A}" uniqueName="9" name="Quantity" queryTableFieldId="9"/>
    <tableColumn id="10" xr3:uid="{6DD7925B-DC5A-4D93-8827-C659D47F1DAC}" uniqueName="10" name="Unit_Price" queryTableFieldId="10"/>
    <tableColumn id="11" xr3:uid="{29DF7473-04F4-40F9-9BB8-0B053FDDD103}" uniqueName="11" name="Discount" queryTableFieldId="11"/>
    <tableColumn id="12" xr3:uid="{708CE7E6-07C7-44B9-9CA2-8D1A20610421}" uniqueName="12" name="Region" queryTableFieldId="12" dataDxfId="29"/>
    <tableColumn id="13" xr3:uid="{6C046907-610D-4F9D-8838-3DDD34090C14}" uniqueName="13" name="Sales_Channel" queryTableFieldId="13" dataDxfId="28"/>
    <tableColumn id="14" xr3:uid="{0606006E-FA07-4903-A762-7022EA740EA0}" uniqueName="14" name="Payment_Mode" queryTableFieldId="14" dataDxfId="27"/>
    <tableColumn id="15" xr3:uid="{14A77C95-CC05-44F4-80F1-60F5DBACA82E}" uniqueName="15" name="Customer_Rating" queryTableFieldId="15"/>
    <tableColumn id="16" xr3:uid="{2B97701C-3DAD-437D-BB0B-89CA679A1F64}" uniqueName="16" name="revenue" queryTableFieldId="16"/>
    <tableColumn id="17" xr3:uid="{DC9D0063-2426-46D5-A2F1-2C6C7DC46B12}" uniqueName="17" name="cost" queryTableFieldId="17"/>
    <tableColumn id="18" xr3:uid="{BB620DEA-8522-47AF-B60E-8177520766D8}" uniqueName="18" name="total_cost" queryTableFieldId="18" dataDxfId="26">
      <calculatedColumnFormula>Table2_2[[#This Row],[cost]]*Table2_2[[#This Row],[Quantity]]</calculatedColumnFormula>
    </tableColumn>
    <tableColumn id="19" xr3:uid="{E25C9DA7-C424-4AB0-AE8D-B0EB8CB5CBBD}" uniqueName="19" name="profit" queryTableFieldId="19" dataDxfId="25">
      <calculatedColumnFormula>Table2_2[[#This Row],[revenue]]-Table2_2[[#This Row],[total_cost]]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8F33BD-27F9-4655-BE0F-664D34AB097C}" name="Table1_1" displayName="Table1_1" ref="A1:K334" tableType="queryTable" totalsRowShown="0">
  <autoFilter ref="A1:K334" xr:uid="{EA8F33BD-27F9-4655-BE0F-664D34AB097C}"/>
  <tableColumns count="11">
    <tableColumn id="1" xr3:uid="{C129C232-59DD-4B2C-BCFB-C36AA81942A5}" uniqueName="1" name="Product_ID" queryTableFieldId="1" dataDxfId="24"/>
    <tableColumn id="2" xr3:uid="{A9564497-84A4-4695-BEC4-466FD0621697}" uniqueName="2" name="Product_Name" queryTableFieldId="2" dataDxfId="23"/>
    <tableColumn id="3" xr3:uid="{D4111828-34A3-4562-8866-ED1E161593AA}" uniqueName="3" name="Category" queryTableFieldId="3" dataDxfId="22"/>
    <tableColumn id="4" xr3:uid="{DB59DE4A-4324-4399-8473-077FDD8C0C9F}" uniqueName="4" name="Sub_Category" queryTableFieldId="4" dataDxfId="21"/>
    <tableColumn id="5" xr3:uid="{003E8FB5-9A5A-45D4-B965-8FFBBC1F7768}" uniqueName="5" name="Gender" queryTableFieldId="5" dataDxfId="20"/>
    <tableColumn id="6" xr3:uid="{30E26077-638F-4988-BACF-9AAFC07295BC}" uniqueName="6" name="Launch_Year" queryTableFieldId="6"/>
    <tableColumn id="7" xr3:uid="{8D132B3B-650E-446F-B000-91F9661D7008}" uniqueName="7" name="Supplier" queryTableFieldId="7" dataDxfId="19"/>
    <tableColumn id="8" xr3:uid="{141B2F41-1C0A-44DE-A71D-60B94316A6F4}" uniqueName="8" name="Cost_Price" queryTableFieldId="8"/>
    <tableColumn id="9" xr3:uid="{9036F196-4903-4444-940C-128335B1943A}" uniqueName="9" name="Stock_Available" queryTableFieldId="9"/>
    <tableColumn id="10" xr3:uid="{44E712FF-AF74-4223-87F0-4A43D9CA9DC7}" uniqueName="10" name="Column1" queryTableFieldId="10" dataDxfId="0">
      <calculatedColumnFormula array="1">_xlfn.UNIQUE(Table1_1[#All],2,FALSE)</calculatedColumnFormula>
    </tableColumn>
    <tableColumn id="11" xr3:uid="{FC79D258-CC2A-41C3-875F-794648CC482D}" uniqueName="11" name="Column2" queryTableFieldId="11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9887EA-9853-4878-80B9-B615D115C9BE}" name="Table6_1" displayName="Table6_1" ref="A1:I57" tableType="queryTable" totalsRowShown="0">
  <autoFilter ref="A1:I57" xr:uid="{3D9887EA-9853-4878-80B9-B615D115C9BE}"/>
  <tableColumns count="9">
    <tableColumn id="1" xr3:uid="{8C0E40DE-5773-4319-8165-ECE77AF7A2F6}" uniqueName="1" name="Customer_ID" queryTableFieldId="1" dataDxfId="18"/>
    <tableColumn id="2" xr3:uid="{AC569111-E407-43DA-9E45-1B8B3441D923}" uniqueName="2" name="Name" queryTableFieldId="2" dataDxfId="17"/>
    <tableColumn id="3" xr3:uid="{CCD2CB13-6D6C-476A-8F8D-52C0272B5004}" uniqueName="3" name="Age" queryTableFieldId="3"/>
    <tableColumn id="4" xr3:uid="{4065289B-FAD4-46B8-9278-707EACB3956E}" uniqueName="4" name="Gender" queryTableFieldId="4" dataDxfId="16"/>
    <tableColumn id="5" xr3:uid="{8577B566-D0AA-41C2-9FFF-955051C674D5}" uniqueName="5" name="Region" queryTableFieldId="5" dataDxfId="15"/>
    <tableColumn id="6" xr3:uid="{7D38B242-4DCC-40E2-9198-9975510C051E}" uniqueName="6" name="Loyalty_Tier" queryTableFieldId="6" dataDxfId="14"/>
    <tableColumn id="7" xr3:uid="{1C6BA065-D627-4A74-B4A3-978B3FFA699B}" uniqueName="7" name="Total_Orders" queryTableFieldId="7"/>
    <tableColumn id="8" xr3:uid="{498E316C-A58E-4B13-8032-43BB98EF96A7}" uniqueName="8" name="Avg_Spend" queryTableFieldId="8"/>
    <tableColumn id="9" xr3:uid="{0E0EA8E1-1BD9-4030-B76F-BD59A5DA9862}" uniqueName="9" name="Last_Purchase_Date" queryTableFieldId="9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6A23EA-CC00-4EBA-8679-6E017371EA2D}" name="Table2" displayName="Table2" ref="A1:P1202" totalsRowShown="0" headerRowDxfId="12">
  <autoFilter ref="A1:P1202" xr:uid="{976A23EA-CC00-4EBA-8679-6E017371EA2D}"/>
  <tableColumns count="16">
    <tableColumn id="1" xr3:uid="{127F68F9-F58E-49D2-8E21-2632D9B7C480}" name="Order_ID"/>
    <tableColumn id="2" xr3:uid="{2127E782-38B3-4B41-A65C-C58EF7E1F365}" name="Date" dataDxfId="11"/>
    <tableColumn id="3" xr3:uid="{47F00012-2A35-43F2-ABAE-F91590AE229C}" name="date2" dataDxfId="10"/>
    <tableColumn id="4" xr3:uid="{6C8B9674-3920-4A96-88E8-E7F0B6335200}" name="Store_ID"/>
    <tableColumn id="5" xr3:uid="{C54B849D-32F1-46EB-BB55-BAAE3E02602E}" name="Product_ID"/>
    <tableColumn id="6" xr3:uid="{298500A7-FD05-473B-A07D-C152FB9FA9D9}" name="Product_Name"/>
    <tableColumn id="7" xr3:uid="{0C5DAFBA-0869-4EAE-9D80-94C16D473208}" name="Category"/>
    <tableColumn id="8" xr3:uid="{B246D79B-DD24-4E46-80C8-C43529D2ABF8}" name="Size"/>
    <tableColumn id="9" xr3:uid="{CEFA2E1E-5C09-454C-8976-A1C3C726F3BB}" name="Quantity"/>
    <tableColumn id="10" xr3:uid="{709F9BE9-2965-4CDB-88BC-EA2E4A1BF3A0}" name="Unit_Price"/>
    <tableColumn id="11" xr3:uid="{435C13BD-B76D-4E5E-B958-1BD5082FF5EF}" name="Discount" dataDxfId="9" dataCellStyle="Percent"/>
    <tableColumn id="12" xr3:uid="{42A851D3-BE01-42B0-9A55-3C0B6EBD5197}" name="Region"/>
    <tableColumn id="13" xr3:uid="{A4CAF07E-3187-4790-A89D-BF5582BC176B}" name="Sales_Channel"/>
    <tableColumn id="14" xr3:uid="{634D207E-68D2-4CE5-AA86-EFEE785943D5}" name="Payment_Mode"/>
    <tableColumn id="15" xr3:uid="{6F7D7BE4-333A-415D-B6CB-0FE26309467F}" name="Customer_Rating"/>
    <tableColumn id="16" xr3:uid="{C6812CF3-5A92-4026-A87B-89554EAFBF8C}" name="Column1" dataDxfId="8">
      <calculatedColumnFormula>VLOOKUP(Table2[[#This Row],[Product_ID]],Table1[#All],8,TRUE)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EF2D0-0D4E-4AC4-9F74-915BB205F9F6}" name="Table1" displayName="Table1" ref="A1:I501" totalsRowShown="0" headerRowDxfId="7" headerRowBorderDxfId="6" tableBorderDxfId="5">
  <autoFilter ref="A1:I501" xr:uid="{C30EF2D0-0D4E-4AC4-9F74-915BB205F9F6}"/>
  <tableColumns count="9">
    <tableColumn id="1" xr3:uid="{DBC4C6F9-2D54-4D4C-939A-B28B7CE8A3E9}" name="Product_ID"/>
    <tableColumn id="2" xr3:uid="{AE434C9D-F964-43E5-9198-A85978080EEB}" name="Product_Name"/>
    <tableColumn id="3" xr3:uid="{2709591D-D300-4D7F-A81A-9E05946D60DD}" name="Category"/>
    <tableColumn id="4" xr3:uid="{4F91F407-0347-41F7-9797-00DDEEEE1201}" name="Sub_Category"/>
    <tableColumn id="5" xr3:uid="{EF1F7AC6-6726-4FE7-A41F-C0718E3328E7}" name="Gender"/>
    <tableColumn id="6" xr3:uid="{0486A52E-5217-4B3F-968E-D2066A2C1094}" name="Launch_Year"/>
    <tableColumn id="7" xr3:uid="{E6F7C2F0-5262-49A7-AEB8-A77567F3C15B}" name="Supplier"/>
    <tableColumn id="8" xr3:uid="{130F7ABA-0CC7-4710-9214-8CD5FC15114B}" name="Cost_Price"/>
    <tableColumn id="9" xr3:uid="{72FEBC81-A5FD-445C-8AB7-ADEB52DF7BE6}" name="Stock_Availabl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B0F6BA-9A62-46E3-B6CF-83B7CE856E1A}" name="Table4" displayName="Table4" ref="K3:K4" insertRow="1" totalsRowShown="0">
  <autoFilter ref="K3:K4" xr:uid="{7EB0F6BA-9A62-46E3-B6CF-83B7CE856E1A}"/>
  <tableColumns count="1">
    <tableColumn id="1" xr3:uid="{144293C1-E69B-422D-897A-CF566588491C}" name="Column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958CCB-D239-48BD-AA82-AD4DBDDF3475}" name="Table6" displayName="Table6" ref="A1:I301" totalsRowShown="0" headerRowDxfId="4" headerRowBorderDxfId="3" tableBorderDxfId="2">
  <autoFilter ref="A1:I301" xr:uid="{12958CCB-D239-48BD-AA82-AD4DBDDF3475}"/>
  <tableColumns count="9">
    <tableColumn id="1" xr3:uid="{1106452A-2552-4901-BD80-D405018AD525}" name="Customer_ID"/>
    <tableColumn id="2" xr3:uid="{D84E4FA9-6FB2-48A0-998B-29BC0C34A680}" name="Name"/>
    <tableColumn id="3" xr3:uid="{90E83137-A1B3-4C5B-B7B1-BBECC0564C11}" name="Age"/>
    <tableColumn id="4" xr3:uid="{DC90377B-80A7-49A7-901A-840C31A4EA7E}" name="Gender"/>
    <tableColumn id="5" xr3:uid="{2315A276-20FB-456B-BCDF-4F764237F27A}" name="Region"/>
    <tableColumn id="6" xr3:uid="{B29C6E52-09D9-4BD7-87EB-1315B44FB27A}" name="Loyalty_Tier"/>
    <tableColumn id="7" xr3:uid="{0103EB1D-57C6-475E-9200-FD1BC6222568}" name="Total_Orders"/>
    <tableColumn id="8" xr3:uid="{02466AFD-DFFF-4451-9973-756263D475C8}" name="Avg_Spend"/>
    <tableColumn id="9" xr3:uid="{DBD422E6-1D71-438D-8BCC-32FBE8F96D94}" name="Last_Purchase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ngwing.com/en/free-png-pyttr/download" TargetMode="External"/><Relationship Id="rId2" Type="http://schemas.openxmlformats.org/officeDocument/2006/relationships/hyperlink" Target="https://www.pngwing.com/en/free-png-blcnx/download" TargetMode="External"/><Relationship Id="rId1" Type="http://schemas.openxmlformats.org/officeDocument/2006/relationships/hyperlink" Target="https://www.pngwing.com/en/free-png-tpdep/download" TargetMode="External"/><Relationship Id="rId4" Type="http://schemas.openxmlformats.org/officeDocument/2006/relationships/hyperlink" Target="https://www.pngwing.com/en/free-png-bdami/downloa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0001-5E6E-4414-BF6C-3F15E05BE999}">
  <dimension ref="A1:S374"/>
  <sheetViews>
    <sheetView topLeftCell="F1" workbookViewId="0">
      <selection activeCell="S2" sqref="S2"/>
    </sheetView>
  </sheetViews>
  <sheetFormatPr defaultRowHeight="14.4" x14ac:dyDescent="0.3"/>
  <cols>
    <col min="1" max="1" width="10.77734375" bestFit="1" customWidth="1"/>
    <col min="2" max="3" width="15.44140625" bestFit="1" customWidth="1"/>
    <col min="4" max="4" width="10.44140625" bestFit="1" customWidth="1"/>
    <col min="5" max="5" width="12.6640625" bestFit="1" customWidth="1"/>
    <col min="6" max="6" width="22.109375" bestFit="1" customWidth="1"/>
    <col min="7" max="7" width="12.6640625" bestFit="1" customWidth="1"/>
    <col min="8" max="8" width="6.44140625" bestFit="1" customWidth="1"/>
    <col min="9" max="9" width="10.5546875" bestFit="1" customWidth="1"/>
    <col min="10" max="10" width="11.88671875" bestFit="1" customWidth="1"/>
    <col min="11" max="11" width="10.5546875" bestFit="1" customWidth="1"/>
    <col min="12" max="12" width="9" bestFit="1" customWidth="1"/>
    <col min="13" max="13" width="15.44140625" bestFit="1" customWidth="1"/>
    <col min="14" max="14" width="16.88671875" bestFit="1" customWidth="1"/>
    <col min="15" max="15" width="17.77734375" bestFit="1" customWidth="1"/>
    <col min="16" max="16" width="10.109375" bestFit="1" customWidth="1"/>
    <col min="17" max="17" width="10.77734375" bestFit="1" customWidth="1"/>
    <col min="18" max="18" width="11.5546875" bestFit="1" customWidth="1"/>
  </cols>
  <sheetData>
    <row r="1" spans="1:19" x14ac:dyDescent="0.3">
      <c r="A1" t="s">
        <v>0</v>
      </c>
      <c r="B1" t="s">
        <v>1</v>
      </c>
      <c r="C1" t="s">
        <v>2997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2999</v>
      </c>
      <c r="Q1" t="s">
        <v>3001</v>
      </c>
      <c r="R1" t="s">
        <v>3002</v>
      </c>
      <c r="S1" t="s">
        <v>3000</v>
      </c>
    </row>
    <row r="2" spans="1:19" x14ac:dyDescent="0.3">
      <c r="A2" t="s">
        <v>14</v>
      </c>
      <c r="B2" s="10">
        <v>45556</v>
      </c>
      <c r="C2" s="10">
        <v>45556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5942</v>
      </c>
      <c r="K2">
        <v>0.2</v>
      </c>
      <c r="L2" t="s">
        <v>21</v>
      </c>
      <c r="M2" t="s">
        <v>22</v>
      </c>
      <c r="N2" t="s">
        <v>23</v>
      </c>
      <c r="O2">
        <v>4.8</v>
      </c>
      <c r="P2">
        <v>9507.2000000000007</v>
      </c>
      <c r="Q2">
        <v>700</v>
      </c>
      <c r="R2">
        <f>Table2_2[[#This Row],[cost]]*Table2_2[[#This Row],[Quantity]]</f>
        <v>1400</v>
      </c>
      <c r="S2">
        <f>Table2_2[[#This Row],[revenue]]-Table2_2[[#This Row],[total_cost]]</f>
        <v>8107.2000000000007</v>
      </c>
    </row>
    <row r="3" spans="1:19" x14ac:dyDescent="0.3">
      <c r="A3" t="s">
        <v>24</v>
      </c>
      <c r="B3" s="10">
        <v>45530</v>
      </c>
      <c r="C3" s="10">
        <v>45530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5</v>
      </c>
      <c r="J3">
        <v>4991</v>
      </c>
      <c r="K3">
        <v>0.05</v>
      </c>
      <c r="L3" t="s">
        <v>31</v>
      </c>
      <c r="M3" t="s">
        <v>22</v>
      </c>
      <c r="N3" t="s">
        <v>32</v>
      </c>
      <c r="O3">
        <v>4</v>
      </c>
      <c r="P3">
        <v>23707.25</v>
      </c>
      <c r="Q3">
        <v>900</v>
      </c>
      <c r="R3">
        <f>Table2_2[[#This Row],[cost]]*Table2_2[[#This Row],[Quantity]]</f>
        <v>4500</v>
      </c>
      <c r="S3">
        <f>Table2_2[[#This Row],[revenue]]-Table2_2[[#This Row],[total_cost]]</f>
        <v>19207.25</v>
      </c>
    </row>
    <row r="4" spans="1:19" x14ac:dyDescent="0.3">
      <c r="A4" t="s">
        <v>49</v>
      </c>
      <c r="B4" s="10">
        <v>45475</v>
      </c>
      <c r="C4" s="10">
        <v>45475</v>
      </c>
      <c r="D4" t="s">
        <v>51</v>
      </c>
      <c r="E4" t="s">
        <v>52</v>
      </c>
      <c r="F4" t="s">
        <v>18</v>
      </c>
      <c r="G4" t="s">
        <v>53</v>
      </c>
      <c r="H4" t="s">
        <v>30</v>
      </c>
      <c r="I4">
        <v>4</v>
      </c>
      <c r="J4">
        <v>5009</v>
      </c>
      <c r="K4">
        <v>0.1</v>
      </c>
      <c r="L4" t="s">
        <v>21</v>
      </c>
      <c r="M4" t="s">
        <v>22</v>
      </c>
      <c r="N4" t="s">
        <v>48</v>
      </c>
      <c r="O4">
        <v>3.9</v>
      </c>
      <c r="P4">
        <v>18032.400000000001</v>
      </c>
      <c r="Q4">
        <v>1500</v>
      </c>
      <c r="R4">
        <f>Table2_2[[#This Row],[cost]]*Table2_2[[#This Row],[Quantity]]</f>
        <v>6000</v>
      </c>
      <c r="S4">
        <f>Table2_2[[#This Row],[revenue]]-Table2_2[[#This Row],[total_cost]]</f>
        <v>12032.400000000001</v>
      </c>
    </row>
    <row r="5" spans="1:19" x14ac:dyDescent="0.3">
      <c r="A5" t="s">
        <v>94</v>
      </c>
      <c r="B5" s="10">
        <v>45152</v>
      </c>
      <c r="C5" s="10">
        <v>45152</v>
      </c>
      <c r="D5" t="s">
        <v>96</v>
      </c>
      <c r="E5" t="s">
        <v>97</v>
      </c>
      <c r="F5" t="s">
        <v>98</v>
      </c>
      <c r="G5" t="s">
        <v>19</v>
      </c>
      <c r="H5" t="s">
        <v>99</v>
      </c>
      <c r="I5">
        <v>3</v>
      </c>
      <c r="J5">
        <v>4031</v>
      </c>
      <c r="K5">
        <v>0.1</v>
      </c>
      <c r="L5" t="s">
        <v>21</v>
      </c>
      <c r="M5" t="s">
        <v>39</v>
      </c>
      <c r="N5" t="s">
        <v>48</v>
      </c>
      <c r="O5">
        <v>3.3</v>
      </c>
      <c r="P5">
        <v>10883.7</v>
      </c>
      <c r="Q5">
        <v>500</v>
      </c>
      <c r="R5">
        <f>Table2_2[[#This Row],[cost]]*Table2_2[[#This Row],[Quantity]]</f>
        <v>1500</v>
      </c>
      <c r="S5">
        <f>Table2_2[[#This Row],[revenue]]-Table2_2[[#This Row],[total_cost]]</f>
        <v>9383.7000000000007</v>
      </c>
    </row>
    <row r="6" spans="1:19" x14ac:dyDescent="0.3">
      <c r="A6" t="s">
        <v>100</v>
      </c>
      <c r="B6" s="10">
        <v>44932</v>
      </c>
      <c r="C6" s="10">
        <v>44932</v>
      </c>
      <c r="D6" t="s">
        <v>67</v>
      </c>
      <c r="E6" t="s">
        <v>102</v>
      </c>
      <c r="F6" t="s">
        <v>73</v>
      </c>
      <c r="G6" t="s">
        <v>19</v>
      </c>
      <c r="H6" t="s">
        <v>30</v>
      </c>
      <c r="I6">
        <v>5</v>
      </c>
      <c r="J6">
        <v>8851</v>
      </c>
      <c r="K6">
        <v>0.1</v>
      </c>
      <c r="L6" t="s">
        <v>31</v>
      </c>
      <c r="M6" t="s">
        <v>39</v>
      </c>
      <c r="N6" t="s">
        <v>48</v>
      </c>
      <c r="O6">
        <v>3.4</v>
      </c>
      <c r="P6">
        <v>39829.5</v>
      </c>
      <c r="Q6">
        <v>1500</v>
      </c>
      <c r="R6">
        <f>Table2_2[[#This Row],[cost]]*Table2_2[[#This Row],[Quantity]]</f>
        <v>7500</v>
      </c>
      <c r="S6">
        <f>Table2_2[[#This Row],[revenue]]-Table2_2[[#This Row],[total_cost]]</f>
        <v>32329.5</v>
      </c>
    </row>
    <row r="7" spans="1:19" x14ac:dyDescent="0.3">
      <c r="A7" t="s">
        <v>109</v>
      </c>
      <c r="B7" s="10">
        <v>45625</v>
      </c>
      <c r="C7" s="10">
        <v>45625</v>
      </c>
      <c r="D7" t="s">
        <v>84</v>
      </c>
      <c r="E7" t="s">
        <v>111</v>
      </c>
      <c r="F7" t="s">
        <v>57</v>
      </c>
      <c r="G7" t="s">
        <v>29</v>
      </c>
      <c r="H7" t="s">
        <v>99</v>
      </c>
      <c r="I7">
        <v>1</v>
      </c>
      <c r="J7">
        <v>7003</v>
      </c>
      <c r="K7">
        <v>0.1</v>
      </c>
      <c r="L7" t="s">
        <v>21</v>
      </c>
      <c r="M7" t="s">
        <v>39</v>
      </c>
      <c r="N7" t="s">
        <v>59</v>
      </c>
      <c r="O7">
        <v>4.2</v>
      </c>
      <c r="P7">
        <v>6302.7</v>
      </c>
      <c r="Q7">
        <v>900</v>
      </c>
      <c r="R7">
        <f>Table2_2[[#This Row],[cost]]*Table2_2[[#This Row],[Quantity]]</f>
        <v>900</v>
      </c>
      <c r="S7">
        <f>Table2_2[[#This Row],[revenue]]-Table2_2[[#This Row],[total_cost]]</f>
        <v>5402.7</v>
      </c>
    </row>
    <row r="8" spans="1:19" x14ac:dyDescent="0.3">
      <c r="A8" t="s">
        <v>139</v>
      </c>
      <c r="B8" s="10">
        <v>45087</v>
      </c>
      <c r="C8" s="10">
        <v>45087</v>
      </c>
      <c r="D8" t="s">
        <v>16</v>
      </c>
      <c r="E8" t="s">
        <v>17</v>
      </c>
      <c r="F8" t="s">
        <v>64</v>
      </c>
      <c r="G8" t="s">
        <v>19</v>
      </c>
      <c r="H8" t="s">
        <v>99</v>
      </c>
      <c r="I8">
        <v>2</v>
      </c>
      <c r="J8">
        <v>6924</v>
      </c>
      <c r="K8">
        <v>0</v>
      </c>
      <c r="L8" t="s">
        <v>21</v>
      </c>
      <c r="M8" t="s">
        <v>22</v>
      </c>
      <c r="N8" t="s">
        <v>59</v>
      </c>
      <c r="O8">
        <v>3.2</v>
      </c>
      <c r="P8">
        <v>13848</v>
      </c>
      <c r="Q8">
        <v>700</v>
      </c>
      <c r="R8">
        <f>Table2_2[[#This Row],[cost]]*Table2_2[[#This Row],[Quantity]]</f>
        <v>1400</v>
      </c>
      <c r="S8">
        <f>Table2_2[[#This Row],[revenue]]-Table2_2[[#This Row],[total_cost]]</f>
        <v>12448</v>
      </c>
    </row>
    <row r="9" spans="1:19" x14ac:dyDescent="0.3">
      <c r="A9" t="s">
        <v>155</v>
      </c>
      <c r="B9" s="10">
        <v>45427</v>
      </c>
      <c r="C9" s="10">
        <v>45427</v>
      </c>
      <c r="D9" t="s">
        <v>114</v>
      </c>
      <c r="E9" t="s">
        <v>157</v>
      </c>
      <c r="F9" t="s">
        <v>98</v>
      </c>
      <c r="G9" t="s">
        <v>29</v>
      </c>
      <c r="H9" t="s">
        <v>99</v>
      </c>
      <c r="I9">
        <v>3</v>
      </c>
      <c r="J9">
        <v>4371</v>
      </c>
      <c r="K9">
        <v>0.15</v>
      </c>
      <c r="L9" t="s">
        <v>21</v>
      </c>
      <c r="M9" t="s">
        <v>39</v>
      </c>
      <c r="N9" t="s">
        <v>23</v>
      </c>
      <c r="O9">
        <v>4.9000000000000004</v>
      </c>
      <c r="P9">
        <v>11146.05</v>
      </c>
      <c r="Q9">
        <v>900</v>
      </c>
      <c r="R9">
        <f>Table2_2[[#This Row],[cost]]*Table2_2[[#This Row],[Quantity]]</f>
        <v>2700</v>
      </c>
      <c r="S9">
        <f>Table2_2[[#This Row],[revenue]]-Table2_2[[#This Row],[total_cost]]</f>
        <v>8446.0499999999993</v>
      </c>
    </row>
    <row r="10" spans="1:19" x14ac:dyDescent="0.3">
      <c r="A10" t="s">
        <v>161</v>
      </c>
      <c r="B10" s="10">
        <v>45554</v>
      </c>
      <c r="C10" s="10">
        <v>45554</v>
      </c>
      <c r="D10" t="s">
        <v>71</v>
      </c>
      <c r="E10" t="s">
        <v>163</v>
      </c>
      <c r="F10" t="s">
        <v>43</v>
      </c>
      <c r="G10" t="s">
        <v>37</v>
      </c>
      <c r="H10" t="s">
        <v>20</v>
      </c>
      <c r="I10">
        <v>4</v>
      </c>
      <c r="J10">
        <v>5004</v>
      </c>
      <c r="K10">
        <v>0.05</v>
      </c>
      <c r="L10" t="s">
        <v>58</v>
      </c>
      <c r="M10" t="s">
        <v>39</v>
      </c>
      <c r="N10" t="s">
        <v>48</v>
      </c>
      <c r="O10">
        <v>3.8</v>
      </c>
      <c r="P10">
        <v>19015.2</v>
      </c>
      <c r="Q10">
        <v>500</v>
      </c>
      <c r="R10">
        <f>Table2_2[[#This Row],[cost]]*Table2_2[[#This Row],[Quantity]]</f>
        <v>2000</v>
      </c>
      <c r="S10">
        <f>Table2_2[[#This Row],[revenue]]-Table2_2[[#This Row],[total_cost]]</f>
        <v>17015.2</v>
      </c>
    </row>
    <row r="11" spans="1:19" x14ac:dyDescent="0.3">
      <c r="A11" t="s">
        <v>167</v>
      </c>
      <c r="B11" s="10">
        <v>45643</v>
      </c>
      <c r="C11" s="10">
        <v>45643</v>
      </c>
      <c r="D11" t="s">
        <v>26</v>
      </c>
      <c r="E11" t="s">
        <v>169</v>
      </c>
      <c r="F11" t="s">
        <v>57</v>
      </c>
      <c r="G11" t="s">
        <v>37</v>
      </c>
      <c r="H11" t="s">
        <v>77</v>
      </c>
      <c r="I11">
        <v>3</v>
      </c>
      <c r="J11">
        <v>7187</v>
      </c>
      <c r="K11">
        <v>0.15</v>
      </c>
      <c r="L11" t="s">
        <v>31</v>
      </c>
      <c r="M11" t="s">
        <v>22</v>
      </c>
      <c r="N11" t="s">
        <v>48</v>
      </c>
      <c r="O11">
        <v>3.9</v>
      </c>
      <c r="P11">
        <v>18326.849999999999</v>
      </c>
      <c r="Q11">
        <v>1500</v>
      </c>
      <c r="R11">
        <f>Table2_2[[#This Row],[cost]]*Table2_2[[#This Row],[Quantity]]</f>
        <v>4500</v>
      </c>
      <c r="S11">
        <f>Table2_2[[#This Row],[revenue]]-Table2_2[[#This Row],[total_cost]]</f>
        <v>13826.849999999999</v>
      </c>
    </row>
    <row r="12" spans="1:19" x14ac:dyDescent="0.3">
      <c r="A12" t="s">
        <v>170</v>
      </c>
      <c r="B12" s="10">
        <v>45349</v>
      </c>
      <c r="C12" s="10">
        <v>45349</v>
      </c>
      <c r="D12" t="s">
        <v>71</v>
      </c>
      <c r="E12" t="s">
        <v>172</v>
      </c>
      <c r="F12" t="s">
        <v>43</v>
      </c>
      <c r="G12" t="s">
        <v>29</v>
      </c>
      <c r="H12" t="s">
        <v>30</v>
      </c>
      <c r="I12">
        <v>2</v>
      </c>
      <c r="J12">
        <v>5453</v>
      </c>
      <c r="K12">
        <v>0.15</v>
      </c>
      <c r="L12" t="s">
        <v>31</v>
      </c>
      <c r="M12" t="s">
        <v>39</v>
      </c>
      <c r="N12" t="s">
        <v>32</v>
      </c>
      <c r="O12">
        <v>4.5999999999999996</v>
      </c>
      <c r="P12">
        <v>9270.1</v>
      </c>
      <c r="Q12">
        <v>1200</v>
      </c>
      <c r="R12">
        <f>Table2_2[[#This Row],[cost]]*Table2_2[[#This Row],[Quantity]]</f>
        <v>2400</v>
      </c>
      <c r="S12">
        <f>Table2_2[[#This Row],[revenue]]-Table2_2[[#This Row],[total_cost]]</f>
        <v>6870.1</v>
      </c>
    </row>
    <row r="13" spans="1:19" x14ac:dyDescent="0.3">
      <c r="A13" t="s">
        <v>182</v>
      </c>
      <c r="B13" s="10">
        <v>45160</v>
      </c>
      <c r="C13" s="10">
        <v>45160</v>
      </c>
      <c r="D13" t="s">
        <v>127</v>
      </c>
      <c r="E13" t="s">
        <v>184</v>
      </c>
      <c r="F13" t="s">
        <v>28</v>
      </c>
      <c r="G13" t="s">
        <v>37</v>
      </c>
      <c r="H13" t="s">
        <v>77</v>
      </c>
      <c r="I13">
        <v>5</v>
      </c>
      <c r="J13">
        <v>9906</v>
      </c>
      <c r="K13">
        <v>0.1</v>
      </c>
      <c r="L13" t="s">
        <v>58</v>
      </c>
      <c r="M13" t="s">
        <v>39</v>
      </c>
      <c r="N13" t="s">
        <v>32</v>
      </c>
      <c r="O13">
        <v>4.8</v>
      </c>
      <c r="P13">
        <v>44577</v>
      </c>
      <c r="Q13">
        <v>900</v>
      </c>
      <c r="R13">
        <f>Table2_2[[#This Row],[cost]]*Table2_2[[#This Row],[Quantity]]</f>
        <v>4500</v>
      </c>
      <c r="S13">
        <f>Table2_2[[#This Row],[revenue]]-Table2_2[[#This Row],[total_cost]]</f>
        <v>40077</v>
      </c>
    </row>
    <row r="14" spans="1:19" x14ac:dyDescent="0.3">
      <c r="A14" t="s">
        <v>192</v>
      </c>
      <c r="B14" s="10">
        <v>45483</v>
      </c>
      <c r="C14" s="10">
        <v>45483</v>
      </c>
      <c r="D14" t="s">
        <v>114</v>
      </c>
      <c r="E14" t="s">
        <v>52</v>
      </c>
      <c r="F14" t="s">
        <v>73</v>
      </c>
      <c r="G14" t="s">
        <v>29</v>
      </c>
      <c r="H14" t="s">
        <v>30</v>
      </c>
      <c r="I14">
        <v>4</v>
      </c>
      <c r="J14">
        <v>1875</v>
      </c>
      <c r="K14">
        <v>0.2</v>
      </c>
      <c r="L14" t="s">
        <v>21</v>
      </c>
      <c r="M14" t="s">
        <v>22</v>
      </c>
      <c r="N14" t="s">
        <v>59</v>
      </c>
      <c r="O14">
        <v>4.9000000000000004</v>
      </c>
      <c r="P14">
        <v>6000</v>
      </c>
      <c r="Q14">
        <v>1500</v>
      </c>
      <c r="R14">
        <f>Table2_2[[#This Row],[cost]]*Table2_2[[#This Row],[Quantity]]</f>
        <v>6000</v>
      </c>
      <c r="S14">
        <f>Table2_2[[#This Row],[revenue]]-Table2_2[[#This Row],[total_cost]]</f>
        <v>0</v>
      </c>
    </row>
    <row r="15" spans="1:19" x14ac:dyDescent="0.3">
      <c r="A15" t="s">
        <v>194</v>
      </c>
      <c r="B15" s="10">
        <v>45558</v>
      </c>
      <c r="C15" s="10">
        <v>45558</v>
      </c>
      <c r="D15" t="s">
        <v>16</v>
      </c>
      <c r="E15" t="s">
        <v>52</v>
      </c>
      <c r="F15" t="s">
        <v>18</v>
      </c>
      <c r="G15" t="s">
        <v>37</v>
      </c>
      <c r="H15" t="s">
        <v>30</v>
      </c>
      <c r="I15">
        <v>1</v>
      </c>
      <c r="J15">
        <v>1728</v>
      </c>
      <c r="K15">
        <v>0.2</v>
      </c>
      <c r="L15" t="s">
        <v>38</v>
      </c>
      <c r="M15" t="s">
        <v>22</v>
      </c>
      <c r="N15" t="s">
        <v>48</v>
      </c>
      <c r="O15">
        <v>3.9</v>
      </c>
      <c r="P15">
        <v>1382.4</v>
      </c>
      <c r="Q15">
        <v>1500</v>
      </c>
      <c r="R15">
        <f>Table2_2[[#This Row],[cost]]*Table2_2[[#This Row],[Quantity]]</f>
        <v>1500</v>
      </c>
      <c r="S15">
        <f>Table2_2[[#This Row],[revenue]]-Table2_2[[#This Row],[total_cost]]</f>
        <v>-117.59999999999991</v>
      </c>
    </row>
    <row r="16" spans="1:19" x14ac:dyDescent="0.3">
      <c r="A16" t="s">
        <v>219</v>
      </c>
      <c r="B16" s="10">
        <v>45119</v>
      </c>
      <c r="C16" s="10">
        <v>45119</v>
      </c>
      <c r="D16" t="s">
        <v>62</v>
      </c>
      <c r="E16" t="s">
        <v>187</v>
      </c>
      <c r="F16" t="s">
        <v>64</v>
      </c>
      <c r="G16" t="s">
        <v>53</v>
      </c>
      <c r="H16" t="s">
        <v>99</v>
      </c>
      <c r="I16">
        <v>4</v>
      </c>
      <c r="J16">
        <v>5371</v>
      </c>
      <c r="K16">
        <v>0.15</v>
      </c>
      <c r="L16" t="s">
        <v>21</v>
      </c>
      <c r="M16" t="s">
        <v>22</v>
      </c>
      <c r="N16" t="s">
        <v>23</v>
      </c>
      <c r="O16">
        <v>3.8</v>
      </c>
      <c r="P16">
        <v>18261.399999999998</v>
      </c>
      <c r="Q16">
        <v>500</v>
      </c>
      <c r="R16">
        <f>Table2_2[[#This Row],[cost]]*Table2_2[[#This Row],[Quantity]]</f>
        <v>2000</v>
      </c>
      <c r="S16">
        <f>Table2_2[[#This Row],[revenue]]-Table2_2[[#This Row],[total_cost]]</f>
        <v>16261.399999999998</v>
      </c>
    </row>
    <row r="17" spans="1:19" x14ac:dyDescent="0.3">
      <c r="A17" t="s">
        <v>233</v>
      </c>
      <c r="B17" s="10">
        <v>45460</v>
      </c>
      <c r="C17" s="10">
        <v>45460</v>
      </c>
      <c r="D17" t="s">
        <v>26</v>
      </c>
      <c r="E17" t="s">
        <v>76</v>
      </c>
      <c r="F17" t="s">
        <v>73</v>
      </c>
      <c r="G17" t="s">
        <v>53</v>
      </c>
      <c r="H17" t="s">
        <v>77</v>
      </c>
      <c r="I17">
        <v>3</v>
      </c>
      <c r="J17">
        <v>7900</v>
      </c>
      <c r="K17">
        <v>0.2</v>
      </c>
      <c r="L17" t="s">
        <v>58</v>
      </c>
      <c r="M17" t="s">
        <v>22</v>
      </c>
      <c r="N17" t="s">
        <v>32</v>
      </c>
      <c r="O17">
        <v>4.5</v>
      </c>
      <c r="P17">
        <v>18960</v>
      </c>
      <c r="Q17">
        <v>1500</v>
      </c>
      <c r="R17">
        <f>Table2_2[[#This Row],[cost]]*Table2_2[[#This Row],[Quantity]]</f>
        <v>4500</v>
      </c>
      <c r="S17">
        <f>Table2_2[[#This Row],[revenue]]-Table2_2[[#This Row],[total_cost]]</f>
        <v>14460</v>
      </c>
    </row>
    <row r="18" spans="1:19" x14ac:dyDescent="0.3">
      <c r="A18" t="s">
        <v>238</v>
      </c>
      <c r="B18" s="10">
        <v>45472</v>
      </c>
      <c r="C18" s="10">
        <v>45472</v>
      </c>
      <c r="D18" t="s">
        <v>131</v>
      </c>
      <c r="E18" t="s">
        <v>240</v>
      </c>
      <c r="F18" t="s">
        <v>28</v>
      </c>
      <c r="G18" t="s">
        <v>29</v>
      </c>
      <c r="H18" t="s">
        <v>99</v>
      </c>
      <c r="I18">
        <v>1</v>
      </c>
      <c r="J18">
        <v>4102</v>
      </c>
      <c r="K18">
        <v>0.2</v>
      </c>
      <c r="L18" t="s">
        <v>31</v>
      </c>
      <c r="M18" t="s">
        <v>39</v>
      </c>
      <c r="N18" t="s">
        <v>48</v>
      </c>
      <c r="O18">
        <v>4.5999999999999996</v>
      </c>
      <c r="P18">
        <v>3281.6000000000004</v>
      </c>
      <c r="Q18">
        <v>500</v>
      </c>
      <c r="R18">
        <f>Table2_2[[#This Row],[cost]]*Table2_2[[#This Row],[Quantity]]</f>
        <v>500</v>
      </c>
      <c r="S18">
        <f>Table2_2[[#This Row],[revenue]]-Table2_2[[#This Row],[total_cost]]</f>
        <v>2781.6000000000004</v>
      </c>
    </row>
    <row r="19" spans="1:19" x14ac:dyDescent="0.3">
      <c r="A19" t="s">
        <v>245</v>
      </c>
      <c r="B19" s="10">
        <v>44953</v>
      </c>
      <c r="C19" s="10">
        <v>44953</v>
      </c>
      <c r="D19" t="s">
        <v>127</v>
      </c>
      <c r="E19" t="s">
        <v>247</v>
      </c>
      <c r="F19" t="s">
        <v>18</v>
      </c>
      <c r="G19" t="s">
        <v>29</v>
      </c>
      <c r="H19" t="s">
        <v>20</v>
      </c>
      <c r="I19">
        <v>5</v>
      </c>
      <c r="J19">
        <v>5086</v>
      </c>
      <c r="K19">
        <v>0.05</v>
      </c>
      <c r="L19" t="s">
        <v>38</v>
      </c>
      <c r="M19" t="s">
        <v>39</v>
      </c>
      <c r="N19" t="s">
        <v>59</v>
      </c>
      <c r="O19">
        <v>4.5</v>
      </c>
      <c r="P19">
        <v>24158.5</v>
      </c>
      <c r="Q19">
        <v>1500</v>
      </c>
      <c r="R19">
        <f>Table2_2[[#This Row],[cost]]*Table2_2[[#This Row],[Quantity]]</f>
        <v>7500</v>
      </c>
      <c r="S19">
        <f>Table2_2[[#This Row],[revenue]]-Table2_2[[#This Row],[total_cost]]</f>
        <v>16658.5</v>
      </c>
    </row>
    <row r="20" spans="1:19" x14ac:dyDescent="0.3">
      <c r="A20" t="s">
        <v>251</v>
      </c>
      <c r="B20" s="10">
        <v>45191</v>
      </c>
      <c r="C20" s="10">
        <v>45191</v>
      </c>
      <c r="D20" t="s">
        <v>131</v>
      </c>
      <c r="E20" t="s">
        <v>270</v>
      </c>
      <c r="F20" t="s">
        <v>98</v>
      </c>
      <c r="G20" t="s">
        <v>53</v>
      </c>
      <c r="H20" t="s">
        <v>77</v>
      </c>
      <c r="I20">
        <v>2</v>
      </c>
      <c r="J20">
        <v>3123</v>
      </c>
      <c r="K20">
        <v>0.2</v>
      </c>
      <c r="L20" t="s">
        <v>21</v>
      </c>
      <c r="M20" t="s">
        <v>39</v>
      </c>
      <c r="N20" t="s">
        <v>32</v>
      </c>
      <c r="O20">
        <v>3.2</v>
      </c>
      <c r="P20">
        <v>4996.8</v>
      </c>
      <c r="Q20">
        <v>500</v>
      </c>
      <c r="R20">
        <f>Table2_2[[#This Row],[cost]]*Table2_2[[#This Row],[Quantity]]</f>
        <v>1000</v>
      </c>
      <c r="S20">
        <f>Table2_2[[#This Row],[revenue]]-Table2_2[[#This Row],[total_cost]]</f>
        <v>3996.8</v>
      </c>
    </row>
    <row r="21" spans="1:19" x14ac:dyDescent="0.3">
      <c r="A21" t="s">
        <v>274</v>
      </c>
      <c r="B21" s="10">
        <v>44934</v>
      </c>
      <c r="C21" s="10">
        <v>44934</v>
      </c>
      <c r="D21" t="s">
        <v>35</v>
      </c>
      <c r="E21" t="s">
        <v>244</v>
      </c>
      <c r="F21" t="s">
        <v>43</v>
      </c>
      <c r="G21" t="s">
        <v>53</v>
      </c>
      <c r="H21" t="s">
        <v>20</v>
      </c>
      <c r="I21">
        <v>1</v>
      </c>
      <c r="J21">
        <v>2445</v>
      </c>
      <c r="K21">
        <v>0</v>
      </c>
      <c r="L21" t="s">
        <v>38</v>
      </c>
      <c r="M21" t="s">
        <v>39</v>
      </c>
      <c r="N21" t="s">
        <v>23</v>
      </c>
      <c r="O21">
        <v>3.8</v>
      </c>
      <c r="P21">
        <v>2445</v>
      </c>
      <c r="Q21">
        <v>900</v>
      </c>
      <c r="R21">
        <f>Table2_2[[#This Row],[cost]]*Table2_2[[#This Row],[Quantity]]</f>
        <v>900</v>
      </c>
      <c r="S21">
        <f>Table2_2[[#This Row],[revenue]]-Table2_2[[#This Row],[total_cost]]</f>
        <v>1545</v>
      </c>
    </row>
    <row r="22" spans="1:19" x14ac:dyDescent="0.3">
      <c r="A22" t="s">
        <v>279</v>
      </c>
      <c r="B22" s="10">
        <v>45643</v>
      </c>
      <c r="C22" s="10">
        <v>45643</v>
      </c>
      <c r="D22" t="s">
        <v>46</v>
      </c>
      <c r="E22" t="s">
        <v>281</v>
      </c>
      <c r="F22" t="s">
        <v>64</v>
      </c>
      <c r="G22" t="s">
        <v>19</v>
      </c>
      <c r="H22" t="s">
        <v>77</v>
      </c>
      <c r="I22">
        <v>1</v>
      </c>
      <c r="J22">
        <v>7531</v>
      </c>
      <c r="K22">
        <v>0.15</v>
      </c>
      <c r="L22" t="s">
        <v>38</v>
      </c>
      <c r="M22" t="s">
        <v>22</v>
      </c>
      <c r="N22" t="s">
        <v>32</v>
      </c>
      <c r="O22">
        <v>4.8</v>
      </c>
      <c r="P22">
        <v>6401.3499999999995</v>
      </c>
      <c r="Q22">
        <v>1200</v>
      </c>
      <c r="R22">
        <f>Table2_2[[#This Row],[cost]]*Table2_2[[#This Row],[Quantity]]</f>
        <v>1200</v>
      </c>
      <c r="S22">
        <f>Table2_2[[#This Row],[revenue]]-Table2_2[[#This Row],[total_cost]]</f>
        <v>5201.3499999999995</v>
      </c>
    </row>
    <row r="23" spans="1:19" x14ac:dyDescent="0.3">
      <c r="A23" t="s">
        <v>282</v>
      </c>
      <c r="B23" s="10">
        <v>45031</v>
      </c>
      <c r="C23" s="10">
        <v>45031</v>
      </c>
      <c r="D23" t="s">
        <v>96</v>
      </c>
      <c r="E23" t="s">
        <v>178</v>
      </c>
      <c r="F23" t="s">
        <v>28</v>
      </c>
      <c r="G23" t="s">
        <v>19</v>
      </c>
      <c r="H23" t="s">
        <v>77</v>
      </c>
      <c r="I23">
        <v>1</v>
      </c>
      <c r="J23">
        <v>2774</v>
      </c>
      <c r="K23">
        <v>0</v>
      </c>
      <c r="L23" t="s">
        <v>21</v>
      </c>
      <c r="M23" t="s">
        <v>22</v>
      </c>
      <c r="N23" t="s">
        <v>48</v>
      </c>
      <c r="O23">
        <v>3</v>
      </c>
      <c r="P23">
        <v>2774</v>
      </c>
      <c r="Q23">
        <v>1200</v>
      </c>
      <c r="R23">
        <f>Table2_2[[#This Row],[cost]]*Table2_2[[#This Row],[Quantity]]</f>
        <v>1200</v>
      </c>
      <c r="S23">
        <f>Table2_2[[#This Row],[revenue]]-Table2_2[[#This Row],[total_cost]]</f>
        <v>1574</v>
      </c>
    </row>
    <row r="24" spans="1:19" x14ac:dyDescent="0.3">
      <c r="A24" t="s">
        <v>293</v>
      </c>
      <c r="B24" s="10">
        <v>45467</v>
      </c>
      <c r="C24" s="10">
        <v>45467</v>
      </c>
      <c r="D24" t="s">
        <v>35</v>
      </c>
      <c r="E24" t="s">
        <v>295</v>
      </c>
      <c r="F24" t="s">
        <v>64</v>
      </c>
      <c r="G24" t="s">
        <v>29</v>
      </c>
      <c r="H24" t="s">
        <v>99</v>
      </c>
      <c r="I24">
        <v>3</v>
      </c>
      <c r="J24">
        <v>9835</v>
      </c>
      <c r="K24">
        <v>0.1</v>
      </c>
      <c r="L24" t="s">
        <v>58</v>
      </c>
      <c r="M24" t="s">
        <v>39</v>
      </c>
      <c r="N24" t="s">
        <v>48</v>
      </c>
      <c r="O24">
        <v>4.5</v>
      </c>
      <c r="P24">
        <v>26554.5</v>
      </c>
      <c r="Q24">
        <v>1500</v>
      </c>
      <c r="R24">
        <f>Table2_2[[#This Row],[cost]]*Table2_2[[#This Row],[Quantity]]</f>
        <v>4500</v>
      </c>
      <c r="S24">
        <f>Table2_2[[#This Row],[revenue]]-Table2_2[[#This Row],[total_cost]]</f>
        <v>22054.5</v>
      </c>
    </row>
    <row r="25" spans="1:19" x14ac:dyDescent="0.3">
      <c r="A25" t="s">
        <v>298</v>
      </c>
      <c r="B25" s="10">
        <v>45058</v>
      </c>
      <c r="C25" s="10">
        <v>45058</v>
      </c>
      <c r="D25" t="s">
        <v>131</v>
      </c>
      <c r="E25" t="s">
        <v>300</v>
      </c>
      <c r="F25" t="s">
        <v>98</v>
      </c>
      <c r="G25" t="s">
        <v>29</v>
      </c>
      <c r="H25" t="s">
        <v>99</v>
      </c>
      <c r="I25">
        <v>3</v>
      </c>
      <c r="J25">
        <v>8533</v>
      </c>
      <c r="K25">
        <v>0.05</v>
      </c>
      <c r="L25" t="s">
        <v>21</v>
      </c>
      <c r="M25" t="s">
        <v>22</v>
      </c>
      <c r="N25" t="s">
        <v>48</v>
      </c>
      <c r="O25">
        <v>4.0999999999999996</v>
      </c>
      <c r="P25">
        <v>24319.05</v>
      </c>
      <c r="Q25">
        <v>500</v>
      </c>
      <c r="R25">
        <f>Table2_2[[#This Row],[cost]]*Table2_2[[#This Row],[Quantity]]</f>
        <v>1500</v>
      </c>
      <c r="S25">
        <f>Table2_2[[#This Row],[revenue]]-Table2_2[[#This Row],[total_cost]]</f>
        <v>22819.05</v>
      </c>
    </row>
    <row r="26" spans="1:19" x14ac:dyDescent="0.3">
      <c r="A26" t="s">
        <v>315</v>
      </c>
      <c r="B26" s="10">
        <v>45154</v>
      </c>
      <c r="C26" s="10">
        <v>45154</v>
      </c>
      <c r="D26" t="s">
        <v>131</v>
      </c>
      <c r="E26" t="s">
        <v>169</v>
      </c>
      <c r="F26" t="s">
        <v>18</v>
      </c>
      <c r="G26" t="s">
        <v>53</v>
      </c>
      <c r="H26" t="s">
        <v>77</v>
      </c>
      <c r="I26">
        <v>4</v>
      </c>
      <c r="J26">
        <v>4511</v>
      </c>
      <c r="K26">
        <v>0.1</v>
      </c>
      <c r="L26" t="s">
        <v>38</v>
      </c>
      <c r="M26" t="s">
        <v>39</v>
      </c>
      <c r="N26" t="s">
        <v>23</v>
      </c>
      <c r="O26">
        <v>3.5</v>
      </c>
      <c r="P26">
        <v>16239.6</v>
      </c>
      <c r="Q26">
        <v>1500</v>
      </c>
      <c r="R26">
        <f>Table2_2[[#This Row],[cost]]*Table2_2[[#This Row],[Quantity]]</f>
        <v>6000</v>
      </c>
      <c r="S26">
        <f>Table2_2[[#This Row],[revenue]]-Table2_2[[#This Row],[total_cost]]</f>
        <v>10239.6</v>
      </c>
    </row>
    <row r="27" spans="1:19" x14ac:dyDescent="0.3">
      <c r="A27" t="s">
        <v>317</v>
      </c>
      <c r="B27" s="10">
        <v>45343</v>
      </c>
      <c r="C27" s="10">
        <v>45343</v>
      </c>
      <c r="D27" t="s">
        <v>71</v>
      </c>
      <c r="E27" t="s">
        <v>319</v>
      </c>
      <c r="F27" t="s">
        <v>57</v>
      </c>
      <c r="G27" t="s">
        <v>37</v>
      </c>
      <c r="H27" t="s">
        <v>20</v>
      </c>
      <c r="I27">
        <v>3</v>
      </c>
      <c r="J27">
        <v>6279</v>
      </c>
      <c r="K27">
        <v>0</v>
      </c>
      <c r="L27" t="s">
        <v>38</v>
      </c>
      <c r="M27" t="s">
        <v>22</v>
      </c>
      <c r="N27" t="s">
        <v>32</v>
      </c>
      <c r="O27">
        <v>4.3</v>
      </c>
      <c r="P27">
        <v>18837</v>
      </c>
      <c r="Q27">
        <v>1200</v>
      </c>
      <c r="R27">
        <f>Table2_2[[#This Row],[cost]]*Table2_2[[#This Row],[Quantity]]</f>
        <v>3600</v>
      </c>
      <c r="S27">
        <f>Table2_2[[#This Row],[revenue]]-Table2_2[[#This Row],[total_cost]]</f>
        <v>15237</v>
      </c>
    </row>
    <row r="28" spans="1:19" x14ac:dyDescent="0.3">
      <c r="A28" t="s">
        <v>329</v>
      </c>
      <c r="B28" s="10">
        <v>45034</v>
      </c>
      <c r="C28" s="10">
        <v>45034</v>
      </c>
      <c r="D28" t="s">
        <v>91</v>
      </c>
      <c r="E28" t="s">
        <v>331</v>
      </c>
      <c r="F28" t="s">
        <v>98</v>
      </c>
      <c r="G28" t="s">
        <v>53</v>
      </c>
      <c r="H28" t="s">
        <v>99</v>
      </c>
      <c r="I28">
        <v>1</v>
      </c>
      <c r="J28">
        <v>7543</v>
      </c>
      <c r="K28">
        <v>0.05</v>
      </c>
      <c r="L28" t="s">
        <v>31</v>
      </c>
      <c r="M28" t="s">
        <v>39</v>
      </c>
      <c r="N28" t="s">
        <v>32</v>
      </c>
      <c r="O28">
        <v>4.5</v>
      </c>
      <c r="P28">
        <v>7165.8499999999995</v>
      </c>
      <c r="Q28">
        <v>900</v>
      </c>
      <c r="R28">
        <f>Table2_2[[#This Row],[cost]]*Table2_2[[#This Row],[Quantity]]</f>
        <v>900</v>
      </c>
      <c r="S28">
        <f>Table2_2[[#This Row],[revenue]]-Table2_2[[#This Row],[total_cost]]</f>
        <v>6265.8499999999995</v>
      </c>
    </row>
    <row r="29" spans="1:19" x14ac:dyDescent="0.3">
      <c r="A29" t="s">
        <v>343</v>
      </c>
      <c r="B29" s="10">
        <v>45326</v>
      </c>
      <c r="C29" s="10">
        <v>45326</v>
      </c>
      <c r="D29" t="s">
        <v>84</v>
      </c>
      <c r="E29" t="s">
        <v>345</v>
      </c>
      <c r="F29" t="s">
        <v>57</v>
      </c>
      <c r="G29" t="s">
        <v>53</v>
      </c>
      <c r="H29" t="s">
        <v>30</v>
      </c>
      <c r="I29">
        <v>4</v>
      </c>
      <c r="J29">
        <v>5142</v>
      </c>
      <c r="K29">
        <v>0.2</v>
      </c>
      <c r="L29" t="s">
        <v>21</v>
      </c>
      <c r="M29" t="s">
        <v>39</v>
      </c>
      <c r="N29" t="s">
        <v>48</v>
      </c>
      <c r="O29">
        <v>4.8</v>
      </c>
      <c r="P29">
        <v>16454.400000000001</v>
      </c>
      <c r="Q29">
        <v>1200</v>
      </c>
      <c r="R29">
        <f>Table2_2[[#This Row],[cost]]*Table2_2[[#This Row],[Quantity]]</f>
        <v>4800</v>
      </c>
      <c r="S29">
        <f>Table2_2[[#This Row],[revenue]]-Table2_2[[#This Row],[total_cost]]</f>
        <v>11654.400000000001</v>
      </c>
    </row>
    <row r="30" spans="1:19" x14ac:dyDescent="0.3">
      <c r="A30" t="s">
        <v>360</v>
      </c>
      <c r="B30" s="10">
        <v>45620</v>
      </c>
      <c r="C30" s="10">
        <v>45620</v>
      </c>
      <c r="D30" t="s">
        <v>71</v>
      </c>
      <c r="E30" t="s">
        <v>362</v>
      </c>
      <c r="F30" t="s">
        <v>57</v>
      </c>
      <c r="G30" t="s">
        <v>19</v>
      </c>
      <c r="H30" t="s">
        <v>30</v>
      </c>
      <c r="I30">
        <v>2</v>
      </c>
      <c r="J30">
        <v>9580</v>
      </c>
      <c r="K30">
        <v>0.2</v>
      </c>
      <c r="L30" t="s">
        <v>31</v>
      </c>
      <c r="M30" t="s">
        <v>22</v>
      </c>
      <c r="N30" t="s">
        <v>23</v>
      </c>
      <c r="O30">
        <v>3.3</v>
      </c>
      <c r="P30">
        <v>15328</v>
      </c>
      <c r="Q30">
        <v>500</v>
      </c>
      <c r="R30">
        <f>Table2_2[[#This Row],[cost]]*Table2_2[[#This Row],[Quantity]]</f>
        <v>1000</v>
      </c>
      <c r="S30">
        <f>Table2_2[[#This Row],[revenue]]-Table2_2[[#This Row],[total_cost]]</f>
        <v>14328</v>
      </c>
    </row>
    <row r="31" spans="1:19" x14ac:dyDescent="0.3">
      <c r="A31" t="s">
        <v>363</v>
      </c>
      <c r="B31" s="10">
        <v>44929</v>
      </c>
      <c r="C31" s="10">
        <v>44929</v>
      </c>
      <c r="D31" t="s">
        <v>84</v>
      </c>
      <c r="E31" t="s">
        <v>365</v>
      </c>
      <c r="F31" t="s">
        <v>64</v>
      </c>
      <c r="G31" t="s">
        <v>37</v>
      </c>
      <c r="H31" t="s">
        <v>30</v>
      </c>
      <c r="I31">
        <v>2</v>
      </c>
      <c r="J31">
        <v>1067</v>
      </c>
      <c r="K31">
        <v>0</v>
      </c>
      <c r="L31" t="s">
        <v>31</v>
      </c>
      <c r="M31" t="s">
        <v>22</v>
      </c>
      <c r="N31" t="s">
        <v>23</v>
      </c>
      <c r="O31">
        <v>4</v>
      </c>
      <c r="P31">
        <v>2134</v>
      </c>
      <c r="Q31">
        <v>1500</v>
      </c>
      <c r="R31">
        <f>Table2_2[[#This Row],[cost]]*Table2_2[[#This Row],[Quantity]]</f>
        <v>3000</v>
      </c>
      <c r="S31">
        <f>Table2_2[[#This Row],[revenue]]-Table2_2[[#This Row],[total_cost]]</f>
        <v>-866</v>
      </c>
    </row>
    <row r="32" spans="1:19" x14ac:dyDescent="0.3">
      <c r="A32" t="s">
        <v>377</v>
      </c>
      <c r="B32" s="10">
        <v>45617</v>
      </c>
      <c r="C32" s="10">
        <v>45617</v>
      </c>
      <c r="D32" t="s">
        <v>91</v>
      </c>
      <c r="E32" t="s">
        <v>42</v>
      </c>
      <c r="F32" t="s">
        <v>18</v>
      </c>
      <c r="G32" t="s">
        <v>37</v>
      </c>
      <c r="H32" t="s">
        <v>99</v>
      </c>
      <c r="I32">
        <v>3</v>
      </c>
      <c r="J32">
        <v>7497</v>
      </c>
      <c r="K32">
        <v>0.15</v>
      </c>
      <c r="L32" t="s">
        <v>38</v>
      </c>
      <c r="M32" t="s">
        <v>39</v>
      </c>
      <c r="N32" t="s">
        <v>32</v>
      </c>
      <c r="O32">
        <v>4.7</v>
      </c>
      <c r="P32">
        <v>19117.349999999999</v>
      </c>
      <c r="Q32">
        <v>900</v>
      </c>
      <c r="R32">
        <f>Table2_2[[#This Row],[cost]]*Table2_2[[#This Row],[Quantity]]</f>
        <v>2700</v>
      </c>
      <c r="S32">
        <f>Table2_2[[#This Row],[revenue]]-Table2_2[[#This Row],[total_cost]]</f>
        <v>16417.349999999999</v>
      </c>
    </row>
    <row r="33" spans="1:19" x14ac:dyDescent="0.3">
      <c r="A33" t="s">
        <v>390</v>
      </c>
      <c r="B33" s="10">
        <v>45220</v>
      </c>
      <c r="C33" s="10">
        <v>45220</v>
      </c>
      <c r="D33" t="s">
        <v>80</v>
      </c>
      <c r="E33" t="s">
        <v>392</v>
      </c>
      <c r="F33" t="s">
        <v>98</v>
      </c>
      <c r="G33" t="s">
        <v>37</v>
      </c>
      <c r="H33" t="s">
        <v>20</v>
      </c>
      <c r="I33">
        <v>4</v>
      </c>
      <c r="J33">
        <v>2052</v>
      </c>
      <c r="K33">
        <v>0.2</v>
      </c>
      <c r="L33" t="s">
        <v>38</v>
      </c>
      <c r="M33" t="s">
        <v>22</v>
      </c>
      <c r="N33" t="s">
        <v>48</v>
      </c>
      <c r="O33">
        <v>3.2</v>
      </c>
      <c r="P33">
        <v>6566.4000000000005</v>
      </c>
      <c r="Q33">
        <v>700</v>
      </c>
      <c r="R33">
        <f>Table2_2[[#This Row],[cost]]*Table2_2[[#This Row],[Quantity]]</f>
        <v>2800</v>
      </c>
      <c r="S33">
        <f>Table2_2[[#This Row],[revenue]]-Table2_2[[#This Row],[total_cost]]</f>
        <v>3766.4000000000005</v>
      </c>
    </row>
    <row r="34" spans="1:19" x14ac:dyDescent="0.3">
      <c r="A34" t="s">
        <v>399</v>
      </c>
      <c r="B34" s="10">
        <v>45034</v>
      </c>
      <c r="C34" s="10">
        <v>45034</v>
      </c>
      <c r="D34" t="s">
        <v>26</v>
      </c>
      <c r="E34" t="s">
        <v>400</v>
      </c>
      <c r="F34" t="s">
        <v>98</v>
      </c>
      <c r="G34" t="s">
        <v>37</v>
      </c>
      <c r="H34" t="s">
        <v>99</v>
      </c>
      <c r="I34">
        <v>1</v>
      </c>
      <c r="J34">
        <v>5410</v>
      </c>
      <c r="K34">
        <v>0.05</v>
      </c>
      <c r="L34" t="s">
        <v>31</v>
      </c>
      <c r="M34" t="s">
        <v>22</v>
      </c>
      <c r="N34" t="s">
        <v>32</v>
      </c>
      <c r="O34">
        <v>4.0999999999999996</v>
      </c>
      <c r="P34">
        <v>5139.5</v>
      </c>
      <c r="Q34">
        <v>700</v>
      </c>
      <c r="R34">
        <f>Table2_2[[#This Row],[cost]]*Table2_2[[#This Row],[Quantity]]</f>
        <v>700</v>
      </c>
      <c r="S34">
        <f>Table2_2[[#This Row],[revenue]]-Table2_2[[#This Row],[total_cost]]</f>
        <v>4439.5</v>
      </c>
    </row>
    <row r="35" spans="1:19" x14ac:dyDescent="0.3">
      <c r="A35" t="s">
        <v>401</v>
      </c>
      <c r="B35" s="10">
        <v>45165</v>
      </c>
      <c r="C35" s="10">
        <v>45165</v>
      </c>
      <c r="D35" t="s">
        <v>35</v>
      </c>
      <c r="E35" t="s">
        <v>403</v>
      </c>
      <c r="F35" t="s">
        <v>43</v>
      </c>
      <c r="G35" t="s">
        <v>53</v>
      </c>
      <c r="H35" t="s">
        <v>99</v>
      </c>
      <c r="I35">
        <v>4</v>
      </c>
      <c r="J35">
        <v>8327</v>
      </c>
      <c r="K35">
        <v>0.2</v>
      </c>
      <c r="L35" t="s">
        <v>31</v>
      </c>
      <c r="M35" t="s">
        <v>22</v>
      </c>
      <c r="N35" t="s">
        <v>32</v>
      </c>
      <c r="O35">
        <v>3.4</v>
      </c>
      <c r="P35">
        <v>26646.400000000001</v>
      </c>
      <c r="Q35">
        <v>1200</v>
      </c>
      <c r="R35">
        <f>Table2_2[[#This Row],[cost]]*Table2_2[[#This Row],[Quantity]]</f>
        <v>4800</v>
      </c>
      <c r="S35">
        <f>Table2_2[[#This Row],[revenue]]-Table2_2[[#This Row],[total_cost]]</f>
        <v>21846.400000000001</v>
      </c>
    </row>
    <row r="36" spans="1:19" x14ac:dyDescent="0.3">
      <c r="A36" t="s">
        <v>404</v>
      </c>
      <c r="B36" s="10">
        <v>45031</v>
      </c>
      <c r="C36" s="10">
        <v>45031</v>
      </c>
      <c r="D36" t="s">
        <v>96</v>
      </c>
      <c r="E36" t="s">
        <v>405</v>
      </c>
      <c r="F36" t="s">
        <v>73</v>
      </c>
      <c r="G36" t="s">
        <v>37</v>
      </c>
      <c r="H36" t="s">
        <v>99</v>
      </c>
      <c r="I36">
        <v>3</v>
      </c>
      <c r="J36">
        <v>9964</v>
      </c>
      <c r="K36">
        <v>0.2</v>
      </c>
      <c r="L36" t="s">
        <v>21</v>
      </c>
      <c r="M36" t="s">
        <v>39</v>
      </c>
      <c r="N36" t="s">
        <v>59</v>
      </c>
      <c r="O36">
        <v>3.4</v>
      </c>
      <c r="P36">
        <v>23913.600000000002</v>
      </c>
      <c r="Q36">
        <v>1200</v>
      </c>
      <c r="R36">
        <f>Table2_2[[#This Row],[cost]]*Table2_2[[#This Row],[Quantity]]</f>
        <v>3600</v>
      </c>
      <c r="S36">
        <f>Table2_2[[#This Row],[revenue]]-Table2_2[[#This Row],[total_cost]]</f>
        <v>20313.600000000002</v>
      </c>
    </row>
    <row r="37" spans="1:19" x14ac:dyDescent="0.3">
      <c r="A37" t="s">
        <v>406</v>
      </c>
      <c r="B37" s="10">
        <v>45014</v>
      </c>
      <c r="C37" s="10">
        <v>45014</v>
      </c>
      <c r="D37" t="s">
        <v>91</v>
      </c>
      <c r="E37" t="s">
        <v>270</v>
      </c>
      <c r="F37" t="s">
        <v>98</v>
      </c>
      <c r="G37" t="s">
        <v>37</v>
      </c>
      <c r="H37" t="s">
        <v>20</v>
      </c>
      <c r="I37">
        <v>2</v>
      </c>
      <c r="J37">
        <v>1040</v>
      </c>
      <c r="K37">
        <v>0.05</v>
      </c>
      <c r="L37" t="s">
        <v>31</v>
      </c>
      <c r="M37" t="s">
        <v>22</v>
      </c>
      <c r="N37" t="s">
        <v>59</v>
      </c>
      <c r="O37">
        <v>4</v>
      </c>
      <c r="P37">
        <v>1976</v>
      </c>
      <c r="Q37">
        <v>500</v>
      </c>
      <c r="R37">
        <f>Table2_2[[#This Row],[cost]]*Table2_2[[#This Row],[Quantity]]</f>
        <v>1000</v>
      </c>
      <c r="S37">
        <f>Table2_2[[#This Row],[revenue]]-Table2_2[[#This Row],[total_cost]]</f>
        <v>976</v>
      </c>
    </row>
    <row r="38" spans="1:19" x14ac:dyDescent="0.3">
      <c r="A38" t="s">
        <v>411</v>
      </c>
      <c r="B38" s="10">
        <v>45107</v>
      </c>
      <c r="C38" s="10">
        <v>45107</v>
      </c>
      <c r="D38" t="s">
        <v>71</v>
      </c>
      <c r="E38" t="s">
        <v>300</v>
      </c>
      <c r="F38" t="s">
        <v>98</v>
      </c>
      <c r="G38" t="s">
        <v>29</v>
      </c>
      <c r="H38" t="s">
        <v>77</v>
      </c>
      <c r="I38">
        <v>1</v>
      </c>
      <c r="J38">
        <v>6224</v>
      </c>
      <c r="K38">
        <v>0.05</v>
      </c>
      <c r="L38" t="s">
        <v>31</v>
      </c>
      <c r="M38" t="s">
        <v>22</v>
      </c>
      <c r="N38" t="s">
        <v>23</v>
      </c>
      <c r="O38">
        <v>3.3</v>
      </c>
      <c r="P38">
        <v>5912.7999999999993</v>
      </c>
      <c r="Q38">
        <v>500</v>
      </c>
      <c r="R38">
        <f>Table2_2[[#This Row],[cost]]*Table2_2[[#This Row],[Quantity]]</f>
        <v>500</v>
      </c>
      <c r="S38">
        <f>Table2_2[[#This Row],[revenue]]-Table2_2[[#This Row],[total_cost]]</f>
        <v>5412.7999999999993</v>
      </c>
    </row>
    <row r="39" spans="1:19" x14ac:dyDescent="0.3">
      <c r="A39" t="s">
        <v>413</v>
      </c>
      <c r="B39" s="10">
        <v>44931</v>
      </c>
      <c r="C39" s="10">
        <v>44931</v>
      </c>
      <c r="D39" t="s">
        <v>114</v>
      </c>
      <c r="E39" t="s">
        <v>163</v>
      </c>
      <c r="F39" t="s">
        <v>28</v>
      </c>
      <c r="G39" t="s">
        <v>29</v>
      </c>
      <c r="H39" t="s">
        <v>77</v>
      </c>
      <c r="I39">
        <v>4</v>
      </c>
      <c r="J39">
        <v>5802</v>
      </c>
      <c r="K39">
        <v>0.2</v>
      </c>
      <c r="L39" t="s">
        <v>21</v>
      </c>
      <c r="M39" t="s">
        <v>39</v>
      </c>
      <c r="N39" t="s">
        <v>32</v>
      </c>
      <c r="O39">
        <v>4.5</v>
      </c>
      <c r="P39">
        <v>18566.400000000001</v>
      </c>
      <c r="Q39">
        <v>500</v>
      </c>
      <c r="R39">
        <f>Table2_2[[#This Row],[cost]]*Table2_2[[#This Row],[Quantity]]</f>
        <v>2000</v>
      </c>
      <c r="S39">
        <f>Table2_2[[#This Row],[revenue]]-Table2_2[[#This Row],[total_cost]]</f>
        <v>16566.400000000001</v>
      </c>
    </row>
    <row r="40" spans="1:19" x14ac:dyDescent="0.3">
      <c r="A40" t="s">
        <v>426</v>
      </c>
      <c r="B40" s="10">
        <v>45432</v>
      </c>
      <c r="C40" s="10">
        <v>45432</v>
      </c>
      <c r="D40" t="s">
        <v>67</v>
      </c>
      <c r="E40" t="s">
        <v>428</v>
      </c>
      <c r="F40" t="s">
        <v>64</v>
      </c>
      <c r="G40" t="s">
        <v>29</v>
      </c>
      <c r="H40" t="s">
        <v>77</v>
      </c>
      <c r="I40">
        <v>3</v>
      </c>
      <c r="J40">
        <v>7453</v>
      </c>
      <c r="K40">
        <v>0.2</v>
      </c>
      <c r="L40" t="s">
        <v>21</v>
      </c>
      <c r="M40" t="s">
        <v>39</v>
      </c>
      <c r="N40" t="s">
        <v>32</v>
      </c>
      <c r="O40">
        <v>3.5</v>
      </c>
      <c r="P40">
        <v>17887.2</v>
      </c>
      <c r="Q40">
        <v>500</v>
      </c>
      <c r="R40">
        <f>Table2_2[[#This Row],[cost]]*Table2_2[[#This Row],[Quantity]]</f>
        <v>1500</v>
      </c>
      <c r="S40">
        <f>Table2_2[[#This Row],[revenue]]-Table2_2[[#This Row],[total_cost]]</f>
        <v>16387.2</v>
      </c>
    </row>
    <row r="41" spans="1:19" x14ac:dyDescent="0.3">
      <c r="A41" t="s">
        <v>443</v>
      </c>
      <c r="B41" s="10">
        <v>45084</v>
      </c>
      <c r="C41" s="10">
        <v>45084</v>
      </c>
      <c r="D41" t="s">
        <v>51</v>
      </c>
      <c r="E41" t="s">
        <v>445</v>
      </c>
      <c r="F41" t="s">
        <v>73</v>
      </c>
      <c r="G41" t="s">
        <v>37</v>
      </c>
      <c r="H41" t="s">
        <v>20</v>
      </c>
      <c r="I41">
        <v>2</v>
      </c>
      <c r="J41">
        <v>1121</v>
      </c>
      <c r="K41">
        <v>0.05</v>
      </c>
      <c r="L41" t="s">
        <v>31</v>
      </c>
      <c r="M41" t="s">
        <v>22</v>
      </c>
      <c r="N41" t="s">
        <v>32</v>
      </c>
      <c r="O41">
        <v>3.6</v>
      </c>
      <c r="P41">
        <v>2129.9</v>
      </c>
      <c r="Q41">
        <v>1500</v>
      </c>
      <c r="R41">
        <f>Table2_2[[#This Row],[cost]]*Table2_2[[#This Row],[Quantity]]</f>
        <v>3000</v>
      </c>
      <c r="S41">
        <f>Table2_2[[#This Row],[revenue]]-Table2_2[[#This Row],[total_cost]]</f>
        <v>-870.09999999999991</v>
      </c>
    </row>
    <row r="42" spans="1:19" x14ac:dyDescent="0.3">
      <c r="A42" t="s">
        <v>65</v>
      </c>
      <c r="B42" s="10">
        <v>45369</v>
      </c>
      <c r="C42" s="10">
        <v>45369</v>
      </c>
      <c r="D42" t="s">
        <v>67</v>
      </c>
      <c r="E42" t="s">
        <v>417</v>
      </c>
      <c r="F42" t="s">
        <v>57</v>
      </c>
      <c r="G42" t="s">
        <v>19</v>
      </c>
      <c r="H42" t="s">
        <v>20</v>
      </c>
      <c r="I42">
        <v>1</v>
      </c>
      <c r="J42">
        <v>7216</v>
      </c>
      <c r="K42">
        <v>0.15</v>
      </c>
      <c r="L42" t="s">
        <v>31</v>
      </c>
      <c r="M42" t="s">
        <v>39</v>
      </c>
      <c r="N42" t="s">
        <v>59</v>
      </c>
      <c r="O42">
        <v>3.2</v>
      </c>
      <c r="P42">
        <v>6133.5999999999995</v>
      </c>
      <c r="Q42">
        <v>1500</v>
      </c>
      <c r="R42">
        <f>Table2_2[[#This Row],[cost]]*Table2_2[[#This Row],[Quantity]]</f>
        <v>1500</v>
      </c>
      <c r="S42">
        <f>Table2_2[[#This Row],[revenue]]-Table2_2[[#This Row],[total_cost]]</f>
        <v>4633.5999999999995</v>
      </c>
    </row>
    <row r="43" spans="1:19" x14ac:dyDescent="0.3">
      <c r="A43" t="s">
        <v>413</v>
      </c>
      <c r="B43" s="10">
        <v>45469</v>
      </c>
      <c r="C43" s="10">
        <v>45469</v>
      </c>
      <c r="D43" t="s">
        <v>46</v>
      </c>
      <c r="E43" t="s">
        <v>420</v>
      </c>
      <c r="F43" t="s">
        <v>18</v>
      </c>
      <c r="G43" t="s">
        <v>37</v>
      </c>
      <c r="H43" t="s">
        <v>30</v>
      </c>
      <c r="I43">
        <v>2</v>
      </c>
      <c r="J43">
        <v>5873</v>
      </c>
      <c r="K43">
        <v>0.05</v>
      </c>
      <c r="L43" t="s">
        <v>21</v>
      </c>
      <c r="M43" t="s">
        <v>22</v>
      </c>
      <c r="N43" t="s">
        <v>59</v>
      </c>
      <c r="O43">
        <v>4.0999999999999996</v>
      </c>
      <c r="P43">
        <v>11158.699999999999</v>
      </c>
      <c r="Q43">
        <v>500</v>
      </c>
      <c r="R43">
        <f>Table2_2[[#This Row],[cost]]*Table2_2[[#This Row],[Quantity]]</f>
        <v>1000</v>
      </c>
      <c r="S43">
        <f>Table2_2[[#This Row],[revenue]]-Table2_2[[#This Row],[total_cost]]</f>
        <v>10158.699999999999</v>
      </c>
    </row>
    <row r="44" spans="1:19" x14ac:dyDescent="0.3">
      <c r="A44" t="s">
        <v>464</v>
      </c>
      <c r="B44" s="10">
        <v>45173</v>
      </c>
      <c r="C44" s="10">
        <v>45173</v>
      </c>
      <c r="D44" t="s">
        <v>26</v>
      </c>
      <c r="E44" t="s">
        <v>226</v>
      </c>
      <c r="F44" t="s">
        <v>18</v>
      </c>
      <c r="G44" t="s">
        <v>29</v>
      </c>
      <c r="H44" t="s">
        <v>30</v>
      </c>
      <c r="I44">
        <v>5</v>
      </c>
      <c r="J44">
        <v>9871</v>
      </c>
      <c r="K44">
        <v>0.05</v>
      </c>
      <c r="L44" t="s">
        <v>21</v>
      </c>
      <c r="M44" t="s">
        <v>22</v>
      </c>
      <c r="N44" t="s">
        <v>32</v>
      </c>
      <c r="O44">
        <v>3.3</v>
      </c>
      <c r="P44">
        <v>46887.25</v>
      </c>
      <c r="Q44">
        <v>700</v>
      </c>
      <c r="R44">
        <f>Table2_2[[#This Row],[cost]]*Table2_2[[#This Row],[Quantity]]</f>
        <v>3500</v>
      </c>
      <c r="S44">
        <f>Table2_2[[#This Row],[revenue]]-Table2_2[[#This Row],[total_cost]]</f>
        <v>43387.25</v>
      </c>
    </row>
    <row r="45" spans="1:19" x14ac:dyDescent="0.3">
      <c r="A45" t="s">
        <v>477</v>
      </c>
      <c r="B45" s="10">
        <v>45355</v>
      </c>
      <c r="C45" s="10">
        <v>45355</v>
      </c>
      <c r="D45" t="s">
        <v>114</v>
      </c>
      <c r="E45" t="s">
        <v>479</v>
      </c>
      <c r="F45" t="s">
        <v>18</v>
      </c>
      <c r="G45" t="s">
        <v>37</v>
      </c>
      <c r="H45" t="s">
        <v>77</v>
      </c>
      <c r="I45">
        <v>1</v>
      </c>
      <c r="J45">
        <v>3967</v>
      </c>
      <c r="K45">
        <v>0.05</v>
      </c>
      <c r="L45" t="s">
        <v>58</v>
      </c>
      <c r="M45" t="s">
        <v>39</v>
      </c>
      <c r="N45" t="s">
        <v>48</v>
      </c>
      <c r="O45">
        <v>3.8</v>
      </c>
      <c r="P45">
        <v>3768.6499999999996</v>
      </c>
      <c r="Q45">
        <v>1200</v>
      </c>
      <c r="R45">
        <f>Table2_2[[#This Row],[cost]]*Table2_2[[#This Row],[Quantity]]</f>
        <v>1200</v>
      </c>
      <c r="S45">
        <f>Table2_2[[#This Row],[revenue]]-Table2_2[[#This Row],[total_cost]]</f>
        <v>2568.6499999999996</v>
      </c>
    </row>
    <row r="46" spans="1:19" x14ac:dyDescent="0.3">
      <c r="A46" t="s">
        <v>480</v>
      </c>
      <c r="B46" s="10">
        <v>44927</v>
      </c>
      <c r="C46" s="10">
        <v>44927</v>
      </c>
      <c r="D46" t="s">
        <v>16</v>
      </c>
      <c r="E46" t="s">
        <v>482</v>
      </c>
      <c r="F46" t="s">
        <v>98</v>
      </c>
      <c r="G46" t="s">
        <v>19</v>
      </c>
      <c r="H46" t="s">
        <v>99</v>
      </c>
      <c r="I46">
        <v>5</v>
      </c>
      <c r="J46">
        <v>9806</v>
      </c>
      <c r="K46">
        <v>0.2</v>
      </c>
      <c r="L46" t="s">
        <v>31</v>
      </c>
      <c r="M46" t="s">
        <v>22</v>
      </c>
      <c r="N46" t="s">
        <v>32</v>
      </c>
      <c r="O46">
        <v>4.4000000000000004</v>
      </c>
      <c r="P46">
        <v>39224</v>
      </c>
      <c r="Q46">
        <v>700</v>
      </c>
      <c r="R46">
        <f>Table2_2[[#This Row],[cost]]*Table2_2[[#This Row],[Quantity]]</f>
        <v>3500</v>
      </c>
      <c r="S46">
        <f>Table2_2[[#This Row],[revenue]]-Table2_2[[#This Row],[total_cost]]</f>
        <v>35724</v>
      </c>
    </row>
    <row r="47" spans="1:19" x14ac:dyDescent="0.3">
      <c r="A47" t="s">
        <v>483</v>
      </c>
      <c r="B47" s="10">
        <v>45214</v>
      </c>
      <c r="C47" s="10">
        <v>45214</v>
      </c>
      <c r="D47" t="s">
        <v>26</v>
      </c>
      <c r="E47" t="s">
        <v>102</v>
      </c>
      <c r="F47" t="s">
        <v>57</v>
      </c>
      <c r="G47" t="s">
        <v>19</v>
      </c>
      <c r="H47" t="s">
        <v>20</v>
      </c>
      <c r="I47">
        <v>4</v>
      </c>
      <c r="J47">
        <v>8455</v>
      </c>
      <c r="K47">
        <v>0.1</v>
      </c>
      <c r="L47" t="s">
        <v>31</v>
      </c>
      <c r="M47" t="s">
        <v>22</v>
      </c>
      <c r="N47" t="s">
        <v>48</v>
      </c>
      <c r="O47">
        <v>4.2</v>
      </c>
      <c r="P47">
        <v>30438</v>
      </c>
      <c r="Q47">
        <v>1500</v>
      </c>
      <c r="R47">
        <f>Table2_2[[#This Row],[cost]]*Table2_2[[#This Row],[Quantity]]</f>
        <v>6000</v>
      </c>
      <c r="S47">
        <f>Table2_2[[#This Row],[revenue]]-Table2_2[[#This Row],[total_cost]]</f>
        <v>24438</v>
      </c>
    </row>
    <row r="48" spans="1:19" x14ac:dyDescent="0.3">
      <c r="A48" t="s">
        <v>484</v>
      </c>
      <c r="B48" s="10">
        <v>45015</v>
      </c>
      <c r="C48" s="10">
        <v>45015</v>
      </c>
      <c r="D48" t="s">
        <v>35</v>
      </c>
      <c r="E48" t="s">
        <v>486</v>
      </c>
      <c r="F48" t="s">
        <v>43</v>
      </c>
      <c r="G48" t="s">
        <v>53</v>
      </c>
      <c r="H48" t="s">
        <v>30</v>
      </c>
      <c r="I48">
        <v>3</v>
      </c>
      <c r="J48">
        <v>1732</v>
      </c>
      <c r="K48">
        <v>0.1</v>
      </c>
      <c r="L48" t="s">
        <v>38</v>
      </c>
      <c r="M48" t="s">
        <v>39</v>
      </c>
      <c r="N48" t="s">
        <v>32</v>
      </c>
      <c r="O48">
        <v>4.5999999999999996</v>
      </c>
      <c r="P48">
        <v>4676.4000000000005</v>
      </c>
      <c r="Q48">
        <v>500</v>
      </c>
      <c r="R48">
        <f>Table2_2[[#This Row],[cost]]*Table2_2[[#This Row],[Quantity]]</f>
        <v>1500</v>
      </c>
      <c r="S48">
        <f>Table2_2[[#This Row],[revenue]]-Table2_2[[#This Row],[total_cost]]</f>
        <v>3176.4000000000005</v>
      </c>
    </row>
    <row r="49" spans="1:19" x14ac:dyDescent="0.3">
      <c r="A49" t="s">
        <v>489</v>
      </c>
      <c r="B49" s="10">
        <v>44946</v>
      </c>
      <c r="C49" s="10">
        <v>44946</v>
      </c>
      <c r="D49" t="s">
        <v>127</v>
      </c>
      <c r="E49" t="s">
        <v>486</v>
      </c>
      <c r="F49" t="s">
        <v>18</v>
      </c>
      <c r="G49" t="s">
        <v>53</v>
      </c>
      <c r="H49" t="s">
        <v>30</v>
      </c>
      <c r="I49">
        <v>3</v>
      </c>
      <c r="J49">
        <v>5979</v>
      </c>
      <c r="K49">
        <v>0.1</v>
      </c>
      <c r="L49" t="s">
        <v>38</v>
      </c>
      <c r="M49" t="s">
        <v>39</v>
      </c>
      <c r="N49" t="s">
        <v>32</v>
      </c>
      <c r="O49">
        <v>3.6</v>
      </c>
      <c r="P49">
        <v>16143.300000000001</v>
      </c>
      <c r="Q49">
        <v>500</v>
      </c>
      <c r="R49">
        <f>Table2_2[[#This Row],[cost]]*Table2_2[[#This Row],[Quantity]]</f>
        <v>1500</v>
      </c>
      <c r="S49">
        <f>Table2_2[[#This Row],[revenue]]-Table2_2[[#This Row],[total_cost]]</f>
        <v>14643.300000000001</v>
      </c>
    </row>
    <row r="50" spans="1:19" x14ac:dyDescent="0.3">
      <c r="A50" t="s">
        <v>516</v>
      </c>
      <c r="B50" s="10">
        <v>45062</v>
      </c>
      <c r="C50" s="10">
        <v>45062</v>
      </c>
      <c r="D50" t="s">
        <v>16</v>
      </c>
      <c r="E50" t="s">
        <v>518</v>
      </c>
      <c r="F50" t="s">
        <v>64</v>
      </c>
      <c r="G50" t="s">
        <v>19</v>
      </c>
      <c r="H50" t="s">
        <v>30</v>
      </c>
      <c r="I50">
        <v>2</v>
      </c>
      <c r="J50">
        <v>1259</v>
      </c>
      <c r="K50">
        <v>0.05</v>
      </c>
      <c r="L50" t="s">
        <v>38</v>
      </c>
      <c r="M50" t="s">
        <v>39</v>
      </c>
      <c r="N50" t="s">
        <v>59</v>
      </c>
      <c r="O50">
        <v>4.2</v>
      </c>
      <c r="P50">
        <v>2392.1</v>
      </c>
      <c r="Q50">
        <v>1200</v>
      </c>
      <c r="R50">
        <f>Table2_2[[#This Row],[cost]]*Table2_2[[#This Row],[Quantity]]</f>
        <v>2400</v>
      </c>
      <c r="S50">
        <f>Table2_2[[#This Row],[revenue]]-Table2_2[[#This Row],[total_cost]]</f>
        <v>-7.9000000000000909</v>
      </c>
    </row>
    <row r="51" spans="1:19" x14ac:dyDescent="0.3">
      <c r="A51" t="s">
        <v>519</v>
      </c>
      <c r="B51" s="10">
        <v>45130</v>
      </c>
      <c r="C51" s="10">
        <v>45130</v>
      </c>
      <c r="D51" t="s">
        <v>80</v>
      </c>
      <c r="E51" t="s">
        <v>521</v>
      </c>
      <c r="F51" t="s">
        <v>18</v>
      </c>
      <c r="G51" t="s">
        <v>53</v>
      </c>
      <c r="H51" t="s">
        <v>20</v>
      </c>
      <c r="I51">
        <v>3</v>
      </c>
      <c r="J51">
        <v>7137</v>
      </c>
      <c r="K51">
        <v>0.1</v>
      </c>
      <c r="L51" t="s">
        <v>58</v>
      </c>
      <c r="M51" t="s">
        <v>22</v>
      </c>
      <c r="N51" t="s">
        <v>23</v>
      </c>
      <c r="O51">
        <v>4.3</v>
      </c>
      <c r="P51">
        <v>19269.900000000001</v>
      </c>
      <c r="Q51">
        <v>1500</v>
      </c>
      <c r="R51">
        <f>Table2_2[[#This Row],[cost]]*Table2_2[[#This Row],[Quantity]]</f>
        <v>4500</v>
      </c>
      <c r="S51">
        <f>Table2_2[[#This Row],[revenue]]-Table2_2[[#This Row],[total_cost]]</f>
        <v>14769.900000000001</v>
      </c>
    </row>
    <row r="52" spans="1:19" x14ac:dyDescent="0.3">
      <c r="A52" t="s">
        <v>522</v>
      </c>
      <c r="B52" s="10">
        <v>45316</v>
      </c>
      <c r="C52" s="10">
        <v>45316</v>
      </c>
      <c r="D52" t="s">
        <v>51</v>
      </c>
      <c r="E52" t="s">
        <v>507</v>
      </c>
      <c r="F52" t="s">
        <v>18</v>
      </c>
      <c r="G52" t="s">
        <v>37</v>
      </c>
      <c r="H52" t="s">
        <v>77</v>
      </c>
      <c r="I52">
        <v>1</v>
      </c>
      <c r="J52">
        <v>3914</v>
      </c>
      <c r="K52">
        <v>0</v>
      </c>
      <c r="L52" t="s">
        <v>31</v>
      </c>
      <c r="M52" t="s">
        <v>39</v>
      </c>
      <c r="N52" t="s">
        <v>23</v>
      </c>
      <c r="O52">
        <v>4.2</v>
      </c>
      <c r="P52">
        <v>3914</v>
      </c>
      <c r="Q52">
        <v>900</v>
      </c>
      <c r="R52">
        <f>Table2_2[[#This Row],[cost]]*Table2_2[[#This Row],[Quantity]]</f>
        <v>900</v>
      </c>
      <c r="S52">
        <f>Table2_2[[#This Row],[revenue]]-Table2_2[[#This Row],[total_cost]]</f>
        <v>3014</v>
      </c>
    </row>
    <row r="53" spans="1:19" x14ac:dyDescent="0.3">
      <c r="A53" t="s">
        <v>524</v>
      </c>
      <c r="B53" s="10">
        <v>45295</v>
      </c>
      <c r="C53" s="10">
        <v>45295</v>
      </c>
      <c r="D53" t="s">
        <v>96</v>
      </c>
      <c r="E53" t="s">
        <v>526</v>
      </c>
      <c r="F53" t="s">
        <v>64</v>
      </c>
      <c r="G53" t="s">
        <v>29</v>
      </c>
      <c r="H53" t="s">
        <v>30</v>
      </c>
      <c r="I53">
        <v>4</v>
      </c>
      <c r="J53">
        <v>1840</v>
      </c>
      <c r="K53">
        <v>0.15</v>
      </c>
      <c r="L53" t="s">
        <v>38</v>
      </c>
      <c r="M53" t="s">
        <v>39</v>
      </c>
      <c r="N53" t="s">
        <v>23</v>
      </c>
      <c r="O53">
        <v>4.4000000000000004</v>
      </c>
      <c r="P53">
        <v>6256</v>
      </c>
      <c r="Q53">
        <v>1200</v>
      </c>
      <c r="R53">
        <f>Table2_2[[#This Row],[cost]]*Table2_2[[#This Row],[Quantity]]</f>
        <v>4800</v>
      </c>
      <c r="S53">
        <f>Table2_2[[#This Row],[revenue]]-Table2_2[[#This Row],[total_cost]]</f>
        <v>1456</v>
      </c>
    </row>
    <row r="54" spans="1:19" x14ac:dyDescent="0.3">
      <c r="A54" t="s">
        <v>538</v>
      </c>
      <c r="B54" s="10">
        <v>45046</v>
      </c>
      <c r="C54" s="10">
        <v>45046</v>
      </c>
      <c r="D54" t="s">
        <v>84</v>
      </c>
      <c r="E54" t="s">
        <v>540</v>
      </c>
      <c r="F54" t="s">
        <v>73</v>
      </c>
      <c r="G54" t="s">
        <v>19</v>
      </c>
      <c r="H54" t="s">
        <v>30</v>
      </c>
      <c r="I54">
        <v>4</v>
      </c>
      <c r="J54">
        <v>1520</v>
      </c>
      <c r="K54">
        <v>0.05</v>
      </c>
      <c r="L54" t="s">
        <v>58</v>
      </c>
      <c r="M54" t="s">
        <v>39</v>
      </c>
      <c r="N54" t="s">
        <v>59</v>
      </c>
      <c r="O54">
        <v>4.2</v>
      </c>
      <c r="P54">
        <v>5776</v>
      </c>
      <c r="Q54">
        <v>1500</v>
      </c>
      <c r="R54">
        <f>Table2_2[[#This Row],[cost]]*Table2_2[[#This Row],[Quantity]]</f>
        <v>6000</v>
      </c>
      <c r="S54">
        <f>Table2_2[[#This Row],[revenue]]-Table2_2[[#This Row],[total_cost]]</f>
        <v>-224</v>
      </c>
    </row>
    <row r="55" spans="1:19" x14ac:dyDescent="0.3">
      <c r="A55" t="s">
        <v>541</v>
      </c>
      <c r="B55" s="10">
        <v>45211</v>
      </c>
      <c r="C55" s="10">
        <v>45211</v>
      </c>
      <c r="D55" t="s">
        <v>114</v>
      </c>
      <c r="E55" t="s">
        <v>543</v>
      </c>
      <c r="F55" t="s">
        <v>57</v>
      </c>
      <c r="G55" t="s">
        <v>19</v>
      </c>
      <c r="H55" t="s">
        <v>77</v>
      </c>
      <c r="I55">
        <v>4</v>
      </c>
      <c r="J55">
        <v>5919</v>
      </c>
      <c r="K55">
        <v>0.15</v>
      </c>
      <c r="L55" t="s">
        <v>58</v>
      </c>
      <c r="M55" t="s">
        <v>22</v>
      </c>
      <c r="N55" t="s">
        <v>32</v>
      </c>
      <c r="O55">
        <v>4.9000000000000004</v>
      </c>
      <c r="P55">
        <v>20124.599999999999</v>
      </c>
      <c r="Q55">
        <v>1500</v>
      </c>
      <c r="R55">
        <f>Table2_2[[#This Row],[cost]]*Table2_2[[#This Row],[Quantity]]</f>
        <v>6000</v>
      </c>
      <c r="S55">
        <f>Table2_2[[#This Row],[revenue]]-Table2_2[[#This Row],[total_cost]]</f>
        <v>14124.599999999999</v>
      </c>
    </row>
    <row r="56" spans="1:19" x14ac:dyDescent="0.3">
      <c r="A56" t="s">
        <v>548</v>
      </c>
      <c r="B56" s="10">
        <v>45602</v>
      </c>
      <c r="C56" s="10">
        <v>45602</v>
      </c>
      <c r="D56" t="s">
        <v>46</v>
      </c>
      <c r="E56" t="s">
        <v>550</v>
      </c>
      <c r="F56" t="s">
        <v>43</v>
      </c>
      <c r="G56" t="s">
        <v>19</v>
      </c>
      <c r="H56" t="s">
        <v>30</v>
      </c>
      <c r="I56">
        <v>5</v>
      </c>
      <c r="J56">
        <v>4843</v>
      </c>
      <c r="K56">
        <v>0.1</v>
      </c>
      <c r="L56" t="s">
        <v>58</v>
      </c>
      <c r="M56" t="s">
        <v>39</v>
      </c>
      <c r="N56" t="s">
        <v>23</v>
      </c>
      <c r="O56">
        <v>4.3</v>
      </c>
      <c r="P56">
        <v>21793.5</v>
      </c>
      <c r="Q56">
        <v>700</v>
      </c>
      <c r="R56">
        <f>Table2_2[[#This Row],[cost]]*Table2_2[[#This Row],[Quantity]]</f>
        <v>3500</v>
      </c>
      <c r="S56">
        <f>Table2_2[[#This Row],[revenue]]-Table2_2[[#This Row],[total_cost]]</f>
        <v>18293.5</v>
      </c>
    </row>
    <row r="57" spans="1:19" x14ac:dyDescent="0.3">
      <c r="A57" t="s">
        <v>551</v>
      </c>
      <c r="B57" s="10">
        <v>45580</v>
      </c>
      <c r="C57" s="10">
        <v>45580</v>
      </c>
      <c r="D57" t="s">
        <v>91</v>
      </c>
      <c r="E57" t="s">
        <v>368</v>
      </c>
      <c r="F57" t="s">
        <v>43</v>
      </c>
      <c r="G57" t="s">
        <v>19</v>
      </c>
      <c r="H57" t="s">
        <v>30</v>
      </c>
      <c r="I57">
        <v>2</v>
      </c>
      <c r="J57">
        <v>2942</v>
      </c>
      <c r="K57">
        <v>0.15</v>
      </c>
      <c r="L57" t="s">
        <v>38</v>
      </c>
      <c r="M57" t="s">
        <v>22</v>
      </c>
      <c r="N57" t="s">
        <v>23</v>
      </c>
      <c r="O57">
        <v>3.4</v>
      </c>
      <c r="P57">
        <v>5001.3999999999996</v>
      </c>
      <c r="Q57">
        <v>1500</v>
      </c>
      <c r="R57">
        <f>Table2_2[[#This Row],[cost]]*Table2_2[[#This Row],[Quantity]]</f>
        <v>3000</v>
      </c>
      <c r="S57">
        <f>Table2_2[[#This Row],[revenue]]-Table2_2[[#This Row],[total_cost]]</f>
        <v>2001.3999999999996</v>
      </c>
    </row>
    <row r="58" spans="1:19" x14ac:dyDescent="0.3">
      <c r="A58" t="s">
        <v>553</v>
      </c>
      <c r="B58" s="10">
        <v>45622</v>
      </c>
      <c r="C58" s="10">
        <v>45622</v>
      </c>
      <c r="D58" t="s">
        <v>80</v>
      </c>
      <c r="E58" t="s">
        <v>281</v>
      </c>
      <c r="F58" t="s">
        <v>18</v>
      </c>
      <c r="G58" t="s">
        <v>37</v>
      </c>
      <c r="H58" t="s">
        <v>30</v>
      </c>
      <c r="I58">
        <v>2</v>
      </c>
      <c r="J58">
        <v>1990</v>
      </c>
      <c r="K58">
        <v>0.15</v>
      </c>
      <c r="L58" t="s">
        <v>31</v>
      </c>
      <c r="M58" t="s">
        <v>22</v>
      </c>
      <c r="N58" t="s">
        <v>48</v>
      </c>
      <c r="O58">
        <v>4.4000000000000004</v>
      </c>
      <c r="P58">
        <v>3383</v>
      </c>
      <c r="Q58">
        <v>1200</v>
      </c>
      <c r="R58">
        <f>Table2_2[[#This Row],[cost]]*Table2_2[[#This Row],[Quantity]]</f>
        <v>2400</v>
      </c>
      <c r="S58">
        <f>Table2_2[[#This Row],[revenue]]-Table2_2[[#This Row],[total_cost]]</f>
        <v>983</v>
      </c>
    </row>
    <row r="59" spans="1:19" x14ac:dyDescent="0.3">
      <c r="A59" t="s">
        <v>558</v>
      </c>
      <c r="B59" s="10">
        <v>45512</v>
      </c>
      <c r="C59" s="10">
        <v>45512</v>
      </c>
      <c r="D59" t="s">
        <v>84</v>
      </c>
      <c r="E59" t="s">
        <v>560</v>
      </c>
      <c r="F59" t="s">
        <v>64</v>
      </c>
      <c r="G59" t="s">
        <v>19</v>
      </c>
      <c r="H59" t="s">
        <v>30</v>
      </c>
      <c r="I59">
        <v>4</v>
      </c>
      <c r="J59">
        <v>5784</v>
      </c>
      <c r="K59">
        <v>0.1</v>
      </c>
      <c r="L59" t="s">
        <v>58</v>
      </c>
      <c r="M59" t="s">
        <v>22</v>
      </c>
      <c r="N59" t="s">
        <v>32</v>
      </c>
      <c r="O59">
        <v>3.4</v>
      </c>
      <c r="P59">
        <v>20822.400000000001</v>
      </c>
      <c r="Q59">
        <v>500</v>
      </c>
      <c r="R59">
        <f>Table2_2[[#This Row],[cost]]*Table2_2[[#This Row],[Quantity]]</f>
        <v>2000</v>
      </c>
      <c r="S59">
        <f>Table2_2[[#This Row],[revenue]]-Table2_2[[#This Row],[total_cost]]</f>
        <v>18822.400000000001</v>
      </c>
    </row>
    <row r="60" spans="1:19" x14ac:dyDescent="0.3">
      <c r="A60" t="s">
        <v>564</v>
      </c>
      <c r="B60" s="10">
        <v>45507</v>
      </c>
      <c r="C60" s="10">
        <v>45507</v>
      </c>
      <c r="D60" t="s">
        <v>91</v>
      </c>
      <c r="E60" t="s">
        <v>566</v>
      </c>
      <c r="F60" t="s">
        <v>98</v>
      </c>
      <c r="G60" t="s">
        <v>19</v>
      </c>
      <c r="H60" t="s">
        <v>77</v>
      </c>
      <c r="I60">
        <v>1</v>
      </c>
      <c r="J60">
        <v>7875</v>
      </c>
      <c r="K60">
        <v>0.15</v>
      </c>
      <c r="L60" t="s">
        <v>21</v>
      </c>
      <c r="M60" t="s">
        <v>22</v>
      </c>
      <c r="N60" t="s">
        <v>32</v>
      </c>
      <c r="O60">
        <v>3</v>
      </c>
      <c r="P60">
        <v>6693.75</v>
      </c>
      <c r="Q60">
        <v>900</v>
      </c>
      <c r="R60">
        <f>Table2_2[[#This Row],[cost]]*Table2_2[[#This Row],[Quantity]]</f>
        <v>900</v>
      </c>
      <c r="S60">
        <f>Table2_2[[#This Row],[revenue]]-Table2_2[[#This Row],[total_cost]]</f>
        <v>5793.75</v>
      </c>
    </row>
    <row r="61" spans="1:19" x14ac:dyDescent="0.3">
      <c r="A61" t="s">
        <v>567</v>
      </c>
      <c r="B61" s="10">
        <v>45640</v>
      </c>
      <c r="C61" s="10">
        <v>45640</v>
      </c>
      <c r="D61" t="s">
        <v>67</v>
      </c>
      <c r="E61" t="s">
        <v>569</v>
      </c>
      <c r="F61" t="s">
        <v>18</v>
      </c>
      <c r="G61" t="s">
        <v>29</v>
      </c>
      <c r="H61" t="s">
        <v>30</v>
      </c>
      <c r="I61">
        <v>5</v>
      </c>
      <c r="J61">
        <v>7288</v>
      </c>
      <c r="K61">
        <v>0.15</v>
      </c>
      <c r="L61" t="s">
        <v>58</v>
      </c>
      <c r="M61" t="s">
        <v>22</v>
      </c>
      <c r="N61" t="s">
        <v>23</v>
      </c>
      <c r="O61">
        <v>4.2</v>
      </c>
      <c r="P61">
        <v>30974</v>
      </c>
      <c r="Q61">
        <v>1500</v>
      </c>
      <c r="R61">
        <f>Table2_2[[#This Row],[cost]]*Table2_2[[#This Row],[Quantity]]</f>
        <v>7500</v>
      </c>
      <c r="S61">
        <f>Table2_2[[#This Row],[revenue]]-Table2_2[[#This Row],[total_cost]]</f>
        <v>23474</v>
      </c>
    </row>
    <row r="62" spans="1:19" x14ac:dyDescent="0.3">
      <c r="A62" t="s">
        <v>578</v>
      </c>
      <c r="B62" s="10">
        <v>45100</v>
      </c>
      <c r="C62" s="10">
        <v>45100</v>
      </c>
      <c r="D62" t="s">
        <v>62</v>
      </c>
      <c r="E62" t="s">
        <v>518</v>
      </c>
      <c r="F62" t="s">
        <v>64</v>
      </c>
      <c r="G62" t="s">
        <v>29</v>
      </c>
      <c r="H62" t="s">
        <v>77</v>
      </c>
      <c r="I62">
        <v>2</v>
      </c>
      <c r="J62">
        <v>6401</v>
      </c>
      <c r="K62">
        <v>0.2</v>
      </c>
      <c r="L62" t="s">
        <v>31</v>
      </c>
      <c r="M62" t="s">
        <v>39</v>
      </c>
      <c r="N62" t="s">
        <v>48</v>
      </c>
      <c r="O62">
        <v>4.5999999999999996</v>
      </c>
      <c r="P62">
        <v>10241.6</v>
      </c>
      <c r="Q62">
        <v>1200</v>
      </c>
      <c r="R62">
        <f>Table2_2[[#This Row],[cost]]*Table2_2[[#This Row],[Quantity]]</f>
        <v>2400</v>
      </c>
      <c r="S62">
        <f>Table2_2[[#This Row],[revenue]]-Table2_2[[#This Row],[total_cost]]</f>
        <v>7841.6</v>
      </c>
    </row>
    <row r="63" spans="1:19" x14ac:dyDescent="0.3">
      <c r="A63" t="s">
        <v>580</v>
      </c>
      <c r="B63" s="10">
        <v>45564</v>
      </c>
      <c r="C63" s="10">
        <v>45564</v>
      </c>
      <c r="D63" t="s">
        <v>62</v>
      </c>
      <c r="E63" t="s">
        <v>582</v>
      </c>
      <c r="F63" t="s">
        <v>98</v>
      </c>
      <c r="G63" t="s">
        <v>19</v>
      </c>
      <c r="H63" t="s">
        <v>99</v>
      </c>
      <c r="I63">
        <v>3</v>
      </c>
      <c r="J63">
        <v>9692</v>
      </c>
      <c r="K63">
        <v>0.05</v>
      </c>
      <c r="L63" t="s">
        <v>31</v>
      </c>
      <c r="M63" t="s">
        <v>39</v>
      </c>
      <c r="N63" t="s">
        <v>59</v>
      </c>
      <c r="O63">
        <v>3.1</v>
      </c>
      <c r="P63">
        <v>27622.199999999997</v>
      </c>
      <c r="Q63">
        <v>900</v>
      </c>
      <c r="R63">
        <f>Table2_2[[#This Row],[cost]]*Table2_2[[#This Row],[Quantity]]</f>
        <v>2700</v>
      </c>
      <c r="S63">
        <f>Table2_2[[#This Row],[revenue]]-Table2_2[[#This Row],[total_cost]]</f>
        <v>24922.199999999997</v>
      </c>
    </row>
    <row r="64" spans="1:19" x14ac:dyDescent="0.3">
      <c r="A64" t="s">
        <v>583</v>
      </c>
      <c r="B64" s="10">
        <v>45286</v>
      </c>
      <c r="C64" s="10">
        <v>45286</v>
      </c>
      <c r="D64" t="s">
        <v>127</v>
      </c>
      <c r="E64" t="s">
        <v>585</v>
      </c>
      <c r="F64" t="s">
        <v>73</v>
      </c>
      <c r="G64" t="s">
        <v>19</v>
      </c>
      <c r="H64" t="s">
        <v>99</v>
      </c>
      <c r="I64">
        <v>3</v>
      </c>
      <c r="J64">
        <v>9306</v>
      </c>
      <c r="K64">
        <v>0.05</v>
      </c>
      <c r="L64" t="s">
        <v>38</v>
      </c>
      <c r="M64" t="s">
        <v>22</v>
      </c>
      <c r="N64" t="s">
        <v>59</v>
      </c>
      <c r="O64">
        <v>3.9</v>
      </c>
      <c r="P64">
        <v>26522.1</v>
      </c>
      <c r="Q64">
        <v>700</v>
      </c>
      <c r="R64">
        <f>Table2_2[[#This Row],[cost]]*Table2_2[[#This Row],[Quantity]]</f>
        <v>2100</v>
      </c>
      <c r="S64">
        <f>Table2_2[[#This Row],[revenue]]-Table2_2[[#This Row],[total_cost]]</f>
        <v>24422.1</v>
      </c>
    </row>
    <row r="65" spans="1:19" x14ac:dyDescent="0.3">
      <c r="A65" t="s">
        <v>586</v>
      </c>
      <c r="B65" s="10">
        <v>45470</v>
      </c>
      <c r="C65" s="10">
        <v>45470</v>
      </c>
      <c r="D65" t="s">
        <v>127</v>
      </c>
      <c r="E65" t="s">
        <v>471</v>
      </c>
      <c r="F65" t="s">
        <v>64</v>
      </c>
      <c r="G65" t="s">
        <v>53</v>
      </c>
      <c r="H65" t="s">
        <v>30</v>
      </c>
      <c r="I65">
        <v>4</v>
      </c>
      <c r="J65">
        <v>6314</v>
      </c>
      <c r="K65">
        <v>0</v>
      </c>
      <c r="L65" t="s">
        <v>38</v>
      </c>
      <c r="M65" t="s">
        <v>39</v>
      </c>
      <c r="N65" t="s">
        <v>32</v>
      </c>
      <c r="O65">
        <v>4.2</v>
      </c>
      <c r="P65">
        <v>25256</v>
      </c>
      <c r="Q65">
        <v>700</v>
      </c>
      <c r="R65">
        <f>Table2_2[[#This Row],[cost]]*Table2_2[[#This Row],[Quantity]]</f>
        <v>2800</v>
      </c>
      <c r="S65">
        <f>Table2_2[[#This Row],[revenue]]-Table2_2[[#This Row],[total_cost]]</f>
        <v>22456</v>
      </c>
    </row>
    <row r="66" spans="1:19" x14ac:dyDescent="0.3">
      <c r="A66" t="s">
        <v>595</v>
      </c>
      <c r="B66" s="10">
        <v>45564</v>
      </c>
      <c r="C66" s="10">
        <v>45564</v>
      </c>
      <c r="D66" t="s">
        <v>35</v>
      </c>
      <c r="E66" t="s">
        <v>597</v>
      </c>
      <c r="F66" t="s">
        <v>73</v>
      </c>
      <c r="G66" t="s">
        <v>19</v>
      </c>
      <c r="H66" t="s">
        <v>99</v>
      </c>
      <c r="I66">
        <v>5</v>
      </c>
      <c r="J66">
        <v>1753</v>
      </c>
      <c r="K66">
        <v>0</v>
      </c>
      <c r="L66" t="s">
        <v>38</v>
      </c>
      <c r="M66" t="s">
        <v>39</v>
      </c>
      <c r="N66" t="s">
        <v>59</v>
      </c>
      <c r="O66">
        <v>4</v>
      </c>
      <c r="P66">
        <v>8765</v>
      </c>
      <c r="Q66">
        <v>1500</v>
      </c>
      <c r="R66">
        <f>Table2_2[[#This Row],[cost]]*Table2_2[[#This Row],[Quantity]]</f>
        <v>7500</v>
      </c>
      <c r="S66">
        <f>Table2_2[[#This Row],[revenue]]-Table2_2[[#This Row],[total_cost]]</f>
        <v>1265</v>
      </c>
    </row>
    <row r="67" spans="1:19" x14ac:dyDescent="0.3">
      <c r="A67" t="s">
        <v>598</v>
      </c>
      <c r="B67" s="10">
        <v>45539</v>
      </c>
      <c r="C67" s="10">
        <v>45539</v>
      </c>
      <c r="D67" t="s">
        <v>51</v>
      </c>
      <c r="E67" t="s">
        <v>600</v>
      </c>
      <c r="F67" t="s">
        <v>28</v>
      </c>
      <c r="G67" t="s">
        <v>29</v>
      </c>
      <c r="H67" t="s">
        <v>30</v>
      </c>
      <c r="I67">
        <v>5</v>
      </c>
      <c r="J67">
        <v>5414</v>
      </c>
      <c r="K67">
        <v>0.1</v>
      </c>
      <c r="L67" t="s">
        <v>31</v>
      </c>
      <c r="M67" t="s">
        <v>22</v>
      </c>
      <c r="N67" t="s">
        <v>48</v>
      </c>
      <c r="O67">
        <v>4.9000000000000004</v>
      </c>
      <c r="P67">
        <v>24363</v>
      </c>
      <c r="Q67">
        <v>1200</v>
      </c>
      <c r="R67">
        <f>Table2_2[[#This Row],[cost]]*Table2_2[[#This Row],[Quantity]]</f>
        <v>6000</v>
      </c>
      <c r="S67">
        <f>Table2_2[[#This Row],[revenue]]-Table2_2[[#This Row],[total_cost]]</f>
        <v>18363</v>
      </c>
    </row>
    <row r="68" spans="1:19" x14ac:dyDescent="0.3">
      <c r="A68" t="s">
        <v>604</v>
      </c>
      <c r="B68" s="10">
        <v>45378</v>
      </c>
      <c r="C68" s="10">
        <v>45378</v>
      </c>
      <c r="D68" t="s">
        <v>71</v>
      </c>
      <c r="E68" t="s">
        <v>81</v>
      </c>
      <c r="F68" t="s">
        <v>28</v>
      </c>
      <c r="G68" t="s">
        <v>29</v>
      </c>
      <c r="H68" t="s">
        <v>99</v>
      </c>
      <c r="I68">
        <v>2</v>
      </c>
      <c r="J68">
        <v>1983</v>
      </c>
      <c r="K68">
        <v>0</v>
      </c>
      <c r="L68" t="s">
        <v>38</v>
      </c>
      <c r="M68" t="s">
        <v>39</v>
      </c>
      <c r="N68" t="s">
        <v>23</v>
      </c>
      <c r="O68">
        <v>3</v>
      </c>
      <c r="P68">
        <v>3966</v>
      </c>
      <c r="Q68">
        <v>1200</v>
      </c>
      <c r="R68">
        <f>Table2_2[[#This Row],[cost]]*Table2_2[[#This Row],[Quantity]]</f>
        <v>2400</v>
      </c>
      <c r="S68">
        <f>Table2_2[[#This Row],[revenue]]-Table2_2[[#This Row],[total_cost]]</f>
        <v>1566</v>
      </c>
    </row>
    <row r="69" spans="1:19" x14ac:dyDescent="0.3">
      <c r="A69" t="s">
        <v>621</v>
      </c>
      <c r="B69" s="10">
        <v>45094</v>
      </c>
      <c r="C69" s="10">
        <v>45094</v>
      </c>
      <c r="D69" t="s">
        <v>26</v>
      </c>
      <c r="E69" t="s">
        <v>600</v>
      </c>
      <c r="F69" t="s">
        <v>57</v>
      </c>
      <c r="G69" t="s">
        <v>37</v>
      </c>
      <c r="H69" t="s">
        <v>30</v>
      </c>
      <c r="I69">
        <v>5</v>
      </c>
      <c r="J69">
        <v>7597</v>
      </c>
      <c r="K69">
        <v>0.2</v>
      </c>
      <c r="L69" t="s">
        <v>58</v>
      </c>
      <c r="M69" t="s">
        <v>39</v>
      </c>
      <c r="N69" t="s">
        <v>32</v>
      </c>
      <c r="O69">
        <v>3.2</v>
      </c>
      <c r="P69">
        <v>30388</v>
      </c>
      <c r="Q69">
        <v>1200</v>
      </c>
      <c r="R69">
        <f>Table2_2[[#This Row],[cost]]*Table2_2[[#This Row],[Quantity]]</f>
        <v>6000</v>
      </c>
      <c r="S69">
        <f>Table2_2[[#This Row],[revenue]]-Table2_2[[#This Row],[total_cost]]</f>
        <v>24388</v>
      </c>
    </row>
    <row r="70" spans="1:19" x14ac:dyDescent="0.3">
      <c r="A70" t="s">
        <v>627</v>
      </c>
      <c r="B70" s="10">
        <v>45632</v>
      </c>
      <c r="C70" s="10">
        <v>45632</v>
      </c>
      <c r="D70" t="s">
        <v>67</v>
      </c>
      <c r="E70" t="s">
        <v>629</v>
      </c>
      <c r="F70" t="s">
        <v>43</v>
      </c>
      <c r="G70" t="s">
        <v>53</v>
      </c>
      <c r="H70" t="s">
        <v>20</v>
      </c>
      <c r="I70">
        <v>4</v>
      </c>
      <c r="J70">
        <v>7623</v>
      </c>
      <c r="K70">
        <v>0</v>
      </c>
      <c r="L70" t="s">
        <v>21</v>
      </c>
      <c r="M70" t="s">
        <v>22</v>
      </c>
      <c r="N70" t="s">
        <v>59</v>
      </c>
      <c r="O70">
        <v>4.8</v>
      </c>
      <c r="P70">
        <v>30492</v>
      </c>
      <c r="Q70">
        <v>900</v>
      </c>
      <c r="R70">
        <f>Table2_2[[#This Row],[cost]]*Table2_2[[#This Row],[Quantity]]</f>
        <v>3600</v>
      </c>
      <c r="S70">
        <f>Table2_2[[#This Row],[revenue]]-Table2_2[[#This Row],[total_cost]]</f>
        <v>26892</v>
      </c>
    </row>
    <row r="71" spans="1:19" x14ac:dyDescent="0.3">
      <c r="A71" t="s">
        <v>632</v>
      </c>
      <c r="B71" s="10">
        <v>45154</v>
      </c>
      <c r="C71" s="10">
        <v>45154</v>
      </c>
      <c r="D71" t="s">
        <v>84</v>
      </c>
      <c r="E71" t="s">
        <v>620</v>
      </c>
      <c r="F71" t="s">
        <v>64</v>
      </c>
      <c r="G71" t="s">
        <v>53</v>
      </c>
      <c r="H71" t="s">
        <v>77</v>
      </c>
      <c r="I71">
        <v>2</v>
      </c>
      <c r="J71">
        <v>9817</v>
      </c>
      <c r="K71">
        <v>0.1</v>
      </c>
      <c r="L71" t="s">
        <v>31</v>
      </c>
      <c r="M71" t="s">
        <v>39</v>
      </c>
      <c r="N71" t="s">
        <v>48</v>
      </c>
      <c r="O71">
        <v>4.8</v>
      </c>
      <c r="P71">
        <v>17670.600000000002</v>
      </c>
      <c r="Q71">
        <v>900</v>
      </c>
      <c r="R71">
        <f>Table2_2[[#This Row],[cost]]*Table2_2[[#This Row],[Quantity]]</f>
        <v>1800</v>
      </c>
      <c r="S71">
        <f>Table2_2[[#This Row],[revenue]]-Table2_2[[#This Row],[total_cost]]</f>
        <v>15870.600000000002</v>
      </c>
    </row>
    <row r="72" spans="1:19" x14ac:dyDescent="0.3">
      <c r="A72" t="s">
        <v>633</v>
      </c>
      <c r="B72" s="10">
        <v>45581</v>
      </c>
      <c r="C72" s="10">
        <v>45581</v>
      </c>
      <c r="D72" t="s">
        <v>51</v>
      </c>
      <c r="E72" t="s">
        <v>635</v>
      </c>
      <c r="F72" t="s">
        <v>98</v>
      </c>
      <c r="G72" t="s">
        <v>29</v>
      </c>
      <c r="H72" t="s">
        <v>20</v>
      </c>
      <c r="I72">
        <v>5</v>
      </c>
      <c r="J72">
        <v>6589</v>
      </c>
      <c r="K72">
        <v>0</v>
      </c>
      <c r="L72" t="s">
        <v>38</v>
      </c>
      <c r="M72" t="s">
        <v>22</v>
      </c>
      <c r="N72" t="s">
        <v>23</v>
      </c>
      <c r="O72">
        <v>4.4000000000000004</v>
      </c>
      <c r="P72">
        <v>32945</v>
      </c>
      <c r="Q72">
        <v>900</v>
      </c>
      <c r="R72">
        <f>Table2_2[[#This Row],[cost]]*Table2_2[[#This Row],[Quantity]]</f>
        <v>4500</v>
      </c>
      <c r="S72">
        <f>Table2_2[[#This Row],[revenue]]-Table2_2[[#This Row],[total_cost]]</f>
        <v>28445</v>
      </c>
    </row>
    <row r="73" spans="1:19" x14ac:dyDescent="0.3">
      <c r="A73" t="s">
        <v>641</v>
      </c>
      <c r="B73" s="10">
        <v>45392</v>
      </c>
      <c r="C73" s="10">
        <v>45392</v>
      </c>
      <c r="D73" t="s">
        <v>127</v>
      </c>
      <c r="E73" t="s">
        <v>643</v>
      </c>
      <c r="F73" t="s">
        <v>73</v>
      </c>
      <c r="G73" t="s">
        <v>19</v>
      </c>
      <c r="H73" t="s">
        <v>20</v>
      </c>
      <c r="I73">
        <v>5</v>
      </c>
      <c r="J73">
        <v>8404</v>
      </c>
      <c r="K73">
        <v>0.15</v>
      </c>
      <c r="L73" t="s">
        <v>21</v>
      </c>
      <c r="M73" t="s">
        <v>22</v>
      </c>
      <c r="N73" t="s">
        <v>48</v>
      </c>
      <c r="O73">
        <v>3.8</v>
      </c>
      <c r="P73">
        <v>35717</v>
      </c>
      <c r="Q73">
        <v>1200</v>
      </c>
      <c r="R73">
        <f>Table2_2[[#This Row],[cost]]*Table2_2[[#This Row],[Quantity]]</f>
        <v>6000</v>
      </c>
      <c r="S73">
        <f>Table2_2[[#This Row],[revenue]]-Table2_2[[#This Row],[total_cost]]</f>
        <v>29717</v>
      </c>
    </row>
    <row r="74" spans="1:19" x14ac:dyDescent="0.3">
      <c r="A74" t="s">
        <v>644</v>
      </c>
      <c r="B74" s="10">
        <v>45647</v>
      </c>
      <c r="C74" s="10">
        <v>45647</v>
      </c>
      <c r="D74" t="s">
        <v>51</v>
      </c>
      <c r="E74" t="s">
        <v>376</v>
      </c>
      <c r="F74" t="s">
        <v>18</v>
      </c>
      <c r="G74" t="s">
        <v>37</v>
      </c>
      <c r="H74" t="s">
        <v>77</v>
      </c>
      <c r="I74">
        <v>3</v>
      </c>
      <c r="J74">
        <v>9944</v>
      </c>
      <c r="K74">
        <v>0.2</v>
      </c>
      <c r="L74" t="s">
        <v>31</v>
      </c>
      <c r="M74" t="s">
        <v>39</v>
      </c>
      <c r="N74" t="s">
        <v>48</v>
      </c>
      <c r="O74">
        <v>3.7</v>
      </c>
      <c r="P74">
        <v>23865.600000000002</v>
      </c>
      <c r="Q74">
        <v>1500</v>
      </c>
      <c r="R74">
        <f>Table2_2[[#This Row],[cost]]*Table2_2[[#This Row],[Quantity]]</f>
        <v>4500</v>
      </c>
      <c r="S74">
        <f>Table2_2[[#This Row],[revenue]]-Table2_2[[#This Row],[total_cost]]</f>
        <v>19365.600000000002</v>
      </c>
    </row>
    <row r="75" spans="1:19" x14ac:dyDescent="0.3">
      <c r="A75" t="s">
        <v>656</v>
      </c>
      <c r="B75" s="10">
        <v>45045</v>
      </c>
      <c r="C75" s="10">
        <v>45045</v>
      </c>
      <c r="D75" t="s">
        <v>84</v>
      </c>
      <c r="E75" t="s">
        <v>420</v>
      </c>
      <c r="F75" t="s">
        <v>43</v>
      </c>
      <c r="G75" t="s">
        <v>53</v>
      </c>
      <c r="H75" t="s">
        <v>77</v>
      </c>
      <c r="I75">
        <v>1</v>
      </c>
      <c r="J75">
        <v>5515</v>
      </c>
      <c r="K75">
        <v>0.2</v>
      </c>
      <c r="L75" t="s">
        <v>31</v>
      </c>
      <c r="M75" t="s">
        <v>22</v>
      </c>
      <c r="N75" t="s">
        <v>48</v>
      </c>
      <c r="O75">
        <v>3.7</v>
      </c>
      <c r="P75">
        <v>4412</v>
      </c>
      <c r="Q75">
        <v>500</v>
      </c>
      <c r="R75">
        <f>Table2_2[[#This Row],[cost]]*Table2_2[[#This Row],[Quantity]]</f>
        <v>500</v>
      </c>
      <c r="S75">
        <f>Table2_2[[#This Row],[revenue]]-Table2_2[[#This Row],[total_cost]]</f>
        <v>3912</v>
      </c>
    </row>
    <row r="76" spans="1:19" x14ac:dyDescent="0.3">
      <c r="A76" t="s">
        <v>219</v>
      </c>
      <c r="B76" s="10">
        <v>45066</v>
      </c>
      <c r="C76" s="10">
        <v>45066</v>
      </c>
      <c r="D76" t="s">
        <v>80</v>
      </c>
      <c r="E76" t="s">
        <v>663</v>
      </c>
      <c r="F76" t="s">
        <v>18</v>
      </c>
      <c r="G76" t="s">
        <v>37</v>
      </c>
      <c r="H76" t="s">
        <v>77</v>
      </c>
      <c r="I76">
        <v>2</v>
      </c>
      <c r="J76">
        <v>3001</v>
      </c>
      <c r="K76">
        <v>0.05</v>
      </c>
      <c r="L76" t="s">
        <v>38</v>
      </c>
      <c r="M76" t="s">
        <v>39</v>
      </c>
      <c r="N76" t="s">
        <v>59</v>
      </c>
      <c r="O76">
        <v>4.8</v>
      </c>
      <c r="P76">
        <v>5701.9</v>
      </c>
      <c r="Q76">
        <v>900</v>
      </c>
      <c r="R76">
        <f>Table2_2[[#This Row],[cost]]*Table2_2[[#This Row],[Quantity]]</f>
        <v>1800</v>
      </c>
      <c r="S76">
        <f>Table2_2[[#This Row],[revenue]]-Table2_2[[#This Row],[total_cost]]</f>
        <v>3901.8999999999996</v>
      </c>
    </row>
    <row r="77" spans="1:19" x14ac:dyDescent="0.3">
      <c r="A77" t="s">
        <v>683</v>
      </c>
      <c r="B77" s="10">
        <v>45156</v>
      </c>
      <c r="C77" s="10">
        <v>45156</v>
      </c>
      <c r="D77" t="s">
        <v>114</v>
      </c>
      <c r="E77" t="s">
        <v>362</v>
      </c>
      <c r="F77" t="s">
        <v>28</v>
      </c>
      <c r="G77" t="s">
        <v>53</v>
      </c>
      <c r="H77" t="s">
        <v>30</v>
      </c>
      <c r="I77">
        <v>2</v>
      </c>
      <c r="J77">
        <v>4855</v>
      </c>
      <c r="K77">
        <v>0.05</v>
      </c>
      <c r="L77" t="s">
        <v>21</v>
      </c>
      <c r="M77" t="s">
        <v>39</v>
      </c>
      <c r="N77" t="s">
        <v>59</v>
      </c>
      <c r="O77">
        <v>4.5</v>
      </c>
      <c r="P77">
        <v>9224.5</v>
      </c>
      <c r="Q77">
        <v>500</v>
      </c>
      <c r="R77">
        <f>Table2_2[[#This Row],[cost]]*Table2_2[[#This Row],[Quantity]]</f>
        <v>1000</v>
      </c>
      <c r="S77">
        <f>Table2_2[[#This Row],[revenue]]-Table2_2[[#This Row],[total_cost]]</f>
        <v>8224.5</v>
      </c>
    </row>
    <row r="78" spans="1:19" x14ac:dyDescent="0.3">
      <c r="A78" t="s">
        <v>691</v>
      </c>
      <c r="B78" s="10">
        <v>45650</v>
      </c>
      <c r="C78" s="10">
        <v>45650</v>
      </c>
      <c r="D78" t="s">
        <v>96</v>
      </c>
      <c r="E78" t="s">
        <v>572</v>
      </c>
      <c r="F78" t="s">
        <v>57</v>
      </c>
      <c r="G78" t="s">
        <v>53</v>
      </c>
      <c r="H78" t="s">
        <v>20</v>
      </c>
      <c r="I78">
        <v>2</v>
      </c>
      <c r="J78">
        <v>8920</v>
      </c>
      <c r="K78">
        <v>0.15</v>
      </c>
      <c r="L78" t="s">
        <v>21</v>
      </c>
      <c r="M78" t="s">
        <v>39</v>
      </c>
      <c r="N78" t="s">
        <v>59</v>
      </c>
      <c r="O78">
        <v>4.8</v>
      </c>
      <c r="P78">
        <v>15164</v>
      </c>
      <c r="Q78">
        <v>700</v>
      </c>
      <c r="R78">
        <f>Table2_2[[#This Row],[cost]]*Table2_2[[#This Row],[Quantity]]</f>
        <v>1400</v>
      </c>
      <c r="S78">
        <f>Table2_2[[#This Row],[revenue]]-Table2_2[[#This Row],[total_cost]]</f>
        <v>13764</v>
      </c>
    </row>
    <row r="79" spans="1:19" x14ac:dyDescent="0.3">
      <c r="A79" t="s">
        <v>696</v>
      </c>
      <c r="B79" s="10">
        <v>45051</v>
      </c>
      <c r="C79" s="10">
        <v>45051</v>
      </c>
      <c r="D79" t="s">
        <v>26</v>
      </c>
      <c r="E79" t="s">
        <v>597</v>
      </c>
      <c r="F79" t="s">
        <v>43</v>
      </c>
      <c r="G79" t="s">
        <v>37</v>
      </c>
      <c r="H79" t="s">
        <v>99</v>
      </c>
      <c r="I79">
        <v>3</v>
      </c>
      <c r="J79">
        <v>6114</v>
      </c>
      <c r="K79">
        <v>0.1</v>
      </c>
      <c r="L79" t="s">
        <v>21</v>
      </c>
      <c r="M79" t="s">
        <v>39</v>
      </c>
      <c r="N79" t="s">
        <v>23</v>
      </c>
      <c r="O79">
        <v>4.2</v>
      </c>
      <c r="P79">
        <v>16507.8</v>
      </c>
      <c r="Q79">
        <v>1500</v>
      </c>
      <c r="R79">
        <f>Table2_2[[#This Row],[cost]]*Table2_2[[#This Row],[Quantity]]</f>
        <v>4500</v>
      </c>
      <c r="S79">
        <f>Table2_2[[#This Row],[revenue]]-Table2_2[[#This Row],[total_cost]]</f>
        <v>12007.8</v>
      </c>
    </row>
    <row r="80" spans="1:19" x14ac:dyDescent="0.3">
      <c r="A80" t="s">
        <v>697</v>
      </c>
      <c r="B80" s="10">
        <v>45489</v>
      </c>
      <c r="C80" s="10">
        <v>45489</v>
      </c>
      <c r="D80" t="s">
        <v>26</v>
      </c>
      <c r="E80" t="s">
        <v>384</v>
      </c>
      <c r="F80" t="s">
        <v>73</v>
      </c>
      <c r="G80" t="s">
        <v>19</v>
      </c>
      <c r="H80" t="s">
        <v>77</v>
      </c>
      <c r="I80">
        <v>1</v>
      </c>
      <c r="J80">
        <v>6644</v>
      </c>
      <c r="K80">
        <v>0.2</v>
      </c>
      <c r="L80" t="s">
        <v>38</v>
      </c>
      <c r="M80" t="s">
        <v>39</v>
      </c>
      <c r="N80" t="s">
        <v>59</v>
      </c>
      <c r="O80">
        <v>3</v>
      </c>
      <c r="P80">
        <v>5315.2000000000007</v>
      </c>
      <c r="Q80">
        <v>1500</v>
      </c>
      <c r="R80">
        <f>Table2_2[[#This Row],[cost]]*Table2_2[[#This Row],[Quantity]]</f>
        <v>1500</v>
      </c>
      <c r="S80">
        <f>Table2_2[[#This Row],[revenue]]-Table2_2[[#This Row],[total_cost]]</f>
        <v>3815.2000000000007</v>
      </c>
    </row>
    <row r="81" spans="1:19" x14ac:dyDescent="0.3">
      <c r="A81" t="s">
        <v>702</v>
      </c>
      <c r="B81" s="10">
        <v>45052</v>
      </c>
      <c r="C81" s="10">
        <v>45052</v>
      </c>
      <c r="D81" t="s">
        <v>80</v>
      </c>
      <c r="E81" t="s">
        <v>704</v>
      </c>
      <c r="F81" t="s">
        <v>18</v>
      </c>
      <c r="G81" t="s">
        <v>29</v>
      </c>
      <c r="H81" t="s">
        <v>77</v>
      </c>
      <c r="I81">
        <v>3</v>
      </c>
      <c r="J81">
        <v>1850</v>
      </c>
      <c r="K81">
        <v>0.1</v>
      </c>
      <c r="L81" t="s">
        <v>31</v>
      </c>
      <c r="M81" t="s">
        <v>39</v>
      </c>
      <c r="N81" t="s">
        <v>59</v>
      </c>
      <c r="O81">
        <v>3.8</v>
      </c>
      <c r="P81">
        <v>4995</v>
      </c>
      <c r="Q81">
        <v>1200</v>
      </c>
      <c r="R81">
        <f>Table2_2[[#This Row],[cost]]*Table2_2[[#This Row],[Quantity]]</f>
        <v>3600</v>
      </c>
      <c r="S81">
        <f>Table2_2[[#This Row],[revenue]]-Table2_2[[#This Row],[total_cost]]</f>
        <v>1395</v>
      </c>
    </row>
    <row r="82" spans="1:19" x14ac:dyDescent="0.3">
      <c r="A82" t="s">
        <v>707</v>
      </c>
      <c r="B82" s="10">
        <v>45576</v>
      </c>
      <c r="C82" s="10">
        <v>45576</v>
      </c>
      <c r="D82" t="s">
        <v>46</v>
      </c>
      <c r="E82" t="s">
        <v>709</v>
      </c>
      <c r="F82" t="s">
        <v>57</v>
      </c>
      <c r="G82" t="s">
        <v>53</v>
      </c>
      <c r="H82" t="s">
        <v>77</v>
      </c>
      <c r="I82">
        <v>4</v>
      </c>
      <c r="J82">
        <v>1842</v>
      </c>
      <c r="K82">
        <v>0.15</v>
      </c>
      <c r="L82" t="s">
        <v>38</v>
      </c>
      <c r="M82" t="s">
        <v>39</v>
      </c>
      <c r="N82" t="s">
        <v>59</v>
      </c>
      <c r="O82">
        <v>4.4000000000000004</v>
      </c>
      <c r="P82">
        <v>6262.8</v>
      </c>
      <c r="Q82">
        <v>1500</v>
      </c>
      <c r="R82">
        <f>Table2_2[[#This Row],[cost]]*Table2_2[[#This Row],[Quantity]]</f>
        <v>6000</v>
      </c>
      <c r="S82">
        <f>Table2_2[[#This Row],[revenue]]-Table2_2[[#This Row],[total_cost]]</f>
        <v>262.80000000000018</v>
      </c>
    </row>
    <row r="83" spans="1:19" x14ac:dyDescent="0.3">
      <c r="A83" t="s">
        <v>415</v>
      </c>
      <c r="B83" s="10">
        <v>45005</v>
      </c>
      <c r="C83" s="10">
        <v>45005</v>
      </c>
      <c r="D83" t="s">
        <v>51</v>
      </c>
      <c r="E83" t="s">
        <v>716</v>
      </c>
      <c r="F83" t="s">
        <v>64</v>
      </c>
      <c r="G83" t="s">
        <v>29</v>
      </c>
      <c r="H83" t="s">
        <v>77</v>
      </c>
      <c r="I83">
        <v>1</v>
      </c>
      <c r="J83">
        <v>8302</v>
      </c>
      <c r="K83">
        <v>0.15</v>
      </c>
      <c r="L83" t="s">
        <v>31</v>
      </c>
      <c r="M83" t="s">
        <v>22</v>
      </c>
      <c r="N83" t="s">
        <v>32</v>
      </c>
      <c r="O83">
        <v>3.1</v>
      </c>
      <c r="P83">
        <v>7056.7</v>
      </c>
      <c r="Q83">
        <v>700</v>
      </c>
      <c r="R83">
        <f>Table2_2[[#This Row],[cost]]*Table2_2[[#This Row],[Quantity]]</f>
        <v>700</v>
      </c>
      <c r="S83">
        <f>Table2_2[[#This Row],[revenue]]-Table2_2[[#This Row],[total_cost]]</f>
        <v>6356.7</v>
      </c>
    </row>
    <row r="84" spans="1:19" x14ac:dyDescent="0.3">
      <c r="A84" t="s">
        <v>717</v>
      </c>
      <c r="B84" s="10">
        <v>45532</v>
      </c>
      <c r="C84" s="10">
        <v>45532</v>
      </c>
      <c r="D84" t="s">
        <v>62</v>
      </c>
      <c r="E84" t="s">
        <v>357</v>
      </c>
      <c r="F84" t="s">
        <v>18</v>
      </c>
      <c r="G84" t="s">
        <v>37</v>
      </c>
      <c r="H84" t="s">
        <v>30</v>
      </c>
      <c r="I84">
        <v>4</v>
      </c>
      <c r="J84">
        <v>8477</v>
      </c>
      <c r="K84">
        <v>0</v>
      </c>
      <c r="L84" t="s">
        <v>38</v>
      </c>
      <c r="M84" t="s">
        <v>39</v>
      </c>
      <c r="N84" t="s">
        <v>48</v>
      </c>
      <c r="O84">
        <v>4.7</v>
      </c>
      <c r="P84">
        <v>33908</v>
      </c>
      <c r="Q84">
        <v>1200</v>
      </c>
      <c r="R84">
        <f>Table2_2[[#This Row],[cost]]*Table2_2[[#This Row],[Quantity]]</f>
        <v>4800</v>
      </c>
      <c r="S84">
        <f>Table2_2[[#This Row],[revenue]]-Table2_2[[#This Row],[total_cost]]</f>
        <v>29108</v>
      </c>
    </row>
    <row r="85" spans="1:19" x14ac:dyDescent="0.3">
      <c r="A85" t="s">
        <v>49</v>
      </c>
      <c r="B85" s="10">
        <v>45513</v>
      </c>
      <c r="C85" s="10">
        <v>45513</v>
      </c>
      <c r="D85" t="s">
        <v>131</v>
      </c>
      <c r="E85" t="s">
        <v>722</v>
      </c>
      <c r="F85" t="s">
        <v>73</v>
      </c>
      <c r="G85" t="s">
        <v>29</v>
      </c>
      <c r="H85" t="s">
        <v>30</v>
      </c>
      <c r="I85">
        <v>1</v>
      </c>
      <c r="J85">
        <v>7853</v>
      </c>
      <c r="K85">
        <v>0</v>
      </c>
      <c r="L85" t="s">
        <v>38</v>
      </c>
      <c r="M85" t="s">
        <v>39</v>
      </c>
      <c r="N85" t="s">
        <v>59</v>
      </c>
      <c r="O85">
        <v>3</v>
      </c>
      <c r="P85">
        <v>7853</v>
      </c>
      <c r="Q85">
        <v>700</v>
      </c>
      <c r="R85">
        <f>Table2_2[[#This Row],[cost]]*Table2_2[[#This Row],[Quantity]]</f>
        <v>700</v>
      </c>
      <c r="S85">
        <f>Table2_2[[#This Row],[revenue]]-Table2_2[[#This Row],[total_cost]]</f>
        <v>7153</v>
      </c>
    </row>
    <row r="86" spans="1:19" x14ac:dyDescent="0.3">
      <c r="A86" t="s">
        <v>737</v>
      </c>
      <c r="B86" s="10">
        <v>45630</v>
      </c>
      <c r="C86" s="10">
        <v>45630</v>
      </c>
      <c r="D86" t="s">
        <v>127</v>
      </c>
      <c r="E86" t="s">
        <v>739</v>
      </c>
      <c r="F86" t="s">
        <v>28</v>
      </c>
      <c r="G86" t="s">
        <v>29</v>
      </c>
      <c r="H86" t="s">
        <v>77</v>
      </c>
      <c r="I86">
        <v>5</v>
      </c>
      <c r="J86">
        <v>2874</v>
      </c>
      <c r="K86">
        <v>0.1</v>
      </c>
      <c r="L86" t="s">
        <v>31</v>
      </c>
      <c r="M86" t="s">
        <v>39</v>
      </c>
      <c r="N86" t="s">
        <v>59</v>
      </c>
      <c r="O86">
        <v>4.4000000000000004</v>
      </c>
      <c r="P86">
        <v>12933</v>
      </c>
      <c r="Q86">
        <v>1500</v>
      </c>
      <c r="R86">
        <f>Table2_2[[#This Row],[cost]]*Table2_2[[#This Row],[Quantity]]</f>
        <v>7500</v>
      </c>
      <c r="S86">
        <f>Table2_2[[#This Row],[revenue]]-Table2_2[[#This Row],[total_cost]]</f>
        <v>5433</v>
      </c>
    </row>
    <row r="87" spans="1:19" x14ac:dyDescent="0.3">
      <c r="A87" t="s">
        <v>743</v>
      </c>
      <c r="B87" s="10">
        <v>45376</v>
      </c>
      <c r="C87" s="10">
        <v>45376</v>
      </c>
      <c r="D87" t="s">
        <v>46</v>
      </c>
      <c r="E87" t="s">
        <v>237</v>
      </c>
      <c r="F87" t="s">
        <v>28</v>
      </c>
      <c r="G87" t="s">
        <v>37</v>
      </c>
      <c r="H87" t="s">
        <v>99</v>
      </c>
      <c r="I87">
        <v>3</v>
      </c>
      <c r="J87">
        <v>5055</v>
      </c>
      <c r="K87">
        <v>0.05</v>
      </c>
      <c r="L87" t="s">
        <v>21</v>
      </c>
      <c r="M87" t="s">
        <v>22</v>
      </c>
      <c r="N87" t="s">
        <v>32</v>
      </c>
      <c r="O87">
        <v>3.9</v>
      </c>
      <c r="P87">
        <v>14406.75</v>
      </c>
      <c r="Q87">
        <v>900</v>
      </c>
      <c r="R87">
        <f>Table2_2[[#This Row],[cost]]*Table2_2[[#This Row],[Quantity]]</f>
        <v>2700</v>
      </c>
      <c r="S87">
        <f>Table2_2[[#This Row],[revenue]]-Table2_2[[#This Row],[total_cost]]</f>
        <v>11706.75</v>
      </c>
    </row>
    <row r="88" spans="1:19" x14ac:dyDescent="0.3">
      <c r="A88" t="s">
        <v>744</v>
      </c>
      <c r="B88" s="10">
        <v>45238</v>
      </c>
      <c r="C88" s="10">
        <v>45238</v>
      </c>
      <c r="D88" t="s">
        <v>96</v>
      </c>
      <c r="E88" t="s">
        <v>97</v>
      </c>
      <c r="F88" t="s">
        <v>64</v>
      </c>
      <c r="G88" t="s">
        <v>29</v>
      </c>
      <c r="H88" t="s">
        <v>77</v>
      </c>
      <c r="I88">
        <v>3</v>
      </c>
      <c r="J88">
        <v>8255</v>
      </c>
      <c r="K88">
        <v>0.15</v>
      </c>
      <c r="L88" t="s">
        <v>58</v>
      </c>
      <c r="M88" t="s">
        <v>39</v>
      </c>
      <c r="N88" t="s">
        <v>23</v>
      </c>
      <c r="O88">
        <v>4.9000000000000004</v>
      </c>
      <c r="P88">
        <v>21050.25</v>
      </c>
      <c r="Q88">
        <v>500</v>
      </c>
      <c r="R88">
        <f>Table2_2[[#This Row],[cost]]*Table2_2[[#This Row],[Quantity]]</f>
        <v>1500</v>
      </c>
      <c r="S88">
        <f>Table2_2[[#This Row],[revenue]]-Table2_2[[#This Row],[total_cost]]</f>
        <v>19550.25</v>
      </c>
    </row>
    <row r="89" spans="1:19" x14ac:dyDescent="0.3">
      <c r="A89" t="s">
        <v>752</v>
      </c>
      <c r="B89" s="10">
        <v>45264</v>
      </c>
      <c r="C89" s="10">
        <v>45264</v>
      </c>
      <c r="D89" t="s">
        <v>26</v>
      </c>
      <c r="E89" t="s">
        <v>754</v>
      </c>
      <c r="F89" t="s">
        <v>64</v>
      </c>
      <c r="G89" t="s">
        <v>37</v>
      </c>
      <c r="H89" t="s">
        <v>30</v>
      </c>
      <c r="I89">
        <v>1</v>
      </c>
      <c r="J89">
        <v>5743</v>
      </c>
      <c r="K89">
        <v>0.1</v>
      </c>
      <c r="L89" t="s">
        <v>58</v>
      </c>
      <c r="M89" t="s">
        <v>22</v>
      </c>
      <c r="N89" t="s">
        <v>32</v>
      </c>
      <c r="O89">
        <v>3.5</v>
      </c>
      <c r="P89">
        <v>5168.7</v>
      </c>
      <c r="Q89">
        <v>500</v>
      </c>
      <c r="R89">
        <f>Table2_2[[#This Row],[cost]]*Table2_2[[#This Row],[Quantity]]</f>
        <v>500</v>
      </c>
      <c r="S89">
        <f>Table2_2[[#This Row],[revenue]]-Table2_2[[#This Row],[total_cost]]</f>
        <v>4668.7</v>
      </c>
    </row>
    <row r="90" spans="1:19" x14ac:dyDescent="0.3">
      <c r="A90" t="s">
        <v>757</v>
      </c>
      <c r="B90" s="10">
        <v>45394</v>
      </c>
      <c r="C90" s="10">
        <v>45394</v>
      </c>
      <c r="D90" t="s">
        <v>80</v>
      </c>
      <c r="E90" t="s">
        <v>758</v>
      </c>
      <c r="F90" t="s">
        <v>57</v>
      </c>
      <c r="G90" t="s">
        <v>29</v>
      </c>
      <c r="H90" t="s">
        <v>20</v>
      </c>
      <c r="I90">
        <v>4</v>
      </c>
      <c r="J90">
        <v>9601</v>
      </c>
      <c r="K90">
        <v>0.2</v>
      </c>
      <c r="L90" t="s">
        <v>38</v>
      </c>
      <c r="M90" t="s">
        <v>22</v>
      </c>
      <c r="N90" t="s">
        <v>59</v>
      </c>
      <c r="O90">
        <v>4.4000000000000004</v>
      </c>
      <c r="P90">
        <v>30723.200000000001</v>
      </c>
      <c r="Q90">
        <v>1500</v>
      </c>
      <c r="R90">
        <f>Table2_2[[#This Row],[cost]]*Table2_2[[#This Row],[Quantity]]</f>
        <v>6000</v>
      </c>
      <c r="S90">
        <f>Table2_2[[#This Row],[revenue]]-Table2_2[[#This Row],[total_cost]]</f>
        <v>24723.200000000001</v>
      </c>
    </row>
    <row r="91" spans="1:19" x14ac:dyDescent="0.3">
      <c r="A91" t="s">
        <v>759</v>
      </c>
      <c r="B91" s="10">
        <v>45610</v>
      </c>
      <c r="C91" s="10">
        <v>45610</v>
      </c>
      <c r="D91" t="s">
        <v>16</v>
      </c>
      <c r="E91" t="s">
        <v>281</v>
      </c>
      <c r="F91" t="s">
        <v>28</v>
      </c>
      <c r="G91" t="s">
        <v>37</v>
      </c>
      <c r="H91" t="s">
        <v>20</v>
      </c>
      <c r="I91">
        <v>2</v>
      </c>
      <c r="J91">
        <v>5840</v>
      </c>
      <c r="K91">
        <v>0.2</v>
      </c>
      <c r="L91" t="s">
        <v>31</v>
      </c>
      <c r="M91" t="s">
        <v>22</v>
      </c>
      <c r="N91" t="s">
        <v>48</v>
      </c>
      <c r="O91">
        <v>3.3</v>
      </c>
      <c r="P91">
        <v>9344</v>
      </c>
      <c r="Q91">
        <v>1200</v>
      </c>
      <c r="R91">
        <f>Table2_2[[#This Row],[cost]]*Table2_2[[#This Row],[Quantity]]</f>
        <v>2400</v>
      </c>
      <c r="S91">
        <f>Table2_2[[#This Row],[revenue]]-Table2_2[[#This Row],[total_cost]]</f>
        <v>6944</v>
      </c>
    </row>
    <row r="92" spans="1:19" x14ac:dyDescent="0.3">
      <c r="A92" t="s">
        <v>776</v>
      </c>
      <c r="B92" s="10">
        <v>45040</v>
      </c>
      <c r="C92" s="10">
        <v>45040</v>
      </c>
      <c r="D92" t="s">
        <v>67</v>
      </c>
      <c r="E92" t="s">
        <v>778</v>
      </c>
      <c r="F92" t="s">
        <v>28</v>
      </c>
      <c r="G92" t="s">
        <v>53</v>
      </c>
      <c r="H92" t="s">
        <v>30</v>
      </c>
      <c r="I92">
        <v>4</v>
      </c>
      <c r="J92">
        <v>9742</v>
      </c>
      <c r="K92">
        <v>0.1</v>
      </c>
      <c r="L92" t="s">
        <v>58</v>
      </c>
      <c r="M92" t="s">
        <v>22</v>
      </c>
      <c r="N92" t="s">
        <v>23</v>
      </c>
      <c r="O92">
        <v>4.9000000000000004</v>
      </c>
      <c r="P92">
        <v>35071.200000000004</v>
      </c>
      <c r="Q92">
        <v>900</v>
      </c>
      <c r="R92">
        <f>Table2_2[[#This Row],[cost]]*Table2_2[[#This Row],[Quantity]]</f>
        <v>3600</v>
      </c>
      <c r="S92">
        <f>Table2_2[[#This Row],[revenue]]-Table2_2[[#This Row],[total_cost]]</f>
        <v>31471.200000000004</v>
      </c>
    </row>
    <row r="93" spans="1:19" x14ac:dyDescent="0.3">
      <c r="A93" t="s">
        <v>781</v>
      </c>
      <c r="B93" s="10">
        <v>45657</v>
      </c>
      <c r="C93" s="10">
        <v>45657</v>
      </c>
      <c r="D93" t="s">
        <v>114</v>
      </c>
      <c r="E93" t="s">
        <v>783</v>
      </c>
      <c r="F93" t="s">
        <v>43</v>
      </c>
      <c r="G93" t="s">
        <v>37</v>
      </c>
      <c r="H93" t="s">
        <v>99</v>
      </c>
      <c r="I93">
        <v>5</v>
      </c>
      <c r="J93">
        <v>1038</v>
      </c>
      <c r="K93">
        <v>0.15</v>
      </c>
      <c r="L93" t="s">
        <v>58</v>
      </c>
      <c r="M93" t="s">
        <v>22</v>
      </c>
      <c r="N93" t="s">
        <v>32</v>
      </c>
      <c r="O93">
        <v>4.3</v>
      </c>
      <c r="P93">
        <v>4411.5</v>
      </c>
      <c r="Q93">
        <v>900</v>
      </c>
      <c r="R93">
        <f>Table2_2[[#This Row],[cost]]*Table2_2[[#This Row],[Quantity]]</f>
        <v>4500</v>
      </c>
      <c r="S93">
        <f>Table2_2[[#This Row],[revenue]]-Table2_2[[#This Row],[total_cost]]</f>
        <v>-88.5</v>
      </c>
    </row>
    <row r="94" spans="1:19" x14ac:dyDescent="0.3">
      <c r="A94" t="s">
        <v>788</v>
      </c>
      <c r="B94" s="10">
        <v>45378</v>
      </c>
      <c r="C94" s="10">
        <v>45378</v>
      </c>
      <c r="D94" t="s">
        <v>62</v>
      </c>
      <c r="E94" t="s">
        <v>331</v>
      </c>
      <c r="F94" t="s">
        <v>73</v>
      </c>
      <c r="G94" t="s">
        <v>53</v>
      </c>
      <c r="H94" t="s">
        <v>77</v>
      </c>
      <c r="I94">
        <v>5</v>
      </c>
      <c r="J94">
        <v>3896</v>
      </c>
      <c r="K94">
        <v>0.05</v>
      </c>
      <c r="L94" t="s">
        <v>38</v>
      </c>
      <c r="M94" t="s">
        <v>22</v>
      </c>
      <c r="N94" t="s">
        <v>48</v>
      </c>
      <c r="O94">
        <v>4.5999999999999996</v>
      </c>
      <c r="P94">
        <v>18506</v>
      </c>
      <c r="Q94">
        <v>900</v>
      </c>
      <c r="R94">
        <f>Table2_2[[#This Row],[cost]]*Table2_2[[#This Row],[Quantity]]</f>
        <v>4500</v>
      </c>
      <c r="S94">
        <f>Table2_2[[#This Row],[revenue]]-Table2_2[[#This Row],[total_cost]]</f>
        <v>14006</v>
      </c>
    </row>
    <row r="95" spans="1:19" x14ac:dyDescent="0.3">
      <c r="A95" t="s">
        <v>796</v>
      </c>
      <c r="B95" s="10">
        <v>45286</v>
      </c>
      <c r="C95" s="10">
        <v>45286</v>
      </c>
      <c r="D95" t="s">
        <v>80</v>
      </c>
      <c r="E95" t="s">
        <v>643</v>
      </c>
      <c r="F95" t="s">
        <v>18</v>
      </c>
      <c r="G95" t="s">
        <v>53</v>
      </c>
      <c r="H95" t="s">
        <v>20</v>
      </c>
      <c r="I95">
        <v>1</v>
      </c>
      <c r="J95">
        <v>6536</v>
      </c>
      <c r="K95">
        <v>0.05</v>
      </c>
      <c r="L95" t="s">
        <v>58</v>
      </c>
      <c r="M95" t="s">
        <v>39</v>
      </c>
      <c r="N95" t="s">
        <v>32</v>
      </c>
      <c r="O95">
        <v>3.3</v>
      </c>
      <c r="P95">
        <v>6209.2</v>
      </c>
      <c r="Q95">
        <v>1200</v>
      </c>
      <c r="R95">
        <f>Table2_2[[#This Row],[cost]]*Table2_2[[#This Row],[Quantity]]</f>
        <v>1200</v>
      </c>
      <c r="S95">
        <f>Table2_2[[#This Row],[revenue]]-Table2_2[[#This Row],[total_cost]]</f>
        <v>5009.2</v>
      </c>
    </row>
    <row r="96" spans="1:19" x14ac:dyDescent="0.3">
      <c r="A96" t="s">
        <v>805</v>
      </c>
      <c r="B96" s="10">
        <v>45609</v>
      </c>
      <c r="C96" s="10">
        <v>45609</v>
      </c>
      <c r="D96" t="s">
        <v>67</v>
      </c>
      <c r="E96" t="s">
        <v>716</v>
      </c>
      <c r="F96" t="s">
        <v>64</v>
      </c>
      <c r="G96" t="s">
        <v>29</v>
      </c>
      <c r="H96" t="s">
        <v>30</v>
      </c>
      <c r="I96">
        <v>5</v>
      </c>
      <c r="J96">
        <v>1889</v>
      </c>
      <c r="K96">
        <v>0.2</v>
      </c>
      <c r="L96" t="s">
        <v>38</v>
      </c>
      <c r="M96" t="s">
        <v>39</v>
      </c>
      <c r="N96" t="s">
        <v>48</v>
      </c>
      <c r="O96">
        <v>4.9000000000000004</v>
      </c>
      <c r="P96">
        <v>7556</v>
      </c>
      <c r="Q96">
        <v>700</v>
      </c>
      <c r="R96">
        <f>Table2_2[[#This Row],[cost]]*Table2_2[[#This Row],[Quantity]]</f>
        <v>3500</v>
      </c>
      <c r="S96">
        <f>Table2_2[[#This Row],[revenue]]-Table2_2[[#This Row],[total_cost]]</f>
        <v>4056</v>
      </c>
    </row>
    <row r="97" spans="1:19" x14ac:dyDescent="0.3">
      <c r="A97" t="s">
        <v>827</v>
      </c>
      <c r="B97" s="10">
        <v>45577</v>
      </c>
      <c r="C97" s="10">
        <v>45577</v>
      </c>
      <c r="D97" t="s">
        <v>46</v>
      </c>
      <c r="E97" t="s">
        <v>829</v>
      </c>
      <c r="F97" t="s">
        <v>43</v>
      </c>
      <c r="G97" t="s">
        <v>19</v>
      </c>
      <c r="H97" t="s">
        <v>20</v>
      </c>
      <c r="I97">
        <v>3</v>
      </c>
      <c r="J97">
        <v>9236</v>
      </c>
      <c r="K97">
        <v>0.2</v>
      </c>
      <c r="L97" t="s">
        <v>38</v>
      </c>
      <c r="M97" t="s">
        <v>22</v>
      </c>
      <c r="N97" t="s">
        <v>59</v>
      </c>
      <c r="O97">
        <v>4.8</v>
      </c>
      <c r="P97">
        <v>22166.400000000001</v>
      </c>
      <c r="Q97">
        <v>1500</v>
      </c>
      <c r="R97">
        <f>Table2_2[[#This Row],[cost]]*Table2_2[[#This Row],[Quantity]]</f>
        <v>4500</v>
      </c>
      <c r="S97">
        <f>Table2_2[[#This Row],[revenue]]-Table2_2[[#This Row],[total_cost]]</f>
        <v>17666.400000000001</v>
      </c>
    </row>
    <row r="98" spans="1:19" x14ac:dyDescent="0.3">
      <c r="A98" t="s">
        <v>832</v>
      </c>
      <c r="B98" s="10">
        <v>45579</v>
      </c>
      <c r="C98" s="10">
        <v>45579</v>
      </c>
      <c r="D98" t="s">
        <v>67</v>
      </c>
      <c r="E98" t="s">
        <v>834</v>
      </c>
      <c r="F98" t="s">
        <v>98</v>
      </c>
      <c r="G98" t="s">
        <v>37</v>
      </c>
      <c r="H98" t="s">
        <v>30</v>
      </c>
      <c r="I98">
        <v>4</v>
      </c>
      <c r="J98">
        <v>4380</v>
      </c>
      <c r="K98">
        <v>0.05</v>
      </c>
      <c r="L98" t="s">
        <v>58</v>
      </c>
      <c r="M98" t="s">
        <v>22</v>
      </c>
      <c r="N98" t="s">
        <v>48</v>
      </c>
      <c r="O98">
        <v>3</v>
      </c>
      <c r="P98">
        <v>16644</v>
      </c>
      <c r="Q98">
        <v>500</v>
      </c>
      <c r="R98">
        <f>Table2_2[[#This Row],[cost]]*Table2_2[[#This Row],[Quantity]]</f>
        <v>2000</v>
      </c>
      <c r="S98">
        <f>Table2_2[[#This Row],[revenue]]-Table2_2[[#This Row],[total_cost]]</f>
        <v>14644</v>
      </c>
    </row>
    <row r="99" spans="1:19" x14ac:dyDescent="0.3">
      <c r="A99" t="s">
        <v>837</v>
      </c>
      <c r="B99" s="10">
        <v>45193</v>
      </c>
      <c r="C99" s="10">
        <v>45193</v>
      </c>
      <c r="D99" t="s">
        <v>91</v>
      </c>
      <c r="E99" t="s">
        <v>839</v>
      </c>
      <c r="F99" t="s">
        <v>28</v>
      </c>
      <c r="G99" t="s">
        <v>53</v>
      </c>
      <c r="H99" t="s">
        <v>77</v>
      </c>
      <c r="I99">
        <v>5</v>
      </c>
      <c r="J99">
        <v>8817</v>
      </c>
      <c r="K99">
        <v>0.2</v>
      </c>
      <c r="L99" t="s">
        <v>21</v>
      </c>
      <c r="M99" t="s">
        <v>39</v>
      </c>
      <c r="N99" t="s">
        <v>32</v>
      </c>
      <c r="O99">
        <v>4.3</v>
      </c>
      <c r="P99">
        <v>35268</v>
      </c>
      <c r="Q99">
        <v>500</v>
      </c>
      <c r="R99">
        <f>Table2_2[[#This Row],[cost]]*Table2_2[[#This Row],[Quantity]]</f>
        <v>2500</v>
      </c>
      <c r="S99">
        <f>Table2_2[[#This Row],[revenue]]-Table2_2[[#This Row],[total_cost]]</f>
        <v>32768</v>
      </c>
    </row>
    <row r="100" spans="1:19" x14ac:dyDescent="0.3">
      <c r="A100" t="s">
        <v>846</v>
      </c>
      <c r="B100" s="10">
        <v>45070</v>
      </c>
      <c r="C100" s="10">
        <v>45070</v>
      </c>
      <c r="D100" t="s">
        <v>91</v>
      </c>
      <c r="E100" t="s">
        <v>175</v>
      </c>
      <c r="F100" t="s">
        <v>98</v>
      </c>
      <c r="G100" t="s">
        <v>53</v>
      </c>
      <c r="H100" t="s">
        <v>99</v>
      </c>
      <c r="I100">
        <v>1</v>
      </c>
      <c r="J100">
        <v>5642</v>
      </c>
      <c r="K100">
        <v>0.05</v>
      </c>
      <c r="L100" t="s">
        <v>31</v>
      </c>
      <c r="M100" t="s">
        <v>22</v>
      </c>
      <c r="N100" t="s">
        <v>59</v>
      </c>
      <c r="O100">
        <v>3.1</v>
      </c>
      <c r="P100">
        <v>5359.9</v>
      </c>
      <c r="Q100">
        <v>1500</v>
      </c>
      <c r="R100">
        <f>Table2_2[[#This Row],[cost]]*Table2_2[[#This Row],[Quantity]]</f>
        <v>1500</v>
      </c>
      <c r="S100">
        <f>Table2_2[[#This Row],[revenue]]-Table2_2[[#This Row],[total_cost]]</f>
        <v>3859.8999999999996</v>
      </c>
    </row>
    <row r="101" spans="1:19" x14ac:dyDescent="0.3">
      <c r="A101" t="s">
        <v>852</v>
      </c>
      <c r="B101" s="10">
        <v>44989</v>
      </c>
      <c r="C101" s="10">
        <v>44989</v>
      </c>
      <c r="D101" t="s">
        <v>62</v>
      </c>
      <c r="E101" t="s">
        <v>854</v>
      </c>
      <c r="F101" t="s">
        <v>64</v>
      </c>
      <c r="G101" t="s">
        <v>37</v>
      </c>
      <c r="H101" t="s">
        <v>30</v>
      </c>
      <c r="I101">
        <v>3</v>
      </c>
      <c r="J101">
        <v>8267</v>
      </c>
      <c r="K101">
        <v>0.05</v>
      </c>
      <c r="L101" t="s">
        <v>31</v>
      </c>
      <c r="M101" t="s">
        <v>39</v>
      </c>
      <c r="N101" t="s">
        <v>59</v>
      </c>
      <c r="O101">
        <v>3.5</v>
      </c>
      <c r="P101">
        <v>23560.949999999997</v>
      </c>
      <c r="Q101">
        <v>1200</v>
      </c>
      <c r="R101">
        <f>Table2_2[[#This Row],[cost]]*Table2_2[[#This Row],[Quantity]]</f>
        <v>3600</v>
      </c>
      <c r="S101">
        <f>Table2_2[[#This Row],[revenue]]-Table2_2[[#This Row],[total_cost]]</f>
        <v>19960.949999999997</v>
      </c>
    </row>
    <row r="102" spans="1:19" x14ac:dyDescent="0.3">
      <c r="A102" t="s">
        <v>855</v>
      </c>
      <c r="B102" s="10">
        <v>45156</v>
      </c>
      <c r="C102" s="10">
        <v>45156</v>
      </c>
      <c r="D102" t="s">
        <v>51</v>
      </c>
      <c r="E102" t="s">
        <v>856</v>
      </c>
      <c r="F102" t="s">
        <v>57</v>
      </c>
      <c r="G102" t="s">
        <v>37</v>
      </c>
      <c r="H102" t="s">
        <v>30</v>
      </c>
      <c r="I102">
        <v>1</v>
      </c>
      <c r="J102">
        <v>6136</v>
      </c>
      <c r="K102">
        <v>0</v>
      </c>
      <c r="L102" t="s">
        <v>58</v>
      </c>
      <c r="M102" t="s">
        <v>39</v>
      </c>
      <c r="N102" t="s">
        <v>32</v>
      </c>
      <c r="O102">
        <v>3.5</v>
      </c>
      <c r="P102">
        <v>6136</v>
      </c>
      <c r="Q102">
        <v>1500</v>
      </c>
      <c r="R102">
        <f>Table2_2[[#This Row],[cost]]*Table2_2[[#This Row],[Quantity]]</f>
        <v>1500</v>
      </c>
      <c r="S102">
        <f>Table2_2[[#This Row],[revenue]]-Table2_2[[#This Row],[total_cost]]</f>
        <v>4636</v>
      </c>
    </row>
    <row r="103" spans="1:19" x14ac:dyDescent="0.3">
      <c r="A103" t="s">
        <v>857</v>
      </c>
      <c r="B103" s="10">
        <v>45281</v>
      </c>
      <c r="C103" s="10">
        <v>45281</v>
      </c>
      <c r="D103" t="s">
        <v>16</v>
      </c>
      <c r="E103" t="s">
        <v>17</v>
      </c>
      <c r="F103" t="s">
        <v>98</v>
      </c>
      <c r="G103" t="s">
        <v>29</v>
      </c>
      <c r="H103" t="s">
        <v>30</v>
      </c>
      <c r="I103">
        <v>2</v>
      </c>
      <c r="J103">
        <v>6394</v>
      </c>
      <c r="K103">
        <v>0.05</v>
      </c>
      <c r="L103" t="s">
        <v>58</v>
      </c>
      <c r="M103" t="s">
        <v>22</v>
      </c>
      <c r="N103" t="s">
        <v>48</v>
      </c>
      <c r="O103">
        <v>4.0999999999999996</v>
      </c>
      <c r="P103">
        <v>12148.599999999999</v>
      </c>
      <c r="Q103">
        <v>700</v>
      </c>
      <c r="R103">
        <f>Table2_2[[#This Row],[cost]]*Table2_2[[#This Row],[Quantity]]</f>
        <v>1400</v>
      </c>
      <c r="S103">
        <f>Table2_2[[#This Row],[revenue]]-Table2_2[[#This Row],[total_cost]]</f>
        <v>10748.599999999999</v>
      </c>
    </row>
    <row r="104" spans="1:19" x14ac:dyDescent="0.3">
      <c r="A104" t="s">
        <v>884</v>
      </c>
      <c r="B104" s="10">
        <v>45169</v>
      </c>
      <c r="C104" s="10">
        <v>45169</v>
      </c>
      <c r="D104" t="s">
        <v>35</v>
      </c>
      <c r="E104" t="s">
        <v>886</v>
      </c>
      <c r="F104" t="s">
        <v>18</v>
      </c>
      <c r="G104" t="s">
        <v>19</v>
      </c>
      <c r="H104" t="s">
        <v>30</v>
      </c>
      <c r="I104">
        <v>3</v>
      </c>
      <c r="J104">
        <v>2188</v>
      </c>
      <c r="K104">
        <v>0.15</v>
      </c>
      <c r="L104" t="s">
        <v>38</v>
      </c>
      <c r="M104" t="s">
        <v>39</v>
      </c>
      <c r="N104" t="s">
        <v>48</v>
      </c>
      <c r="O104">
        <v>3.9</v>
      </c>
      <c r="P104">
        <v>5579.4</v>
      </c>
      <c r="Q104">
        <v>1500</v>
      </c>
      <c r="R104">
        <f>Table2_2[[#This Row],[cost]]*Table2_2[[#This Row],[Quantity]]</f>
        <v>4500</v>
      </c>
      <c r="S104">
        <f>Table2_2[[#This Row],[revenue]]-Table2_2[[#This Row],[total_cost]]</f>
        <v>1079.3999999999996</v>
      </c>
    </row>
    <row r="105" spans="1:19" x14ac:dyDescent="0.3">
      <c r="A105" t="s">
        <v>887</v>
      </c>
      <c r="B105" s="10">
        <v>45204</v>
      </c>
      <c r="C105" s="10">
        <v>45204</v>
      </c>
      <c r="D105" t="s">
        <v>71</v>
      </c>
      <c r="E105" t="s">
        <v>240</v>
      </c>
      <c r="F105" t="s">
        <v>98</v>
      </c>
      <c r="G105" t="s">
        <v>29</v>
      </c>
      <c r="H105" t="s">
        <v>20</v>
      </c>
      <c r="I105">
        <v>1</v>
      </c>
      <c r="J105">
        <v>5213</v>
      </c>
      <c r="K105">
        <v>0.2</v>
      </c>
      <c r="L105" t="s">
        <v>21</v>
      </c>
      <c r="M105" t="s">
        <v>22</v>
      </c>
      <c r="N105" t="s">
        <v>32</v>
      </c>
      <c r="O105">
        <v>4.0999999999999996</v>
      </c>
      <c r="P105">
        <v>4170.4000000000005</v>
      </c>
      <c r="Q105">
        <v>500</v>
      </c>
      <c r="R105">
        <f>Table2_2[[#This Row],[cost]]*Table2_2[[#This Row],[Quantity]]</f>
        <v>500</v>
      </c>
      <c r="S105">
        <f>Table2_2[[#This Row],[revenue]]-Table2_2[[#This Row],[total_cost]]</f>
        <v>3670.4000000000005</v>
      </c>
    </row>
    <row r="106" spans="1:19" x14ac:dyDescent="0.3">
      <c r="A106" t="s">
        <v>889</v>
      </c>
      <c r="B106" s="10">
        <v>45396</v>
      </c>
      <c r="C106" s="10">
        <v>45396</v>
      </c>
      <c r="D106" t="s">
        <v>51</v>
      </c>
      <c r="E106" t="s">
        <v>331</v>
      </c>
      <c r="F106" t="s">
        <v>98</v>
      </c>
      <c r="G106" t="s">
        <v>53</v>
      </c>
      <c r="H106" t="s">
        <v>77</v>
      </c>
      <c r="I106">
        <v>3</v>
      </c>
      <c r="J106">
        <v>3154</v>
      </c>
      <c r="K106">
        <v>0.05</v>
      </c>
      <c r="L106" t="s">
        <v>38</v>
      </c>
      <c r="M106" t="s">
        <v>22</v>
      </c>
      <c r="N106" t="s">
        <v>23</v>
      </c>
      <c r="O106">
        <v>4</v>
      </c>
      <c r="P106">
        <v>8988.9</v>
      </c>
      <c r="Q106">
        <v>900</v>
      </c>
      <c r="R106">
        <f>Table2_2[[#This Row],[cost]]*Table2_2[[#This Row],[Quantity]]</f>
        <v>2700</v>
      </c>
      <c r="S106">
        <f>Table2_2[[#This Row],[revenue]]-Table2_2[[#This Row],[total_cost]]</f>
        <v>6288.9</v>
      </c>
    </row>
    <row r="107" spans="1:19" x14ac:dyDescent="0.3">
      <c r="A107" t="s">
        <v>895</v>
      </c>
      <c r="B107" s="10">
        <v>45524</v>
      </c>
      <c r="C107" s="10">
        <v>45524</v>
      </c>
      <c r="D107" t="s">
        <v>96</v>
      </c>
      <c r="E107" t="s">
        <v>512</v>
      </c>
      <c r="F107" t="s">
        <v>18</v>
      </c>
      <c r="G107" t="s">
        <v>37</v>
      </c>
      <c r="H107" t="s">
        <v>30</v>
      </c>
      <c r="I107">
        <v>3</v>
      </c>
      <c r="J107">
        <v>5205</v>
      </c>
      <c r="K107">
        <v>0.15</v>
      </c>
      <c r="L107" t="s">
        <v>21</v>
      </c>
      <c r="M107" t="s">
        <v>39</v>
      </c>
      <c r="N107" t="s">
        <v>59</v>
      </c>
      <c r="O107">
        <v>3.3</v>
      </c>
      <c r="P107">
        <v>13272.75</v>
      </c>
      <c r="Q107">
        <v>500</v>
      </c>
      <c r="R107">
        <f>Table2_2[[#This Row],[cost]]*Table2_2[[#This Row],[Quantity]]</f>
        <v>1500</v>
      </c>
      <c r="S107">
        <f>Table2_2[[#This Row],[revenue]]-Table2_2[[#This Row],[total_cost]]</f>
        <v>11772.75</v>
      </c>
    </row>
    <row r="108" spans="1:19" x14ac:dyDescent="0.3">
      <c r="A108" t="s">
        <v>897</v>
      </c>
      <c r="B108" s="10">
        <v>45206</v>
      </c>
      <c r="C108" s="10">
        <v>45206</v>
      </c>
      <c r="D108" t="s">
        <v>91</v>
      </c>
      <c r="E108" t="s">
        <v>899</v>
      </c>
      <c r="F108" t="s">
        <v>73</v>
      </c>
      <c r="G108" t="s">
        <v>53</v>
      </c>
      <c r="H108" t="s">
        <v>20</v>
      </c>
      <c r="I108">
        <v>3</v>
      </c>
      <c r="J108">
        <v>1049</v>
      </c>
      <c r="K108">
        <v>0.2</v>
      </c>
      <c r="L108" t="s">
        <v>31</v>
      </c>
      <c r="M108" t="s">
        <v>39</v>
      </c>
      <c r="N108" t="s">
        <v>48</v>
      </c>
      <c r="O108">
        <v>4.2</v>
      </c>
      <c r="P108">
        <v>2517.6000000000004</v>
      </c>
      <c r="Q108">
        <v>500</v>
      </c>
      <c r="R108">
        <f>Table2_2[[#This Row],[cost]]*Table2_2[[#This Row],[Quantity]]</f>
        <v>1500</v>
      </c>
      <c r="S108">
        <f>Table2_2[[#This Row],[revenue]]-Table2_2[[#This Row],[total_cost]]</f>
        <v>1017.6000000000004</v>
      </c>
    </row>
    <row r="109" spans="1:19" x14ac:dyDescent="0.3">
      <c r="A109" t="s">
        <v>919</v>
      </c>
      <c r="B109" s="10">
        <v>45136</v>
      </c>
      <c r="C109" s="10">
        <v>45136</v>
      </c>
      <c r="D109" t="s">
        <v>80</v>
      </c>
      <c r="E109" t="s">
        <v>886</v>
      </c>
      <c r="F109" t="s">
        <v>43</v>
      </c>
      <c r="G109" t="s">
        <v>37</v>
      </c>
      <c r="H109" t="s">
        <v>20</v>
      </c>
      <c r="I109">
        <v>5</v>
      </c>
      <c r="J109">
        <v>3150</v>
      </c>
      <c r="K109">
        <v>0.05</v>
      </c>
      <c r="L109" t="s">
        <v>38</v>
      </c>
      <c r="M109" t="s">
        <v>22</v>
      </c>
      <c r="N109" t="s">
        <v>48</v>
      </c>
      <c r="O109">
        <v>3.4</v>
      </c>
      <c r="P109">
        <v>14962.5</v>
      </c>
      <c r="Q109">
        <v>1500</v>
      </c>
      <c r="R109">
        <f>Table2_2[[#This Row],[cost]]*Table2_2[[#This Row],[Quantity]]</f>
        <v>7500</v>
      </c>
      <c r="S109">
        <f>Table2_2[[#This Row],[revenue]]-Table2_2[[#This Row],[total_cost]]</f>
        <v>7462.5</v>
      </c>
    </row>
    <row r="110" spans="1:19" x14ac:dyDescent="0.3">
      <c r="A110" t="s">
        <v>925</v>
      </c>
      <c r="B110" s="10">
        <v>45196</v>
      </c>
      <c r="C110" s="10">
        <v>45196</v>
      </c>
      <c r="D110" t="s">
        <v>84</v>
      </c>
      <c r="E110" t="s">
        <v>250</v>
      </c>
      <c r="F110" t="s">
        <v>64</v>
      </c>
      <c r="G110" t="s">
        <v>29</v>
      </c>
      <c r="H110" t="s">
        <v>30</v>
      </c>
      <c r="I110">
        <v>1</v>
      </c>
      <c r="J110">
        <v>7503</v>
      </c>
      <c r="K110">
        <v>0.05</v>
      </c>
      <c r="L110" t="s">
        <v>58</v>
      </c>
      <c r="M110" t="s">
        <v>39</v>
      </c>
      <c r="N110" t="s">
        <v>48</v>
      </c>
      <c r="O110">
        <v>3.1</v>
      </c>
      <c r="P110">
        <v>7127.8499999999995</v>
      </c>
      <c r="Q110">
        <v>1200</v>
      </c>
      <c r="R110">
        <f>Table2_2[[#This Row],[cost]]*Table2_2[[#This Row],[Quantity]]</f>
        <v>1200</v>
      </c>
      <c r="S110">
        <f>Table2_2[[#This Row],[revenue]]-Table2_2[[#This Row],[total_cost]]</f>
        <v>5927.8499999999995</v>
      </c>
    </row>
    <row r="111" spans="1:19" x14ac:dyDescent="0.3">
      <c r="A111" t="s">
        <v>927</v>
      </c>
      <c r="B111" s="10">
        <v>45489</v>
      </c>
      <c r="C111" s="10">
        <v>45489</v>
      </c>
      <c r="D111" t="s">
        <v>84</v>
      </c>
      <c r="E111" t="s">
        <v>851</v>
      </c>
      <c r="F111" t="s">
        <v>43</v>
      </c>
      <c r="G111" t="s">
        <v>19</v>
      </c>
      <c r="H111" t="s">
        <v>99</v>
      </c>
      <c r="I111">
        <v>3</v>
      </c>
      <c r="J111">
        <v>9828</v>
      </c>
      <c r="K111">
        <v>0.1</v>
      </c>
      <c r="L111" t="s">
        <v>58</v>
      </c>
      <c r="M111" t="s">
        <v>39</v>
      </c>
      <c r="N111" t="s">
        <v>48</v>
      </c>
      <c r="O111">
        <v>3.4</v>
      </c>
      <c r="P111">
        <v>26535.600000000002</v>
      </c>
      <c r="Q111">
        <v>700</v>
      </c>
      <c r="R111">
        <f>Table2_2[[#This Row],[cost]]*Table2_2[[#This Row],[Quantity]]</f>
        <v>2100</v>
      </c>
      <c r="S111">
        <f>Table2_2[[#This Row],[revenue]]-Table2_2[[#This Row],[total_cost]]</f>
        <v>24435.600000000002</v>
      </c>
    </row>
    <row r="112" spans="1:19" x14ac:dyDescent="0.3">
      <c r="A112" t="s">
        <v>932</v>
      </c>
      <c r="B112" s="10">
        <v>44951</v>
      </c>
      <c r="C112" s="10">
        <v>44951</v>
      </c>
      <c r="D112" t="s">
        <v>114</v>
      </c>
      <c r="E112" t="s">
        <v>36</v>
      </c>
      <c r="F112" t="s">
        <v>64</v>
      </c>
      <c r="G112" t="s">
        <v>37</v>
      </c>
      <c r="H112" t="s">
        <v>99</v>
      </c>
      <c r="I112">
        <v>2</v>
      </c>
      <c r="J112">
        <v>5838</v>
      </c>
      <c r="K112">
        <v>0.15</v>
      </c>
      <c r="L112" t="s">
        <v>21</v>
      </c>
      <c r="M112" t="s">
        <v>39</v>
      </c>
      <c r="N112" t="s">
        <v>32</v>
      </c>
      <c r="O112">
        <v>3.5</v>
      </c>
      <c r="P112">
        <v>9924.6</v>
      </c>
      <c r="Q112">
        <v>1500</v>
      </c>
      <c r="R112">
        <f>Table2_2[[#This Row],[cost]]*Table2_2[[#This Row],[Quantity]]</f>
        <v>3000</v>
      </c>
      <c r="S112">
        <f>Table2_2[[#This Row],[revenue]]-Table2_2[[#This Row],[total_cost]]</f>
        <v>6924.6</v>
      </c>
    </row>
    <row r="113" spans="1:19" x14ac:dyDescent="0.3">
      <c r="A113" t="s">
        <v>944</v>
      </c>
      <c r="B113" s="10">
        <v>45635</v>
      </c>
      <c r="C113" s="10">
        <v>45635</v>
      </c>
      <c r="D113" t="s">
        <v>16</v>
      </c>
      <c r="E113" t="s">
        <v>946</v>
      </c>
      <c r="F113" t="s">
        <v>57</v>
      </c>
      <c r="G113" t="s">
        <v>19</v>
      </c>
      <c r="H113" t="s">
        <v>30</v>
      </c>
      <c r="I113">
        <v>2</v>
      </c>
      <c r="J113">
        <v>6117</v>
      </c>
      <c r="K113">
        <v>0.05</v>
      </c>
      <c r="L113" t="s">
        <v>31</v>
      </c>
      <c r="M113" t="s">
        <v>22</v>
      </c>
      <c r="N113" t="s">
        <v>59</v>
      </c>
      <c r="O113">
        <v>4.5999999999999996</v>
      </c>
      <c r="P113">
        <v>11622.3</v>
      </c>
      <c r="Q113">
        <v>900</v>
      </c>
      <c r="R113">
        <f>Table2_2[[#This Row],[cost]]*Table2_2[[#This Row],[Quantity]]</f>
        <v>1800</v>
      </c>
      <c r="S113">
        <f>Table2_2[[#This Row],[revenue]]-Table2_2[[#This Row],[total_cost]]</f>
        <v>9822.2999999999993</v>
      </c>
    </row>
    <row r="114" spans="1:19" x14ac:dyDescent="0.3">
      <c r="A114" t="s">
        <v>949</v>
      </c>
      <c r="B114" s="10">
        <v>45516</v>
      </c>
      <c r="C114" s="10">
        <v>45516</v>
      </c>
      <c r="D114" t="s">
        <v>71</v>
      </c>
      <c r="E114" t="s">
        <v>398</v>
      </c>
      <c r="F114" t="s">
        <v>73</v>
      </c>
      <c r="G114" t="s">
        <v>37</v>
      </c>
      <c r="H114" t="s">
        <v>30</v>
      </c>
      <c r="I114">
        <v>2</v>
      </c>
      <c r="J114">
        <v>5155</v>
      </c>
      <c r="K114">
        <v>0.05</v>
      </c>
      <c r="L114" t="s">
        <v>31</v>
      </c>
      <c r="M114" t="s">
        <v>39</v>
      </c>
      <c r="N114" t="s">
        <v>32</v>
      </c>
      <c r="O114">
        <v>3.1</v>
      </c>
      <c r="P114">
        <v>9794.5</v>
      </c>
      <c r="Q114">
        <v>700</v>
      </c>
      <c r="R114">
        <f>Table2_2[[#This Row],[cost]]*Table2_2[[#This Row],[Quantity]]</f>
        <v>1400</v>
      </c>
      <c r="S114">
        <f>Table2_2[[#This Row],[revenue]]-Table2_2[[#This Row],[total_cost]]</f>
        <v>8394.5</v>
      </c>
    </row>
    <row r="115" spans="1:19" x14ac:dyDescent="0.3">
      <c r="A115" t="s">
        <v>951</v>
      </c>
      <c r="B115" s="10">
        <v>45221</v>
      </c>
      <c r="C115" s="10">
        <v>45221</v>
      </c>
      <c r="D115" t="s">
        <v>131</v>
      </c>
      <c r="E115" t="s">
        <v>880</v>
      </c>
      <c r="F115" t="s">
        <v>18</v>
      </c>
      <c r="G115" t="s">
        <v>29</v>
      </c>
      <c r="H115" t="s">
        <v>30</v>
      </c>
      <c r="I115">
        <v>3</v>
      </c>
      <c r="J115">
        <v>3594</v>
      </c>
      <c r="K115">
        <v>0.1</v>
      </c>
      <c r="L115" t="s">
        <v>21</v>
      </c>
      <c r="M115" t="s">
        <v>22</v>
      </c>
      <c r="N115" t="s">
        <v>23</v>
      </c>
      <c r="O115">
        <v>4.4000000000000004</v>
      </c>
      <c r="P115">
        <v>9703.8000000000011</v>
      </c>
      <c r="Q115">
        <v>1200</v>
      </c>
      <c r="R115">
        <f>Table2_2[[#This Row],[cost]]*Table2_2[[#This Row],[Quantity]]</f>
        <v>3600</v>
      </c>
      <c r="S115">
        <f>Table2_2[[#This Row],[revenue]]-Table2_2[[#This Row],[total_cost]]</f>
        <v>6103.8000000000011</v>
      </c>
    </row>
    <row r="116" spans="1:19" x14ac:dyDescent="0.3">
      <c r="A116" t="s">
        <v>961</v>
      </c>
      <c r="B116" s="10">
        <v>45211</v>
      </c>
      <c r="C116" s="10">
        <v>45211</v>
      </c>
      <c r="D116" t="s">
        <v>46</v>
      </c>
      <c r="E116" t="s">
        <v>400</v>
      </c>
      <c r="F116" t="s">
        <v>18</v>
      </c>
      <c r="G116" t="s">
        <v>19</v>
      </c>
      <c r="H116" t="s">
        <v>99</v>
      </c>
      <c r="I116">
        <v>4</v>
      </c>
      <c r="J116">
        <v>5488</v>
      </c>
      <c r="K116">
        <v>0</v>
      </c>
      <c r="L116" t="s">
        <v>31</v>
      </c>
      <c r="M116" t="s">
        <v>22</v>
      </c>
      <c r="N116" t="s">
        <v>59</v>
      </c>
      <c r="O116">
        <v>3.3</v>
      </c>
      <c r="P116">
        <v>21952</v>
      </c>
      <c r="Q116">
        <v>700</v>
      </c>
      <c r="R116">
        <f>Table2_2[[#This Row],[cost]]*Table2_2[[#This Row],[Quantity]]</f>
        <v>2800</v>
      </c>
      <c r="S116">
        <f>Table2_2[[#This Row],[revenue]]-Table2_2[[#This Row],[total_cost]]</f>
        <v>19152</v>
      </c>
    </row>
    <row r="117" spans="1:19" x14ac:dyDescent="0.3">
      <c r="A117" t="s">
        <v>965</v>
      </c>
      <c r="B117" s="10">
        <v>45190</v>
      </c>
      <c r="C117" s="10">
        <v>45190</v>
      </c>
      <c r="D117" t="s">
        <v>62</v>
      </c>
      <c r="E117" t="s">
        <v>237</v>
      </c>
      <c r="F117" t="s">
        <v>57</v>
      </c>
      <c r="G117" t="s">
        <v>37</v>
      </c>
      <c r="H117" t="s">
        <v>77</v>
      </c>
      <c r="I117">
        <v>1</v>
      </c>
      <c r="J117">
        <v>6299</v>
      </c>
      <c r="K117">
        <v>0.15</v>
      </c>
      <c r="L117" t="s">
        <v>21</v>
      </c>
      <c r="M117" t="s">
        <v>39</v>
      </c>
      <c r="N117" t="s">
        <v>59</v>
      </c>
      <c r="O117">
        <v>4.2</v>
      </c>
      <c r="P117">
        <v>5354.15</v>
      </c>
      <c r="Q117">
        <v>900</v>
      </c>
      <c r="R117">
        <f>Table2_2[[#This Row],[cost]]*Table2_2[[#This Row],[Quantity]]</f>
        <v>900</v>
      </c>
      <c r="S117">
        <f>Table2_2[[#This Row],[revenue]]-Table2_2[[#This Row],[total_cost]]</f>
        <v>4454.1499999999996</v>
      </c>
    </row>
    <row r="118" spans="1:19" x14ac:dyDescent="0.3">
      <c r="A118" t="s">
        <v>967</v>
      </c>
      <c r="B118" s="10">
        <v>45392</v>
      </c>
      <c r="C118" s="10">
        <v>45392</v>
      </c>
      <c r="D118" t="s">
        <v>91</v>
      </c>
      <c r="E118" t="s">
        <v>585</v>
      </c>
      <c r="F118" t="s">
        <v>73</v>
      </c>
      <c r="G118" t="s">
        <v>29</v>
      </c>
      <c r="H118" t="s">
        <v>77</v>
      </c>
      <c r="I118">
        <v>1</v>
      </c>
      <c r="J118">
        <v>1651</v>
      </c>
      <c r="K118">
        <v>0</v>
      </c>
      <c r="L118" t="s">
        <v>38</v>
      </c>
      <c r="M118" t="s">
        <v>39</v>
      </c>
      <c r="N118" t="s">
        <v>59</v>
      </c>
      <c r="O118">
        <v>3.2</v>
      </c>
      <c r="P118">
        <v>1651</v>
      </c>
      <c r="Q118">
        <v>700</v>
      </c>
      <c r="R118">
        <f>Table2_2[[#This Row],[cost]]*Table2_2[[#This Row],[Quantity]]</f>
        <v>700</v>
      </c>
      <c r="S118">
        <f>Table2_2[[#This Row],[revenue]]-Table2_2[[#This Row],[total_cost]]</f>
        <v>951</v>
      </c>
    </row>
    <row r="119" spans="1:19" x14ac:dyDescent="0.3">
      <c r="A119" t="s">
        <v>867</v>
      </c>
      <c r="B119" s="10">
        <v>45384</v>
      </c>
      <c r="C119" s="10">
        <v>45384</v>
      </c>
      <c r="D119" t="s">
        <v>26</v>
      </c>
      <c r="E119" t="s">
        <v>856</v>
      </c>
      <c r="F119" t="s">
        <v>73</v>
      </c>
      <c r="G119" t="s">
        <v>37</v>
      </c>
      <c r="H119" t="s">
        <v>99</v>
      </c>
      <c r="I119">
        <v>1</v>
      </c>
      <c r="J119">
        <v>9510</v>
      </c>
      <c r="K119">
        <v>0.05</v>
      </c>
      <c r="L119" t="s">
        <v>31</v>
      </c>
      <c r="M119" t="s">
        <v>22</v>
      </c>
      <c r="N119" t="s">
        <v>48</v>
      </c>
      <c r="O119">
        <v>4.9000000000000004</v>
      </c>
      <c r="P119">
        <v>9034.5</v>
      </c>
      <c r="Q119">
        <v>1500</v>
      </c>
      <c r="R119">
        <f>Table2_2[[#This Row],[cost]]*Table2_2[[#This Row],[Quantity]]</f>
        <v>1500</v>
      </c>
      <c r="S119">
        <f>Table2_2[[#This Row],[revenue]]-Table2_2[[#This Row],[total_cost]]</f>
        <v>7534.5</v>
      </c>
    </row>
    <row r="120" spans="1:19" x14ac:dyDescent="0.3">
      <c r="A120" t="s">
        <v>86</v>
      </c>
      <c r="B120" s="10">
        <v>45128</v>
      </c>
      <c r="C120" s="10">
        <v>45128</v>
      </c>
      <c r="D120" t="s">
        <v>67</v>
      </c>
      <c r="E120" t="s">
        <v>384</v>
      </c>
      <c r="F120" t="s">
        <v>64</v>
      </c>
      <c r="G120" t="s">
        <v>29</v>
      </c>
      <c r="H120" t="s">
        <v>20</v>
      </c>
      <c r="I120">
        <v>2</v>
      </c>
      <c r="J120">
        <v>8655</v>
      </c>
      <c r="K120">
        <v>0.05</v>
      </c>
      <c r="L120" t="s">
        <v>38</v>
      </c>
      <c r="M120" t="s">
        <v>39</v>
      </c>
      <c r="N120" t="s">
        <v>48</v>
      </c>
      <c r="O120">
        <v>4.9000000000000004</v>
      </c>
      <c r="P120">
        <v>16444.5</v>
      </c>
      <c r="Q120">
        <v>1500</v>
      </c>
      <c r="R120">
        <f>Table2_2[[#This Row],[cost]]*Table2_2[[#This Row],[Quantity]]</f>
        <v>3000</v>
      </c>
      <c r="S120">
        <f>Table2_2[[#This Row],[revenue]]-Table2_2[[#This Row],[total_cost]]</f>
        <v>13444.5</v>
      </c>
    </row>
    <row r="121" spans="1:19" x14ac:dyDescent="0.3">
      <c r="A121" t="s">
        <v>986</v>
      </c>
      <c r="B121" s="10">
        <v>45326</v>
      </c>
      <c r="C121" s="10">
        <v>45326</v>
      </c>
      <c r="D121" t="s">
        <v>26</v>
      </c>
      <c r="E121" t="s">
        <v>76</v>
      </c>
      <c r="F121" t="s">
        <v>18</v>
      </c>
      <c r="G121" t="s">
        <v>37</v>
      </c>
      <c r="H121" t="s">
        <v>30</v>
      </c>
      <c r="I121">
        <v>4</v>
      </c>
      <c r="J121">
        <v>5953</v>
      </c>
      <c r="K121">
        <v>0.2</v>
      </c>
      <c r="L121" t="s">
        <v>38</v>
      </c>
      <c r="M121" t="s">
        <v>39</v>
      </c>
      <c r="N121" t="s">
        <v>23</v>
      </c>
      <c r="O121">
        <v>4</v>
      </c>
      <c r="P121">
        <v>19049.600000000002</v>
      </c>
      <c r="Q121">
        <v>1500</v>
      </c>
      <c r="R121">
        <f>Table2_2[[#This Row],[cost]]*Table2_2[[#This Row],[Quantity]]</f>
        <v>6000</v>
      </c>
      <c r="S121">
        <f>Table2_2[[#This Row],[revenue]]-Table2_2[[#This Row],[total_cost]]</f>
        <v>13049.600000000002</v>
      </c>
    </row>
    <row r="122" spans="1:19" x14ac:dyDescent="0.3">
      <c r="A122" t="s">
        <v>992</v>
      </c>
      <c r="B122" s="10">
        <v>45326</v>
      </c>
      <c r="C122" s="10">
        <v>45326</v>
      </c>
      <c r="D122" t="s">
        <v>26</v>
      </c>
      <c r="E122" t="s">
        <v>936</v>
      </c>
      <c r="F122" t="s">
        <v>18</v>
      </c>
      <c r="G122" t="s">
        <v>37</v>
      </c>
      <c r="H122" t="s">
        <v>77</v>
      </c>
      <c r="I122">
        <v>3</v>
      </c>
      <c r="J122">
        <v>5217</v>
      </c>
      <c r="K122">
        <v>0.15</v>
      </c>
      <c r="L122" t="s">
        <v>31</v>
      </c>
      <c r="M122" t="s">
        <v>22</v>
      </c>
      <c r="N122" t="s">
        <v>32</v>
      </c>
      <c r="O122">
        <v>4.8</v>
      </c>
      <c r="P122">
        <v>13303.35</v>
      </c>
      <c r="Q122">
        <v>1200</v>
      </c>
      <c r="R122">
        <f>Table2_2[[#This Row],[cost]]*Table2_2[[#This Row],[Quantity]]</f>
        <v>3600</v>
      </c>
      <c r="S122">
        <f>Table2_2[[#This Row],[revenue]]-Table2_2[[#This Row],[total_cost]]</f>
        <v>9703.35</v>
      </c>
    </row>
    <row r="123" spans="1:19" x14ac:dyDescent="0.3">
      <c r="A123" t="s">
        <v>999</v>
      </c>
      <c r="B123" s="10">
        <v>45185</v>
      </c>
      <c r="C123" s="10">
        <v>45185</v>
      </c>
      <c r="D123" t="s">
        <v>131</v>
      </c>
      <c r="E123" t="s">
        <v>1001</v>
      </c>
      <c r="F123" t="s">
        <v>18</v>
      </c>
      <c r="G123" t="s">
        <v>29</v>
      </c>
      <c r="H123" t="s">
        <v>30</v>
      </c>
      <c r="I123">
        <v>1</v>
      </c>
      <c r="J123">
        <v>6289</v>
      </c>
      <c r="K123">
        <v>0.1</v>
      </c>
      <c r="L123" t="s">
        <v>21</v>
      </c>
      <c r="M123" t="s">
        <v>39</v>
      </c>
      <c r="N123" t="s">
        <v>48</v>
      </c>
      <c r="O123">
        <v>4.5999999999999996</v>
      </c>
      <c r="P123">
        <v>5660.1</v>
      </c>
      <c r="Q123">
        <v>1500</v>
      </c>
      <c r="R123">
        <f>Table2_2[[#This Row],[cost]]*Table2_2[[#This Row],[Quantity]]</f>
        <v>1500</v>
      </c>
      <c r="S123">
        <f>Table2_2[[#This Row],[revenue]]-Table2_2[[#This Row],[total_cost]]</f>
        <v>4160.1000000000004</v>
      </c>
    </row>
    <row r="124" spans="1:19" x14ac:dyDescent="0.3">
      <c r="A124" t="s">
        <v>1005</v>
      </c>
      <c r="B124" s="10">
        <v>45436</v>
      </c>
      <c r="C124" s="10">
        <v>45436</v>
      </c>
      <c r="D124" t="s">
        <v>67</v>
      </c>
      <c r="E124" t="s">
        <v>1007</v>
      </c>
      <c r="F124" t="s">
        <v>57</v>
      </c>
      <c r="G124" t="s">
        <v>19</v>
      </c>
      <c r="H124" t="s">
        <v>99</v>
      </c>
      <c r="I124">
        <v>3</v>
      </c>
      <c r="J124">
        <v>3975</v>
      </c>
      <c r="K124">
        <v>0.15</v>
      </c>
      <c r="L124" t="s">
        <v>38</v>
      </c>
      <c r="M124" t="s">
        <v>22</v>
      </c>
      <c r="N124" t="s">
        <v>23</v>
      </c>
      <c r="O124">
        <v>4</v>
      </c>
      <c r="P124">
        <v>10136.25</v>
      </c>
      <c r="Q124">
        <v>1200</v>
      </c>
      <c r="R124">
        <f>Table2_2[[#This Row],[cost]]*Table2_2[[#This Row],[Quantity]]</f>
        <v>3600</v>
      </c>
      <c r="S124">
        <f>Table2_2[[#This Row],[revenue]]-Table2_2[[#This Row],[total_cost]]</f>
        <v>6536.25</v>
      </c>
    </row>
    <row r="125" spans="1:19" x14ac:dyDescent="0.3">
      <c r="A125" t="s">
        <v>1010</v>
      </c>
      <c r="B125" s="10">
        <v>45425</v>
      </c>
      <c r="C125" s="10">
        <v>45425</v>
      </c>
      <c r="D125" t="s">
        <v>131</v>
      </c>
      <c r="E125" t="s">
        <v>93</v>
      </c>
      <c r="F125" t="s">
        <v>64</v>
      </c>
      <c r="G125" t="s">
        <v>37</v>
      </c>
      <c r="H125" t="s">
        <v>20</v>
      </c>
      <c r="I125">
        <v>5</v>
      </c>
      <c r="J125">
        <v>8178</v>
      </c>
      <c r="K125">
        <v>0.2</v>
      </c>
      <c r="L125" t="s">
        <v>21</v>
      </c>
      <c r="M125" t="s">
        <v>39</v>
      </c>
      <c r="N125" t="s">
        <v>59</v>
      </c>
      <c r="O125">
        <v>4.9000000000000004</v>
      </c>
      <c r="P125">
        <v>32712</v>
      </c>
      <c r="Q125">
        <v>700</v>
      </c>
      <c r="R125">
        <f>Table2_2[[#This Row],[cost]]*Table2_2[[#This Row],[Quantity]]</f>
        <v>3500</v>
      </c>
      <c r="S125">
        <f>Table2_2[[#This Row],[revenue]]-Table2_2[[#This Row],[total_cost]]</f>
        <v>29212</v>
      </c>
    </row>
    <row r="126" spans="1:19" x14ac:dyDescent="0.3">
      <c r="A126" t="s">
        <v>1016</v>
      </c>
      <c r="B126" s="10">
        <v>45250</v>
      </c>
      <c r="C126" s="10">
        <v>45250</v>
      </c>
      <c r="D126" t="s">
        <v>91</v>
      </c>
      <c r="E126" t="s">
        <v>445</v>
      </c>
      <c r="F126" t="s">
        <v>57</v>
      </c>
      <c r="G126" t="s">
        <v>53</v>
      </c>
      <c r="H126" t="s">
        <v>77</v>
      </c>
      <c r="I126">
        <v>5</v>
      </c>
      <c r="J126">
        <v>2995</v>
      </c>
      <c r="K126">
        <v>0.2</v>
      </c>
      <c r="L126" t="s">
        <v>21</v>
      </c>
      <c r="M126" t="s">
        <v>39</v>
      </c>
      <c r="N126" t="s">
        <v>32</v>
      </c>
      <c r="O126">
        <v>4.9000000000000004</v>
      </c>
      <c r="P126">
        <v>11980</v>
      </c>
      <c r="Q126">
        <v>1500</v>
      </c>
      <c r="R126">
        <f>Table2_2[[#This Row],[cost]]*Table2_2[[#This Row],[Quantity]]</f>
        <v>7500</v>
      </c>
      <c r="S126">
        <f>Table2_2[[#This Row],[revenue]]-Table2_2[[#This Row],[total_cost]]</f>
        <v>4480</v>
      </c>
    </row>
    <row r="127" spans="1:19" x14ac:dyDescent="0.3">
      <c r="A127" t="s">
        <v>1022</v>
      </c>
      <c r="B127" s="10">
        <v>45156</v>
      </c>
      <c r="C127" s="10">
        <v>45156</v>
      </c>
      <c r="D127" t="s">
        <v>131</v>
      </c>
      <c r="E127" t="s">
        <v>1024</v>
      </c>
      <c r="F127" t="s">
        <v>73</v>
      </c>
      <c r="G127" t="s">
        <v>53</v>
      </c>
      <c r="H127" t="s">
        <v>77</v>
      </c>
      <c r="I127">
        <v>5</v>
      </c>
      <c r="J127">
        <v>9454</v>
      </c>
      <c r="K127">
        <v>0.2</v>
      </c>
      <c r="L127" t="s">
        <v>21</v>
      </c>
      <c r="M127" t="s">
        <v>22</v>
      </c>
      <c r="N127" t="s">
        <v>23</v>
      </c>
      <c r="O127">
        <v>3.8</v>
      </c>
      <c r="P127">
        <v>37816</v>
      </c>
      <c r="Q127">
        <v>500</v>
      </c>
      <c r="R127">
        <f>Table2_2[[#This Row],[cost]]*Table2_2[[#This Row],[Quantity]]</f>
        <v>2500</v>
      </c>
      <c r="S127">
        <f>Table2_2[[#This Row],[revenue]]-Table2_2[[#This Row],[total_cost]]</f>
        <v>35316</v>
      </c>
    </row>
    <row r="128" spans="1:19" x14ac:dyDescent="0.3">
      <c r="A128" t="s">
        <v>1028</v>
      </c>
      <c r="B128" s="10">
        <v>45599</v>
      </c>
      <c r="C128" s="10">
        <v>45599</v>
      </c>
      <c r="D128" t="s">
        <v>80</v>
      </c>
      <c r="E128" t="s">
        <v>550</v>
      </c>
      <c r="F128" t="s">
        <v>43</v>
      </c>
      <c r="G128" t="s">
        <v>53</v>
      </c>
      <c r="H128" t="s">
        <v>99</v>
      </c>
      <c r="I128">
        <v>4</v>
      </c>
      <c r="J128">
        <v>3882</v>
      </c>
      <c r="K128">
        <v>0.05</v>
      </c>
      <c r="L128" t="s">
        <v>31</v>
      </c>
      <c r="M128" t="s">
        <v>39</v>
      </c>
      <c r="N128" t="s">
        <v>32</v>
      </c>
      <c r="O128">
        <v>3.5</v>
      </c>
      <c r="P128">
        <v>14751.599999999999</v>
      </c>
      <c r="Q128">
        <v>700</v>
      </c>
      <c r="R128">
        <f>Table2_2[[#This Row],[cost]]*Table2_2[[#This Row],[Quantity]]</f>
        <v>2800</v>
      </c>
      <c r="S128">
        <f>Table2_2[[#This Row],[revenue]]-Table2_2[[#This Row],[total_cost]]</f>
        <v>11951.599999999999</v>
      </c>
    </row>
    <row r="129" spans="1:19" x14ac:dyDescent="0.3">
      <c r="A129" t="s">
        <v>1030</v>
      </c>
      <c r="B129" s="10">
        <v>45626</v>
      </c>
      <c r="C129" s="10">
        <v>45626</v>
      </c>
      <c r="D129" t="s">
        <v>67</v>
      </c>
      <c r="E129" t="s">
        <v>914</v>
      </c>
      <c r="F129" t="s">
        <v>43</v>
      </c>
      <c r="G129" t="s">
        <v>29</v>
      </c>
      <c r="H129" t="s">
        <v>77</v>
      </c>
      <c r="I129">
        <v>3</v>
      </c>
      <c r="J129">
        <v>4917</v>
      </c>
      <c r="K129">
        <v>0.2</v>
      </c>
      <c r="L129" t="s">
        <v>21</v>
      </c>
      <c r="M129" t="s">
        <v>22</v>
      </c>
      <c r="N129" t="s">
        <v>23</v>
      </c>
      <c r="O129">
        <v>3.2</v>
      </c>
      <c r="P129">
        <v>11800.800000000001</v>
      </c>
      <c r="Q129">
        <v>700</v>
      </c>
      <c r="R129">
        <f>Table2_2[[#This Row],[cost]]*Table2_2[[#This Row],[Quantity]]</f>
        <v>2100</v>
      </c>
      <c r="S129">
        <f>Table2_2[[#This Row],[revenue]]-Table2_2[[#This Row],[total_cost]]</f>
        <v>9700.8000000000011</v>
      </c>
    </row>
    <row r="130" spans="1:19" x14ac:dyDescent="0.3">
      <c r="A130" t="s">
        <v>1041</v>
      </c>
      <c r="B130" s="10">
        <v>45591</v>
      </c>
      <c r="C130" s="10">
        <v>45591</v>
      </c>
      <c r="D130" t="s">
        <v>62</v>
      </c>
      <c r="E130" t="s">
        <v>1043</v>
      </c>
      <c r="F130" t="s">
        <v>28</v>
      </c>
      <c r="G130" t="s">
        <v>19</v>
      </c>
      <c r="H130" t="s">
        <v>20</v>
      </c>
      <c r="I130">
        <v>5</v>
      </c>
      <c r="J130">
        <v>7143</v>
      </c>
      <c r="K130">
        <v>0</v>
      </c>
      <c r="L130" t="s">
        <v>21</v>
      </c>
      <c r="M130" t="s">
        <v>39</v>
      </c>
      <c r="N130" t="s">
        <v>23</v>
      </c>
      <c r="O130">
        <v>4.9000000000000004</v>
      </c>
      <c r="P130">
        <v>35715</v>
      </c>
      <c r="Q130">
        <v>1500</v>
      </c>
      <c r="R130">
        <f>Table2_2[[#This Row],[cost]]*Table2_2[[#This Row],[Quantity]]</f>
        <v>7500</v>
      </c>
      <c r="S130">
        <f>Table2_2[[#This Row],[revenue]]-Table2_2[[#This Row],[total_cost]]</f>
        <v>28215</v>
      </c>
    </row>
    <row r="131" spans="1:19" x14ac:dyDescent="0.3">
      <c r="A131" t="s">
        <v>1056</v>
      </c>
      <c r="B131" s="10">
        <v>45321</v>
      </c>
      <c r="C131" s="10">
        <v>45321</v>
      </c>
      <c r="D131" t="s">
        <v>51</v>
      </c>
      <c r="E131" t="s">
        <v>157</v>
      </c>
      <c r="F131" t="s">
        <v>28</v>
      </c>
      <c r="G131" t="s">
        <v>37</v>
      </c>
      <c r="H131" t="s">
        <v>20</v>
      </c>
      <c r="I131">
        <v>3</v>
      </c>
      <c r="J131">
        <v>8627</v>
      </c>
      <c r="K131">
        <v>0.15</v>
      </c>
      <c r="L131" t="s">
        <v>58</v>
      </c>
      <c r="M131" t="s">
        <v>22</v>
      </c>
      <c r="N131" t="s">
        <v>59</v>
      </c>
      <c r="O131">
        <v>3.7</v>
      </c>
      <c r="P131">
        <v>21998.85</v>
      </c>
      <c r="Q131">
        <v>900</v>
      </c>
      <c r="R131">
        <f>Table2_2[[#This Row],[cost]]*Table2_2[[#This Row],[Quantity]]</f>
        <v>2700</v>
      </c>
      <c r="S131">
        <f>Table2_2[[#This Row],[revenue]]-Table2_2[[#This Row],[total_cost]]</f>
        <v>19298.849999999999</v>
      </c>
    </row>
    <row r="132" spans="1:19" x14ac:dyDescent="0.3">
      <c r="A132" t="s">
        <v>1069</v>
      </c>
      <c r="B132" s="10">
        <v>45482</v>
      </c>
      <c r="C132" s="10">
        <v>45482</v>
      </c>
      <c r="D132" t="s">
        <v>62</v>
      </c>
      <c r="E132" t="s">
        <v>357</v>
      </c>
      <c r="F132" t="s">
        <v>73</v>
      </c>
      <c r="G132" t="s">
        <v>37</v>
      </c>
      <c r="H132" t="s">
        <v>30</v>
      </c>
      <c r="I132">
        <v>4</v>
      </c>
      <c r="J132">
        <v>6645</v>
      </c>
      <c r="K132">
        <v>0.2</v>
      </c>
      <c r="L132" t="s">
        <v>31</v>
      </c>
      <c r="M132" t="s">
        <v>39</v>
      </c>
      <c r="N132" t="s">
        <v>23</v>
      </c>
      <c r="O132">
        <v>3.2</v>
      </c>
      <c r="P132">
        <v>21264</v>
      </c>
      <c r="Q132">
        <v>1200</v>
      </c>
      <c r="R132">
        <f>Table2_2[[#This Row],[cost]]*Table2_2[[#This Row],[Quantity]]</f>
        <v>4800</v>
      </c>
      <c r="S132">
        <f>Table2_2[[#This Row],[revenue]]-Table2_2[[#This Row],[total_cost]]</f>
        <v>16464</v>
      </c>
    </row>
    <row r="133" spans="1:19" x14ac:dyDescent="0.3">
      <c r="A133" t="s">
        <v>1080</v>
      </c>
      <c r="B133" s="10">
        <v>44933</v>
      </c>
      <c r="C133" s="10">
        <v>44933</v>
      </c>
      <c r="D133" t="s">
        <v>114</v>
      </c>
      <c r="E133" t="s">
        <v>240</v>
      </c>
      <c r="F133" t="s">
        <v>73</v>
      </c>
      <c r="G133" t="s">
        <v>19</v>
      </c>
      <c r="H133" t="s">
        <v>77</v>
      </c>
      <c r="I133">
        <v>1</v>
      </c>
      <c r="J133">
        <v>5896</v>
      </c>
      <c r="K133">
        <v>0.1</v>
      </c>
      <c r="L133" t="s">
        <v>31</v>
      </c>
      <c r="M133" t="s">
        <v>22</v>
      </c>
      <c r="N133" t="s">
        <v>32</v>
      </c>
      <c r="O133">
        <v>3.2</v>
      </c>
      <c r="P133">
        <v>5306.4000000000005</v>
      </c>
      <c r="Q133">
        <v>500</v>
      </c>
      <c r="R133">
        <f>Table2_2[[#This Row],[cost]]*Table2_2[[#This Row],[Quantity]]</f>
        <v>500</v>
      </c>
      <c r="S133">
        <f>Table2_2[[#This Row],[revenue]]-Table2_2[[#This Row],[total_cost]]</f>
        <v>4806.4000000000005</v>
      </c>
    </row>
    <row r="134" spans="1:19" x14ac:dyDescent="0.3">
      <c r="A134" t="s">
        <v>94</v>
      </c>
      <c r="B134" s="10">
        <v>44927</v>
      </c>
      <c r="C134" s="10">
        <v>44927</v>
      </c>
      <c r="D134" t="s">
        <v>84</v>
      </c>
      <c r="E134" t="s">
        <v>936</v>
      </c>
      <c r="F134" t="s">
        <v>28</v>
      </c>
      <c r="G134" t="s">
        <v>19</v>
      </c>
      <c r="H134" t="s">
        <v>77</v>
      </c>
      <c r="I134">
        <v>1</v>
      </c>
      <c r="J134">
        <v>9076</v>
      </c>
      <c r="K134">
        <v>0</v>
      </c>
      <c r="L134" t="s">
        <v>58</v>
      </c>
      <c r="M134" t="s">
        <v>39</v>
      </c>
      <c r="N134" t="s">
        <v>32</v>
      </c>
      <c r="O134">
        <v>3.9</v>
      </c>
      <c r="P134">
        <v>9076</v>
      </c>
      <c r="Q134">
        <v>1200</v>
      </c>
      <c r="R134">
        <f>Table2_2[[#This Row],[cost]]*Table2_2[[#This Row],[Quantity]]</f>
        <v>1200</v>
      </c>
      <c r="S134">
        <f>Table2_2[[#This Row],[revenue]]-Table2_2[[#This Row],[total_cost]]</f>
        <v>7876</v>
      </c>
    </row>
    <row r="135" spans="1:19" x14ac:dyDescent="0.3">
      <c r="A135" t="s">
        <v>1088</v>
      </c>
      <c r="B135" s="10">
        <v>45359</v>
      </c>
      <c r="C135" s="10">
        <v>45359</v>
      </c>
      <c r="D135" t="s">
        <v>80</v>
      </c>
      <c r="E135" t="s">
        <v>154</v>
      </c>
      <c r="F135" t="s">
        <v>28</v>
      </c>
      <c r="G135" t="s">
        <v>53</v>
      </c>
      <c r="H135" t="s">
        <v>77</v>
      </c>
      <c r="I135">
        <v>2</v>
      </c>
      <c r="J135">
        <v>7954</v>
      </c>
      <c r="K135">
        <v>0</v>
      </c>
      <c r="L135" t="s">
        <v>31</v>
      </c>
      <c r="M135" t="s">
        <v>22</v>
      </c>
      <c r="N135" t="s">
        <v>48</v>
      </c>
      <c r="O135">
        <v>4.3</v>
      </c>
      <c r="P135">
        <v>15908</v>
      </c>
      <c r="Q135">
        <v>900</v>
      </c>
      <c r="R135">
        <f>Table2_2[[#This Row],[cost]]*Table2_2[[#This Row],[Quantity]]</f>
        <v>1800</v>
      </c>
      <c r="S135">
        <f>Table2_2[[#This Row],[revenue]]-Table2_2[[#This Row],[total_cost]]</f>
        <v>14108</v>
      </c>
    </row>
    <row r="136" spans="1:19" x14ac:dyDescent="0.3">
      <c r="A136" t="s">
        <v>1090</v>
      </c>
      <c r="B136" s="10">
        <v>44974</v>
      </c>
      <c r="C136" s="10">
        <v>44974</v>
      </c>
      <c r="D136" t="s">
        <v>46</v>
      </c>
      <c r="E136" t="s">
        <v>903</v>
      </c>
      <c r="F136" t="s">
        <v>57</v>
      </c>
      <c r="G136" t="s">
        <v>53</v>
      </c>
      <c r="H136" t="s">
        <v>20</v>
      </c>
      <c r="I136">
        <v>2</v>
      </c>
      <c r="J136">
        <v>7912</v>
      </c>
      <c r="K136">
        <v>0.1</v>
      </c>
      <c r="L136" t="s">
        <v>31</v>
      </c>
      <c r="M136" t="s">
        <v>39</v>
      </c>
      <c r="N136" t="s">
        <v>48</v>
      </c>
      <c r="O136">
        <v>4.5999999999999996</v>
      </c>
      <c r="P136">
        <v>14241.6</v>
      </c>
      <c r="Q136">
        <v>1500</v>
      </c>
      <c r="R136">
        <f>Table2_2[[#This Row],[cost]]*Table2_2[[#This Row],[Quantity]]</f>
        <v>3000</v>
      </c>
      <c r="S136">
        <f>Table2_2[[#This Row],[revenue]]-Table2_2[[#This Row],[total_cost]]</f>
        <v>11241.6</v>
      </c>
    </row>
    <row r="137" spans="1:19" x14ac:dyDescent="0.3">
      <c r="A137" t="s">
        <v>1094</v>
      </c>
      <c r="B137" s="10">
        <v>45581</v>
      </c>
      <c r="C137" s="10">
        <v>45581</v>
      </c>
      <c r="D137" t="s">
        <v>62</v>
      </c>
      <c r="E137" t="s">
        <v>758</v>
      </c>
      <c r="F137" t="s">
        <v>57</v>
      </c>
      <c r="G137" t="s">
        <v>37</v>
      </c>
      <c r="H137" t="s">
        <v>77</v>
      </c>
      <c r="I137">
        <v>2</v>
      </c>
      <c r="J137">
        <v>9019</v>
      </c>
      <c r="K137">
        <v>0.05</v>
      </c>
      <c r="L137" t="s">
        <v>21</v>
      </c>
      <c r="M137" t="s">
        <v>39</v>
      </c>
      <c r="N137" t="s">
        <v>23</v>
      </c>
      <c r="O137">
        <v>4.8</v>
      </c>
      <c r="P137">
        <v>17136.099999999999</v>
      </c>
      <c r="Q137">
        <v>1500</v>
      </c>
      <c r="R137">
        <f>Table2_2[[#This Row],[cost]]*Table2_2[[#This Row],[Quantity]]</f>
        <v>3000</v>
      </c>
      <c r="S137">
        <f>Table2_2[[#This Row],[revenue]]-Table2_2[[#This Row],[total_cost]]</f>
        <v>14136.099999999999</v>
      </c>
    </row>
    <row r="138" spans="1:19" x14ac:dyDescent="0.3">
      <c r="A138" t="s">
        <v>1095</v>
      </c>
      <c r="B138" s="10">
        <v>45606</v>
      </c>
      <c r="C138" s="10">
        <v>45606</v>
      </c>
      <c r="D138" t="s">
        <v>67</v>
      </c>
      <c r="E138" t="s">
        <v>1097</v>
      </c>
      <c r="F138" t="s">
        <v>98</v>
      </c>
      <c r="G138" t="s">
        <v>29</v>
      </c>
      <c r="H138" t="s">
        <v>20</v>
      </c>
      <c r="I138">
        <v>2</v>
      </c>
      <c r="J138">
        <v>2001</v>
      </c>
      <c r="K138">
        <v>0.2</v>
      </c>
      <c r="L138" t="s">
        <v>31</v>
      </c>
      <c r="M138" t="s">
        <v>22</v>
      </c>
      <c r="N138" t="s">
        <v>32</v>
      </c>
      <c r="O138">
        <v>4.9000000000000004</v>
      </c>
      <c r="P138">
        <v>3201.6000000000004</v>
      </c>
      <c r="Q138">
        <v>1500</v>
      </c>
      <c r="R138">
        <f>Table2_2[[#This Row],[cost]]*Table2_2[[#This Row],[Quantity]]</f>
        <v>3000</v>
      </c>
      <c r="S138">
        <f>Table2_2[[#This Row],[revenue]]-Table2_2[[#This Row],[total_cost]]</f>
        <v>201.60000000000036</v>
      </c>
    </row>
    <row r="139" spans="1:19" x14ac:dyDescent="0.3">
      <c r="A139" t="s">
        <v>1106</v>
      </c>
      <c r="B139" s="10">
        <v>44929</v>
      </c>
      <c r="C139" s="10">
        <v>44929</v>
      </c>
      <c r="D139" t="s">
        <v>67</v>
      </c>
      <c r="E139" t="s">
        <v>1108</v>
      </c>
      <c r="F139" t="s">
        <v>28</v>
      </c>
      <c r="G139" t="s">
        <v>37</v>
      </c>
      <c r="H139" t="s">
        <v>77</v>
      </c>
      <c r="I139">
        <v>4</v>
      </c>
      <c r="J139">
        <v>4144</v>
      </c>
      <c r="K139">
        <v>0.2</v>
      </c>
      <c r="L139" t="s">
        <v>21</v>
      </c>
      <c r="M139" t="s">
        <v>22</v>
      </c>
      <c r="N139" t="s">
        <v>59</v>
      </c>
      <c r="O139">
        <v>4</v>
      </c>
      <c r="P139">
        <v>13260.800000000001</v>
      </c>
      <c r="Q139">
        <v>700</v>
      </c>
      <c r="R139">
        <f>Table2_2[[#This Row],[cost]]*Table2_2[[#This Row],[Quantity]]</f>
        <v>2800</v>
      </c>
      <c r="S139">
        <f>Table2_2[[#This Row],[revenue]]-Table2_2[[#This Row],[total_cost]]</f>
        <v>10460.800000000001</v>
      </c>
    </row>
    <row r="140" spans="1:19" x14ac:dyDescent="0.3">
      <c r="A140" t="s">
        <v>1119</v>
      </c>
      <c r="B140" s="10">
        <v>45640</v>
      </c>
      <c r="C140" s="10">
        <v>45640</v>
      </c>
      <c r="D140" t="s">
        <v>51</v>
      </c>
      <c r="E140" t="s">
        <v>1121</v>
      </c>
      <c r="F140" t="s">
        <v>98</v>
      </c>
      <c r="G140" t="s">
        <v>29</v>
      </c>
      <c r="H140" t="s">
        <v>20</v>
      </c>
      <c r="I140">
        <v>5</v>
      </c>
      <c r="J140">
        <v>4119</v>
      </c>
      <c r="K140">
        <v>0.05</v>
      </c>
      <c r="L140" t="s">
        <v>58</v>
      </c>
      <c r="M140" t="s">
        <v>39</v>
      </c>
      <c r="N140" t="s">
        <v>59</v>
      </c>
      <c r="O140">
        <v>3.9</v>
      </c>
      <c r="P140">
        <v>19565.25</v>
      </c>
      <c r="Q140">
        <v>1500</v>
      </c>
      <c r="R140">
        <f>Table2_2[[#This Row],[cost]]*Table2_2[[#This Row],[Quantity]]</f>
        <v>7500</v>
      </c>
      <c r="S140">
        <f>Table2_2[[#This Row],[revenue]]-Table2_2[[#This Row],[total_cost]]</f>
        <v>12065.25</v>
      </c>
    </row>
    <row r="141" spans="1:19" x14ac:dyDescent="0.3">
      <c r="A141" t="s">
        <v>1125</v>
      </c>
      <c r="B141" s="10">
        <v>45132</v>
      </c>
      <c r="C141" s="10">
        <v>45132</v>
      </c>
      <c r="D141" t="s">
        <v>16</v>
      </c>
      <c r="E141" t="s">
        <v>560</v>
      </c>
      <c r="F141" t="s">
        <v>73</v>
      </c>
      <c r="G141" t="s">
        <v>53</v>
      </c>
      <c r="H141" t="s">
        <v>30</v>
      </c>
      <c r="I141">
        <v>4</v>
      </c>
      <c r="J141">
        <v>5008</v>
      </c>
      <c r="K141">
        <v>0.1</v>
      </c>
      <c r="L141" t="s">
        <v>31</v>
      </c>
      <c r="M141" t="s">
        <v>39</v>
      </c>
      <c r="N141" t="s">
        <v>48</v>
      </c>
      <c r="O141">
        <v>3.4</v>
      </c>
      <c r="P141">
        <v>18028.8</v>
      </c>
      <c r="Q141">
        <v>500</v>
      </c>
      <c r="R141">
        <f>Table2_2[[#This Row],[cost]]*Table2_2[[#This Row],[Quantity]]</f>
        <v>2000</v>
      </c>
      <c r="S141">
        <f>Table2_2[[#This Row],[revenue]]-Table2_2[[#This Row],[total_cost]]</f>
        <v>16028.8</v>
      </c>
    </row>
    <row r="142" spans="1:19" x14ac:dyDescent="0.3">
      <c r="A142" t="s">
        <v>1143</v>
      </c>
      <c r="B142" s="10">
        <v>45575</v>
      </c>
      <c r="C142" s="10">
        <v>45575</v>
      </c>
      <c r="D142" t="s">
        <v>127</v>
      </c>
      <c r="E142" t="s">
        <v>640</v>
      </c>
      <c r="F142" t="s">
        <v>43</v>
      </c>
      <c r="G142" t="s">
        <v>37</v>
      </c>
      <c r="H142" t="s">
        <v>77</v>
      </c>
      <c r="I142">
        <v>5</v>
      </c>
      <c r="J142">
        <v>5145</v>
      </c>
      <c r="K142">
        <v>0.05</v>
      </c>
      <c r="L142" t="s">
        <v>38</v>
      </c>
      <c r="M142" t="s">
        <v>39</v>
      </c>
      <c r="N142" t="s">
        <v>23</v>
      </c>
      <c r="O142">
        <v>4.5</v>
      </c>
      <c r="P142">
        <v>24438.75</v>
      </c>
      <c r="Q142">
        <v>900</v>
      </c>
      <c r="R142">
        <f>Table2_2[[#This Row],[cost]]*Table2_2[[#This Row],[Quantity]]</f>
        <v>4500</v>
      </c>
      <c r="S142">
        <f>Table2_2[[#This Row],[revenue]]-Table2_2[[#This Row],[total_cost]]</f>
        <v>19938.75</v>
      </c>
    </row>
    <row r="143" spans="1:19" x14ac:dyDescent="0.3">
      <c r="A143" t="s">
        <v>1145</v>
      </c>
      <c r="B143" s="10">
        <v>45208</v>
      </c>
      <c r="C143" s="10">
        <v>45208</v>
      </c>
      <c r="D143" t="s">
        <v>71</v>
      </c>
      <c r="E143" t="s">
        <v>629</v>
      </c>
      <c r="F143" t="s">
        <v>18</v>
      </c>
      <c r="G143" t="s">
        <v>37</v>
      </c>
      <c r="H143" t="s">
        <v>20</v>
      </c>
      <c r="I143">
        <v>2</v>
      </c>
      <c r="J143">
        <v>9008</v>
      </c>
      <c r="K143">
        <v>0.2</v>
      </c>
      <c r="L143" t="s">
        <v>58</v>
      </c>
      <c r="M143" t="s">
        <v>22</v>
      </c>
      <c r="N143" t="s">
        <v>23</v>
      </c>
      <c r="O143">
        <v>3.2</v>
      </c>
      <c r="P143">
        <v>14412.800000000001</v>
      </c>
      <c r="Q143">
        <v>900</v>
      </c>
      <c r="R143">
        <f>Table2_2[[#This Row],[cost]]*Table2_2[[#This Row],[Quantity]]</f>
        <v>1800</v>
      </c>
      <c r="S143">
        <f>Table2_2[[#This Row],[revenue]]-Table2_2[[#This Row],[total_cost]]</f>
        <v>12612.800000000001</v>
      </c>
    </row>
    <row r="144" spans="1:19" x14ac:dyDescent="0.3">
      <c r="A144" t="s">
        <v>1149</v>
      </c>
      <c r="B144" s="10">
        <v>45367</v>
      </c>
      <c r="C144" s="10">
        <v>45367</v>
      </c>
      <c r="D144" t="s">
        <v>62</v>
      </c>
      <c r="E144" t="s">
        <v>1151</v>
      </c>
      <c r="F144" t="s">
        <v>28</v>
      </c>
      <c r="G144" t="s">
        <v>19</v>
      </c>
      <c r="H144" t="s">
        <v>99</v>
      </c>
      <c r="I144">
        <v>5</v>
      </c>
      <c r="J144">
        <v>6564</v>
      </c>
      <c r="K144">
        <v>0.1</v>
      </c>
      <c r="L144" t="s">
        <v>31</v>
      </c>
      <c r="M144" t="s">
        <v>39</v>
      </c>
      <c r="N144" t="s">
        <v>23</v>
      </c>
      <c r="O144">
        <v>4.4000000000000004</v>
      </c>
      <c r="P144">
        <v>29538</v>
      </c>
      <c r="Q144">
        <v>700</v>
      </c>
      <c r="R144">
        <f>Table2_2[[#This Row],[cost]]*Table2_2[[#This Row],[Quantity]]</f>
        <v>3500</v>
      </c>
      <c r="S144">
        <f>Table2_2[[#This Row],[revenue]]-Table2_2[[#This Row],[total_cost]]</f>
        <v>26038</v>
      </c>
    </row>
    <row r="145" spans="1:19" x14ac:dyDescent="0.3">
      <c r="A145" t="s">
        <v>1152</v>
      </c>
      <c r="B145" s="10">
        <v>44954</v>
      </c>
      <c r="C145" s="10">
        <v>44954</v>
      </c>
      <c r="D145" t="s">
        <v>26</v>
      </c>
      <c r="E145" t="s">
        <v>1027</v>
      </c>
      <c r="F145" t="s">
        <v>73</v>
      </c>
      <c r="G145" t="s">
        <v>19</v>
      </c>
      <c r="H145" t="s">
        <v>20</v>
      </c>
      <c r="I145">
        <v>1</v>
      </c>
      <c r="J145">
        <v>6761</v>
      </c>
      <c r="K145">
        <v>0.05</v>
      </c>
      <c r="L145" t="s">
        <v>38</v>
      </c>
      <c r="M145" t="s">
        <v>39</v>
      </c>
      <c r="N145" t="s">
        <v>32</v>
      </c>
      <c r="O145">
        <v>5</v>
      </c>
      <c r="P145">
        <v>6422.95</v>
      </c>
      <c r="Q145">
        <v>1500</v>
      </c>
      <c r="R145">
        <f>Table2_2[[#This Row],[cost]]*Table2_2[[#This Row],[Quantity]]</f>
        <v>1500</v>
      </c>
      <c r="S145">
        <f>Table2_2[[#This Row],[revenue]]-Table2_2[[#This Row],[total_cost]]</f>
        <v>4922.95</v>
      </c>
    </row>
    <row r="146" spans="1:19" x14ac:dyDescent="0.3">
      <c r="A146" t="s">
        <v>1156</v>
      </c>
      <c r="B146" s="10">
        <v>45228</v>
      </c>
      <c r="C146" s="10">
        <v>45228</v>
      </c>
      <c r="D146" t="s">
        <v>80</v>
      </c>
      <c r="E146" t="s">
        <v>909</v>
      </c>
      <c r="F146" t="s">
        <v>57</v>
      </c>
      <c r="G146" t="s">
        <v>29</v>
      </c>
      <c r="H146" t="s">
        <v>77</v>
      </c>
      <c r="I146">
        <v>3</v>
      </c>
      <c r="J146">
        <v>8650</v>
      </c>
      <c r="K146">
        <v>0.15</v>
      </c>
      <c r="L146" t="s">
        <v>31</v>
      </c>
      <c r="M146" t="s">
        <v>39</v>
      </c>
      <c r="N146" t="s">
        <v>59</v>
      </c>
      <c r="O146">
        <v>4.7</v>
      </c>
      <c r="P146">
        <v>22057.5</v>
      </c>
      <c r="Q146">
        <v>1200</v>
      </c>
      <c r="R146">
        <f>Table2_2[[#This Row],[cost]]*Table2_2[[#This Row],[Quantity]]</f>
        <v>3600</v>
      </c>
      <c r="S146">
        <f>Table2_2[[#This Row],[revenue]]-Table2_2[[#This Row],[total_cost]]</f>
        <v>18457.5</v>
      </c>
    </row>
    <row r="147" spans="1:19" x14ac:dyDescent="0.3">
      <c r="A147" t="s">
        <v>1175</v>
      </c>
      <c r="B147" s="10">
        <v>45029</v>
      </c>
      <c r="C147" s="10">
        <v>45029</v>
      </c>
      <c r="D147" t="s">
        <v>71</v>
      </c>
      <c r="E147" t="s">
        <v>1043</v>
      </c>
      <c r="F147" t="s">
        <v>43</v>
      </c>
      <c r="G147" t="s">
        <v>29</v>
      </c>
      <c r="H147" t="s">
        <v>20</v>
      </c>
      <c r="I147">
        <v>2</v>
      </c>
      <c r="J147">
        <v>9359</v>
      </c>
      <c r="K147">
        <v>0</v>
      </c>
      <c r="L147" t="s">
        <v>31</v>
      </c>
      <c r="M147" t="s">
        <v>39</v>
      </c>
      <c r="N147" t="s">
        <v>32</v>
      </c>
      <c r="O147">
        <v>5</v>
      </c>
      <c r="P147">
        <v>18718</v>
      </c>
      <c r="Q147">
        <v>1500</v>
      </c>
      <c r="R147">
        <f>Table2_2[[#This Row],[cost]]*Table2_2[[#This Row],[Quantity]]</f>
        <v>3000</v>
      </c>
      <c r="S147">
        <f>Table2_2[[#This Row],[revenue]]-Table2_2[[#This Row],[total_cost]]</f>
        <v>15718</v>
      </c>
    </row>
    <row r="148" spans="1:19" x14ac:dyDescent="0.3">
      <c r="A148" t="s">
        <v>1177</v>
      </c>
      <c r="B148" s="10">
        <v>45160</v>
      </c>
      <c r="C148" s="10">
        <v>45160</v>
      </c>
      <c r="D148" t="s">
        <v>46</v>
      </c>
      <c r="E148" t="s">
        <v>1179</v>
      </c>
      <c r="F148" t="s">
        <v>28</v>
      </c>
      <c r="G148" t="s">
        <v>37</v>
      </c>
      <c r="H148" t="s">
        <v>20</v>
      </c>
      <c r="I148">
        <v>2</v>
      </c>
      <c r="J148">
        <v>8586</v>
      </c>
      <c r="K148">
        <v>0.2</v>
      </c>
      <c r="L148" t="s">
        <v>31</v>
      </c>
      <c r="M148" t="s">
        <v>39</v>
      </c>
      <c r="N148" t="s">
        <v>59</v>
      </c>
      <c r="O148">
        <v>4.8</v>
      </c>
      <c r="P148">
        <v>13737.6</v>
      </c>
      <c r="Q148">
        <v>1200</v>
      </c>
      <c r="R148">
        <f>Table2_2[[#This Row],[cost]]*Table2_2[[#This Row],[Quantity]]</f>
        <v>2400</v>
      </c>
      <c r="S148">
        <f>Table2_2[[#This Row],[revenue]]-Table2_2[[#This Row],[total_cost]]</f>
        <v>11337.6</v>
      </c>
    </row>
    <row r="149" spans="1:19" x14ac:dyDescent="0.3">
      <c r="A149" t="s">
        <v>1182</v>
      </c>
      <c r="B149" s="10">
        <v>45200</v>
      </c>
      <c r="C149" s="10">
        <v>45200</v>
      </c>
      <c r="D149" t="s">
        <v>62</v>
      </c>
      <c r="E149" t="s">
        <v>187</v>
      </c>
      <c r="F149" t="s">
        <v>57</v>
      </c>
      <c r="G149" t="s">
        <v>19</v>
      </c>
      <c r="H149" t="s">
        <v>99</v>
      </c>
      <c r="I149">
        <v>3</v>
      </c>
      <c r="J149">
        <v>6174</v>
      </c>
      <c r="K149">
        <v>0.1</v>
      </c>
      <c r="L149" t="s">
        <v>38</v>
      </c>
      <c r="M149" t="s">
        <v>39</v>
      </c>
      <c r="N149" t="s">
        <v>32</v>
      </c>
      <c r="O149">
        <v>3.9</v>
      </c>
      <c r="P149">
        <v>16669.8</v>
      </c>
      <c r="Q149">
        <v>500</v>
      </c>
      <c r="R149">
        <f>Table2_2[[#This Row],[cost]]*Table2_2[[#This Row],[Quantity]]</f>
        <v>1500</v>
      </c>
      <c r="S149">
        <f>Table2_2[[#This Row],[revenue]]-Table2_2[[#This Row],[total_cost]]</f>
        <v>15169.8</v>
      </c>
    </row>
    <row r="150" spans="1:19" x14ac:dyDescent="0.3">
      <c r="A150" t="s">
        <v>1184</v>
      </c>
      <c r="B150" s="10">
        <v>45413</v>
      </c>
      <c r="C150" s="10">
        <v>45413</v>
      </c>
      <c r="D150" t="s">
        <v>96</v>
      </c>
      <c r="E150" t="s">
        <v>557</v>
      </c>
      <c r="F150" t="s">
        <v>43</v>
      </c>
      <c r="G150" t="s">
        <v>19</v>
      </c>
      <c r="H150" t="s">
        <v>20</v>
      </c>
      <c r="I150">
        <v>3</v>
      </c>
      <c r="J150">
        <v>9895</v>
      </c>
      <c r="K150">
        <v>0.15</v>
      </c>
      <c r="L150" t="s">
        <v>38</v>
      </c>
      <c r="M150" t="s">
        <v>22</v>
      </c>
      <c r="N150" t="s">
        <v>23</v>
      </c>
      <c r="O150">
        <v>3.2</v>
      </c>
      <c r="P150">
        <v>25232.25</v>
      </c>
      <c r="Q150">
        <v>1500</v>
      </c>
      <c r="R150">
        <f>Table2_2[[#This Row],[cost]]*Table2_2[[#This Row],[Quantity]]</f>
        <v>4500</v>
      </c>
      <c r="S150">
        <f>Table2_2[[#This Row],[revenue]]-Table2_2[[#This Row],[total_cost]]</f>
        <v>20732.25</v>
      </c>
    </row>
    <row r="151" spans="1:19" x14ac:dyDescent="0.3">
      <c r="A151" t="s">
        <v>1194</v>
      </c>
      <c r="B151" s="10">
        <v>45006</v>
      </c>
      <c r="C151" s="10">
        <v>45006</v>
      </c>
      <c r="D151" t="s">
        <v>67</v>
      </c>
      <c r="E151" t="s">
        <v>629</v>
      </c>
      <c r="F151" t="s">
        <v>43</v>
      </c>
      <c r="G151" t="s">
        <v>29</v>
      </c>
      <c r="H151" t="s">
        <v>20</v>
      </c>
      <c r="I151">
        <v>1</v>
      </c>
      <c r="J151">
        <v>6050</v>
      </c>
      <c r="K151">
        <v>0.2</v>
      </c>
      <c r="L151" t="s">
        <v>21</v>
      </c>
      <c r="M151" t="s">
        <v>39</v>
      </c>
      <c r="N151" t="s">
        <v>23</v>
      </c>
      <c r="O151">
        <v>4.5</v>
      </c>
      <c r="P151">
        <v>4840</v>
      </c>
      <c r="Q151">
        <v>900</v>
      </c>
      <c r="R151">
        <f>Table2_2[[#This Row],[cost]]*Table2_2[[#This Row],[Quantity]]</f>
        <v>900</v>
      </c>
      <c r="S151">
        <f>Table2_2[[#This Row],[revenue]]-Table2_2[[#This Row],[total_cost]]</f>
        <v>3940</v>
      </c>
    </row>
    <row r="152" spans="1:19" x14ac:dyDescent="0.3">
      <c r="A152" t="s">
        <v>1205</v>
      </c>
      <c r="B152" s="10">
        <v>45170</v>
      </c>
      <c r="C152" s="10">
        <v>45170</v>
      </c>
      <c r="D152" t="s">
        <v>114</v>
      </c>
      <c r="E152" t="s">
        <v>445</v>
      </c>
      <c r="F152" t="s">
        <v>28</v>
      </c>
      <c r="G152" t="s">
        <v>19</v>
      </c>
      <c r="H152" t="s">
        <v>77</v>
      </c>
      <c r="I152">
        <v>3</v>
      </c>
      <c r="J152">
        <v>5845</v>
      </c>
      <c r="K152">
        <v>0.1</v>
      </c>
      <c r="L152" t="s">
        <v>58</v>
      </c>
      <c r="M152" t="s">
        <v>39</v>
      </c>
      <c r="N152" t="s">
        <v>32</v>
      </c>
      <c r="O152">
        <v>4.7</v>
      </c>
      <c r="P152">
        <v>15781.5</v>
      </c>
      <c r="Q152">
        <v>1500</v>
      </c>
      <c r="R152">
        <f>Table2_2[[#This Row],[cost]]*Table2_2[[#This Row],[Quantity]]</f>
        <v>4500</v>
      </c>
      <c r="S152">
        <f>Table2_2[[#This Row],[revenue]]-Table2_2[[#This Row],[total_cost]]</f>
        <v>11281.5</v>
      </c>
    </row>
    <row r="153" spans="1:19" x14ac:dyDescent="0.3">
      <c r="A153" t="s">
        <v>1206</v>
      </c>
      <c r="B153" s="10">
        <v>45066</v>
      </c>
      <c r="C153" s="10">
        <v>45066</v>
      </c>
      <c r="D153" t="s">
        <v>46</v>
      </c>
      <c r="E153" t="s">
        <v>319</v>
      </c>
      <c r="F153" t="s">
        <v>64</v>
      </c>
      <c r="G153" t="s">
        <v>19</v>
      </c>
      <c r="H153" t="s">
        <v>99</v>
      </c>
      <c r="I153">
        <v>5</v>
      </c>
      <c r="J153">
        <v>6609</v>
      </c>
      <c r="K153">
        <v>0.1</v>
      </c>
      <c r="L153" t="s">
        <v>38</v>
      </c>
      <c r="M153" t="s">
        <v>39</v>
      </c>
      <c r="N153" t="s">
        <v>59</v>
      </c>
      <c r="O153">
        <v>3.3</v>
      </c>
      <c r="P153">
        <v>29740.5</v>
      </c>
      <c r="Q153">
        <v>1200</v>
      </c>
      <c r="R153">
        <f>Table2_2[[#This Row],[cost]]*Table2_2[[#This Row],[Quantity]]</f>
        <v>6000</v>
      </c>
      <c r="S153">
        <f>Table2_2[[#This Row],[revenue]]-Table2_2[[#This Row],[total_cost]]</f>
        <v>23740.5</v>
      </c>
    </row>
    <row r="154" spans="1:19" x14ac:dyDescent="0.3">
      <c r="A154" t="s">
        <v>1213</v>
      </c>
      <c r="B154" s="10">
        <v>45642</v>
      </c>
      <c r="C154" s="10">
        <v>45642</v>
      </c>
      <c r="D154" t="s">
        <v>91</v>
      </c>
      <c r="E154" t="s">
        <v>1215</v>
      </c>
      <c r="F154" t="s">
        <v>43</v>
      </c>
      <c r="G154" t="s">
        <v>53</v>
      </c>
      <c r="H154" t="s">
        <v>77</v>
      </c>
      <c r="I154">
        <v>2</v>
      </c>
      <c r="J154">
        <v>2435</v>
      </c>
      <c r="K154">
        <v>0.15</v>
      </c>
      <c r="L154" t="s">
        <v>38</v>
      </c>
      <c r="M154" t="s">
        <v>22</v>
      </c>
      <c r="N154" t="s">
        <v>59</v>
      </c>
      <c r="O154">
        <v>3.2</v>
      </c>
      <c r="P154">
        <v>4139.5</v>
      </c>
      <c r="Q154">
        <v>700</v>
      </c>
      <c r="R154">
        <f>Table2_2[[#This Row],[cost]]*Table2_2[[#This Row],[Quantity]]</f>
        <v>1400</v>
      </c>
      <c r="S154">
        <f>Table2_2[[#This Row],[revenue]]-Table2_2[[#This Row],[total_cost]]</f>
        <v>2739.5</v>
      </c>
    </row>
    <row r="155" spans="1:19" x14ac:dyDescent="0.3">
      <c r="A155" t="s">
        <v>1224</v>
      </c>
      <c r="B155" s="10">
        <v>45608</v>
      </c>
      <c r="C155" s="10">
        <v>45608</v>
      </c>
      <c r="D155" t="s">
        <v>46</v>
      </c>
      <c r="E155" t="s">
        <v>1226</v>
      </c>
      <c r="F155" t="s">
        <v>43</v>
      </c>
      <c r="G155" t="s">
        <v>37</v>
      </c>
      <c r="H155" t="s">
        <v>20</v>
      </c>
      <c r="I155">
        <v>1</v>
      </c>
      <c r="J155">
        <v>9330</v>
      </c>
      <c r="K155">
        <v>0.15</v>
      </c>
      <c r="L155" t="s">
        <v>21</v>
      </c>
      <c r="M155" t="s">
        <v>39</v>
      </c>
      <c r="N155" t="s">
        <v>23</v>
      </c>
      <c r="O155">
        <v>3.7</v>
      </c>
      <c r="P155">
        <v>7930.5</v>
      </c>
      <c r="Q155">
        <v>700</v>
      </c>
      <c r="R155">
        <f>Table2_2[[#This Row],[cost]]*Table2_2[[#This Row],[Quantity]]</f>
        <v>700</v>
      </c>
      <c r="S155">
        <f>Table2_2[[#This Row],[revenue]]-Table2_2[[#This Row],[total_cost]]</f>
        <v>7230.5</v>
      </c>
    </row>
    <row r="156" spans="1:19" x14ac:dyDescent="0.3">
      <c r="A156" t="s">
        <v>1227</v>
      </c>
      <c r="B156" s="10">
        <v>45117</v>
      </c>
      <c r="C156" s="10">
        <v>45117</v>
      </c>
      <c r="D156" t="s">
        <v>127</v>
      </c>
      <c r="E156" t="s">
        <v>914</v>
      </c>
      <c r="F156" t="s">
        <v>73</v>
      </c>
      <c r="G156" t="s">
        <v>37</v>
      </c>
      <c r="H156" t="s">
        <v>20</v>
      </c>
      <c r="I156">
        <v>4</v>
      </c>
      <c r="J156">
        <v>5998</v>
      </c>
      <c r="K156">
        <v>0.2</v>
      </c>
      <c r="L156" t="s">
        <v>31</v>
      </c>
      <c r="M156" t="s">
        <v>22</v>
      </c>
      <c r="N156" t="s">
        <v>48</v>
      </c>
      <c r="O156">
        <v>4.5999999999999996</v>
      </c>
      <c r="P156">
        <v>19193.600000000002</v>
      </c>
      <c r="Q156">
        <v>700</v>
      </c>
      <c r="R156">
        <f>Table2_2[[#This Row],[cost]]*Table2_2[[#This Row],[Quantity]]</f>
        <v>2800</v>
      </c>
      <c r="S156">
        <f>Table2_2[[#This Row],[revenue]]-Table2_2[[#This Row],[total_cost]]</f>
        <v>16393.600000000002</v>
      </c>
    </row>
    <row r="157" spans="1:19" x14ac:dyDescent="0.3">
      <c r="A157" t="s">
        <v>1228</v>
      </c>
      <c r="B157" s="10">
        <v>45138</v>
      </c>
      <c r="C157" s="10">
        <v>45138</v>
      </c>
      <c r="D157" t="s">
        <v>46</v>
      </c>
      <c r="E157" t="s">
        <v>521</v>
      </c>
      <c r="F157" t="s">
        <v>64</v>
      </c>
      <c r="G157" t="s">
        <v>19</v>
      </c>
      <c r="H157" t="s">
        <v>20</v>
      </c>
      <c r="I157">
        <v>3</v>
      </c>
      <c r="J157">
        <v>5571</v>
      </c>
      <c r="K157">
        <v>0.2</v>
      </c>
      <c r="L157" t="s">
        <v>38</v>
      </c>
      <c r="M157" t="s">
        <v>22</v>
      </c>
      <c r="N157" t="s">
        <v>59</v>
      </c>
      <c r="O157">
        <v>3.2</v>
      </c>
      <c r="P157">
        <v>13370.400000000001</v>
      </c>
      <c r="Q157">
        <v>1500</v>
      </c>
      <c r="R157">
        <f>Table2_2[[#This Row],[cost]]*Table2_2[[#This Row],[Quantity]]</f>
        <v>4500</v>
      </c>
      <c r="S157">
        <f>Table2_2[[#This Row],[revenue]]-Table2_2[[#This Row],[total_cost]]</f>
        <v>8870.4000000000015</v>
      </c>
    </row>
    <row r="158" spans="1:19" x14ac:dyDescent="0.3">
      <c r="A158" t="s">
        <v>1232</v>
      </c>
      <c r="B158" s="10">
        <v>45467</v>
      </c>
      <c r="C158" s="10">
        <v>45467</v>
      </c>
      <c r="D158" t="s">
        <v>84</v>
      </c>
      <c r="E158" t="s">
        <v>56</v>
      </c>
      <c r="F158" t="s">
        <v>18</v>
      </c>
      <c r="G158" t="s">
        <v>29</v>
      </c>
      <c r="H158" t="s">
        <v>30</v>
      </c>
      <c r="I158">
        <v>3</v>
      </c>
      <c r="J158">
        <v>1284</v>
      </c>
      <c r="K158">
        <v>0.2</v>
      </c>
      <c r="L158" t="s">
        <v>38</v>
      </c>
      <c r="M158" t="s">
        <v>39</v>
      </c>
      <c r="N158" t="s">
        <v>48</v>
      </c>
      <c r="O158">
        <v>3.1</v>
      </c>
      <c r="P158">
        <v>3081.6000000000004</v>
      </c>
      <c r="Q158">
        <v>700</v>
      </c>
      <c r="R158">
        <f>Table2_2[[#This Row],[cost]]*Table2_2[[#This Row],[Quantity]]</f>
        <v>2100</v>
      </c>
      <c r="S158">
        <f>Table2_2[[#This Row],[revenue]]-Table2_2[[#This Row],[total_cost]]</f>
        <v>981.60000000000036</v>
      </c>
    </row>
    <row r="159" spans="1:19" x14ac:dyDescent="0.3">
      <c r="A159" t="s">
        <v>1246</v>
      </c>
      <c r="B159" s="10">
        <v>45305</v>
      </c>
      <c r="C159" s="10">
        <v>45305</v>
      </c>
      <c r="D159" t="s">
        <v>131</v>
      </c>
      <c r="E159" t="s">
        <v>420</v>
      </c>
      <c r="F159" t="s">
        <v>43</v>
      </c>
      <c r="G159" t="s">
        <v>53</v>
      </c>
      <c r="H159" t="s">
        <v>20</v>
      </c>
      <c r="I159">
        <v>2</v>
      </c>
      <c r="J159">
        <v>2922</v>
      </c>
      <c r="K159">
        <v>0</v>
      </c>
      <c r="L159" t="s">
        <v>31</v>
      </c>
      <c r="M159" t="s">
        <v>39</v>
      </c>
      <c r="N159" t="s">
        <v>59</v>
      </c>
      <c r="O159">
        <v>3.5</v>
      </c>
      <c r="P159">
        <v>5844</v>
      </c>
      <c r="Q159">
        <v>500</v>
      </c>
      <c r="R159">
        <f>Table2_2[[#This Row],[cost]]*Table2_2[[#This Row],[Quantity]]</f>
        <v>1000</v>
      </c>
      <c r="S159">
        <f>Table2_2[[#This Row],[revenue]]-Table2_2[[#This Row],[total_cost]]</f>
        <v>4844</v>
      </c>
    </row>
    <row r="160" spans="1:19" x14ac:dyDescent="0.3">
      <c r="A160" t="s">
        <v>1253</v>
      </c>
      <c r="B160" s="10">
        <v>45197</v>
      </c>
      <c r="C160" s="10">
        <v>45197</v>
      </c>
      <c r="D160" t="s">
        <v>80</v>
      </c>
      <c r="E160" t="s">
        <v>839</v>
      </c>
      <c r="F160" t="s">
        <v>28</v>
      </c>
      <c r="G160" t="s">
        <v>29</v>
      </c>
      <c r="H160" t="s">
        <v>77</v>
      </c>
      <c r="I160">
        <v>1</v>
      </c>
      <c r="J160">
        <v>3992</v>
      </c>
      <c r="K160">
        <v>0.15</v>
      </c>
      <c r="L160" t="s">
        <v>31</v>
      </c>
      <c r="M160" t="s">
        <v>39</v>
      </c>
      <c r="N160" t="s">
        <v>23</v>
      </c>
      <c r="O160">
        <v>3.4</v>
      </c>
      <c r="P160">
        <v>3393.2</v>
      </c>
      <c r="Q160">
        <v>500</v>
      </c>
      <c r="R160">
        <f>Table2_2[[#This Row],[cost]]*Table2_2[[#This Row],[Quantity]]</f>
        <v>500</v>
      </c>
      <c r="S160">
        <f>Table2_2[[#This Row],[revenue]]-Table2_2[[#This Row],[total_cost]]</f>
        <v>2893.2</v>
      </c>
    </row>
    <row r="161" spans="1:19" x14ac:dyDescent="0.3">
      <c r="A161" t="s">
        <v>1255</v>
      </c>
      <c r="B161" s="10">
        <v>45592</v>
      </c>
      <c r="C161" s="10">
        <v>45592</v>
      </c>
      <c r="D161" t="s">
        <v>91</v>
      </c>
      <c r="E161" t="s">
        <v>331</v>
      </c>
      <c r="F161" t="s">
        <v>43</v>
      </c>
      <c r="G161" t="s">
        <v>29</v>
      </c>
      <c r="H161" t="s">
        <v>77</v>
      </c>
      <c r="I161">
        <v>5</v>
      </c>
      <c r="J161">
        <v>1536</v>
      </c>
      <c r="K161">
        <v>0.2</v>
      </c>
      <c r="L161" t="s">
        <v>21</v>
      </c>
      <c r="M161" t="s">
        <v>39</v>
      </c>
      <c r="N161" t="s">
        <v>59</v>
      </c>
      <c r="O161">
        <v>4.4000000000000004</v>
      </c>
      <c r="P161">
        <v>6144</v>
      </c>
      <c r="Q161">
        <v>900</v>
      </c>
      <c r="R161">
        <f>Table2_2[[#This Row],[cost]]*Table2_2[[#This Row],[Quantity]]</f>
        <v>4500</v>
      </c>
      <c r="S161">
        <f>Table2_2[[#This Row],[revenue]]-Table2_2[[#This Row],[total_cost]]</f>
        <v>1644</v>
      </c>
    </row>
    <row r="162" spans="1:19" x14ac:dyDescent="0.3">
      <c r="A162" t="s">
        <v>1258</v>
      </c>
      <c r="B162" s="10">
        <v>45110</v>
      </c>
      <c r="C162" s="10">
        <v>45110</v>
      </c>
      <c r="D162" t="s">
        <v>67</v>
      </c>
      <c r="E162" t="s">
        <v>479</v>
      </c>
      <c r="F162" t="s">
        <v>18</v>
      </c>
      <c r="G162" t="s">
        <v>53</v>
      </c>
      <c r="H162" t="s">
        <v>99</v>
      </c>
      <c r="I162">
        <v>1</v>
      </c>
      <c r="J162">
        <v>2732</v>
      </c>
      <c r="K162">
        <v>0.1</v>
      </c>
      <c r="L162" t="s">
        <v>38</v>
      </c>
      <c r="M162" t="s">
        <v>22</v>
      </c>
      <c r="N162" t="s">
        <v>59</v>
      </c>
      <c r="O162">
        <v>4.5999999999999996</v>
      </c>
      <c r="P162">
        <v>2458.8000000000002</v>
      </c>
      <c r="Q162">
        <v>1200</v>
      </c>
      <c r="R162">
        <f>Table2_2[[#This Row],[cost]]*Table2_2[[#This Row],[Quantity]]</f>
        <v>1200</v>
      </c>
      <c r="S162">
        <f>Table2_2[[#This Row],[revenue]]-Table2_2[[#This Row],[total_cost]]</f>
        <v>1258.8000000000002</v>
      </c>
    </row>
    <row r="163" spans="1:19" x14ac:dyDescent="0.3">
      <c r="A163" t="s">
        <v>1260</v>
      </c>
      <c r="B163" s="10">
        <v>45554</v>
      </c>
      <c r="C163" s="10">
        <v>45554</v>
      </c>
      <c r="D163" t="s">
        <v>91</v>
      </c>
      <c r="E163" t="s">
        <v>178</v>
      </c>
      <c r="F163" t="s">
        <v>43</v>
      </c>
      <c r="G163" t="s">
        <v>53</v>
      </c>
      <c r="H163" t="s">
        <v>99</v>
      </c>
      <c r="I163">
        <v>1</v>
      </c>
      <c r="J163">
        <v>8010</v>
      </c>
      <c r="K163">
        <v>0.2</v>
      </c>
      <c r="L163" t="s">
        <v>21</v>
      </c>
      <c r="M163" t="s">
        <v>22</v>
      </c>
      <c r="N163" t="s">
        <v>48</v>
      </c>
      <c r="O163">
        <v>4.5999999999999996</v>
      </c>
      <c r="P163">
        <v>6408</v>
      </c>
      <c r="Q163">
        <v>1200</v>
      </c>
      <c r="R163">
        <f>Table2_2[[#This Row],[cost]]*Table2_2[[#This Row],[Quantity]]</f>
        <v>1200</v>
      </c>
      <c r="S163">
        <f>Table2_2[[#This Row],[revenue]]-Table2_2[[#This Row],[total_cost]]</f>
        <v>5208</v>
      </c>
    </row>
    <row r="164" spans="1:19" x14ac:dyDescent="0.3">
      <c r="A164" t="s">
        <v>1268</v>
      </c>
      <c r="B164" s="10">
        <v>45095</v>
      </c>
      <c r="C164" s="10">
        <v>45095</v>
      </c>
      <c r="D164" t="s">
        <v>67</v>
      </c>
      <c r="E164" t="s">
        <v>1270</v>
      </c>
      <c r="F164" t="s">
        <v>18</v>
      </c>
      <c r="G164" t="s">
        <v>29</v>
      </c>
      <c r="H164" t="s">
        <v>20</v>
      </c>
      <c r="I164">
        <v>3</v>
      </c>
      <c r="J164">
        <v>7745</v>
      </c>
      <c r="K164">
        <v>0.1</v>
      </c>
      <c r="L164" t="s">
        <v>58</v>
      </c>
      <c r="M164" t="s">
        <v>22</v>
      </c>
      <c r="N164" t="s">
        <v>59</v>
      </c>
      <c r="O164">
        <v>4.7</v>
      </c>
      <c r="P164">
        <v>20911.5</v>
      </c>
      <c r="Q164">
        <v>500</v>
      </c>
      <c r="R164">
        <f>Table2_2[[#This Row],[cost]]*Table2_2[[#This Row],[Quantity]]</f>
        <v>1500</v>
      </c>
      <c r="S164">
        <f>Table2_2[[#This Row],[revenue]]-Table2_2[[#This Row],[total_cost]]</f>
        <v>19411.5</v>
      </c>
    </row>
    <row r="165" spans="1:19" x14ac:dyDescent="0.3">
      <c r="A165" t="s">
        <v>1271</v>
      </c>
      <c r="B165" s="10">
        <v>45414</v>
      </c>
      <c r="C165" s="10">
        <v>45414</v>
      </c>
      <c r="D165" t="s">
        <v>26</v>
      </c>
      <c r="E165" t="s">
        <v>102</v>
      </c>
      <c r="F165" t="s">
        <v>98</v>
      </c>
      <c r="G165" t="s">
        <v>53</v>
      </c>
      <c r="H165" t="s">
        <v>20</v>
      </c>
      <c r="I165">
        <v>4</v>
      </c>
      <c r="J165">
        <v>3879</v>
      </c>
      <c r="K165">
        <v>0.1</v>
      </c>
      <c r="L165" t="s">
        <v>21</v>
      </c>
      <c r="M165" t="s">
        <v>39</v>
      </c>
      <c r="N165" t="s">
        <v>48</v>
      </c>
      <c r="O165">
        <v>3.2</v>
      </c>
      <c r="P165">
        <v>13964.4</v>
      </c>
      <c r="Q165">
        <v>1500</v>
      </c>
      <c r="R165">
        <f>Table2_2[[#This Row],[cost]]*Table2_2[[#This Row],[Quantity]]</f>
        <v>6000</v>
      </c>
      <c r="S165">
        <f>Table2_2[[#This Row],[revenue]]-Table2_2[[#This Row],[total_cost]]</f>
        <v>7964.4</v>
      </c>
    </row>
    <row r="166" spans="1:19" x14ac:dyDescent="0.3">
      <c r="A166" t="s">
        <v>1272</v>
      </c>
      <c r="B166" s="10">
        <v>45222</v>
      </c>
      <c r="C166" s="10">
        <v>45222</v>
      </c>
      <c r="D166" t="s">
        <v>131</v>
      </c>
      <c r="E166" t="s">
        <v>428</v>
      </c>
      <c r="F166" t="s">
        <v>73</v>
      </c>
      <c r="G166" t="s">
        <v>29</v>
      </c>
      <c r="H166" t="s">
        <v>77</v>
      </c>
      <c r="I166">
        <v>3</v>
      </c>
      <c r="J166">
        <v>9552</v>
      </c>
      <c r="K166">
        <v>0.1</v>
      </c>
      <c r="L166" t="s">
        <v>58</v>
      </c>
      <c r="M166" t="s">
        <v>39</v>
      </c>
      <c r="N166" t="s">
        <v>48</v>
      </c>
      <c r="O166">
        <v>4.9000000000000004</v>
      </c>
      <c r="P166">
        <v>25790.400000000001</v>
      </c>
      <c r="Q166">
        <v>500</v>
      </c>
      <c r="R166">
        <f>Table2_2[[#This Row],[cost]]*Table2_2[[#This Row],[Quantity]]</f>
        <v>1500</v>
      </c>
      <c r="S166">
        <f>Table2_2[[#This Row],[revenue]]-Table2_2[[#This Row],[total_cost]]</f>
        <v>24290.400000000001</v>
      </c>
    </row>
    <row r="167" spans="1:19" x14ac:dyDescent="0.3">
      <c r="A167" t="s">
        <v>825</v>
      </c>
      <c r="B167" s="10">
        <v>45621</v>
      </c>
      <c r="C167" s="10">
        <v>45621</v>
      </c>
      <c r="D167" t="s">
        <v>127</v>
      </c>
      <c r="E167" t="s">
        <v>880</v>
      </c>
      <c r="F167" t="s">
        <v>73</v>
      </c>
      <c r="G167" t="s">
        <v>53</v>
      </c>
      <c r="H167" t="s">
        <v>30</v>
      </c>
      <c r="I167">
        <v>4</v>
      </c>
      <c r="J167">
        <v>2955</v>
      </c>
      <c r="K167">
        <v>0.2</v>
      </c>
      <c r="L167" t="s">
        <v>31</v>
      </c>
      <c r="M167" t="s">
        <v>39</v>
      </c>
      <c r="N167" t="s">
        <v>23</v>
      </c>
      <c r="O167">
        <v>4.8</v>
      </c>
      <c r="P167">
        <v>9456</v>
      </c>
      <c r="Q167">
        <v>1200</v>
      </c>
      <c r="R167">
        <f>Table2_2[[#This Row],[cost]]*Table2_2[[#This Row],[Quantity]]</f>
        <v>4800</v>
      </c>
      <c r="S167">
        <f>Table2_2[[#This Row],[revenue]]-Table2_2[[#This Row],[total_cost]]</f>
        <v>4656</v>
      </c>
    </row>
    <row r="168" spans="1:19" x14ac:dyDescent="0.3">
      <c r="A168" t="s">
        <v>1290</v>
      </c>
      <c r="B168" s="10">
        <v>45367</v>
      </c>
      <c r="C168" s="10">
        <v>45367</v>
      </c>
      <c r="D168" t="s">
        <v>35</v>
      </c>
      <c r="E168" t="s">
        <v>36</v>
      </c>
      <c r="F168" t="s">
        <v>57</v>
      </c>
      <c r="G168" t="s">
        <v>53</v>
      </c>
      <c r="H168" t="s">
        <v>99</v>
      </c>
      <c r="I168">
        <v>2</v>
      </c>
      <c r="J168">
        <v>8663</v>
      </c>
      <c r="K168">
        <v>0</v>
      </c>
      <c r="L168" t="s">
        <v>38</v>
      </c>
      <c r="M168" t="s">
        <v>22</v>
      </c>
      <c r="N168" t="s">
        <v>32</v>
      </c>
      <c r="O168">
        <v>3.6</v>
      </c>
      <c r="P168">
        <v>17326</v>
      </c>
      <c r="Q168">
        <v>1500</v>
      </c>
      <c r="R168">
        <f>Table2_2[[#This Row],[cost]]*Table2_2[[#This Row],[Quantity]]</f>
        <v>3000</v>
      </c>
      <c r="S168">
        <f>Table2_2[[#This Row],[revenue]]-Table2_2[[#This Row],[total_cost]]</f>
        <v>14326</v>
      </c>
    </row>
    <row r="169" spans="1:19" x14ac:dyDescent="0.3">
      <c r="A169" t="s">
        <v>1298</v>
      </c>
      <c r="B169" s="10">
        <v>45556</v>
      </c>
      <c r="C169" s="10">
        <v>45556</v>
      </c>
      <c r="D169" t="s">
        <v>67</v>
      </c>
      <c r="E169" t="s">
        <v>546</v>
      </c>
      <c r="F169" t="s">
        <v>64</v>
      </c>
      <c r="G169" t="s">
        <v>29</v>
      </c>
      <c r="H169" t="s">
        <v>77</v>
      </c>
      <c r="I169">
        <v>1</v>
      </c>
      <c r="J169">
        <v>3750</v>
      </c>
      <c r="K169">
        <v>0.15</v>
      </c>
      <c r="L169" t="s">
        <v>58</v>
      </c>
      <c r="M169" t="s">
        <v>39</v>
      </c>
      <c r="N169" t="s">
        <v>48</v>
      </c>
      <c r="O169">
        <v>4.9000000000000004</v>
      </c>
      <c r="P169">
        <v>3187.5</v>
      </c>
      <c r="Q169">
        <v>900</v>
      </c>
      <c r="R169">
        <f>Table2_2[[#This Row],[cost]]*Table2_2[[#This Row],[Quantity]]</f>
        <v>900</v>
      </c>
      <c r="S169">
        <f>Table2_2[[#This Row],[revenue]]-Table2_2[[#This Row],[total_cost]]</f>
        <v>2287.5</v>
      </c>
    </row>
    <row r="170" spans="1:19" x14ac:dyDescent="0.3">
      <c r="A170" t="s">
        <v>379</v>
      </c>
      <c r="B170" s="10">
        <v>45113</v>
      </c>
      <c r="C170" s="10">
        <v>45113</v>
      </c>
      <c r="D170" t="s">
        <v>16</v>
      </c>
      <c r="E170" t="s">
        <v>240</v>
      </c>
      <c r="F170" t="s">
        <v>98</v>
      </c>
      <c r="G170" t="s">
        <v>37</v>
      </c>
      <c r="H170" t="s">
        <v>77</v>
      </c>
      <c r="I170">
        <v>3</v>
      </c>
      <c r="J170">
        <v>1427</v>
      </c>
      <c r="K170">
        <v>0</v>
      </c>
      <c r="L170" t="s">
        <v>21</v>
      </c>
      <c r="M170" t="s">
        <v>39</v>
      </c>
      <c r="N170" t="s">
        <v>48</v>
      </c>
      <c r="O170">
        <v>4.0999999999999996</v>
      </c>
      <c r="P170">
        <v>4281</v>
      </c>
      <c r="Q170">
        <v>500</v>
      </c>
      <c r="R170">
        <f>Table2_2[[#This Row],[cost]]*Table2_2[[#This Row],[Quantity]]</f>
        <v>1500</v>
      </c>
      <c r="S170">
        <f>Table2_2[[#This Row],[revenue]]-Table2_2[[#This Row],[total_cost]]</f>
        <v>2781</v>
      </c>
    </row>
    <row r="171" spans="1:19" x14ac:dyDescent="0.3">
      <c r="A171" t="s">
        <v>928</v>
      </c>
      <c r="B171" s="10">
        <v>45188</v>
      </c>
      <c r="C171" s="10">
        <v>45188</v>
      </c>
      <c r="D171" t="s">
        <v>51</v>
      </c>
      <c r="E171" t="s">
        <v>471</v>
      </c>
      <c r="F171" t="s">
        <v>73</v>
      </c>
      <c r="G171" t="s">
        <v>53</v>
      </c>
      <c r="H171" t="s">
        <v>99</v>
      </c>
      <c r="I171">
        <v>4</v>
      </c>
      <c r="J171">
        <v>6380</v>
      </c>
      <c r="K171">
        <v>0.1</v>
      </c>
      <c r="L171" t="s">
        <v>31</v>
      </c>
      <c r="M171" t="s">
        <v>39</v>
      </c>
      <c r="N171" t="s">
        <v>59</v>
      </c>
      <c r="O171">
        <v>3.5</v>
      </c>
      <c r="P171">
        <v>22968</v>
      </c>
      <c r="Q171">
        <v>700</v>
      </c>
      <c r="R171">
        <f>Table2_2[[#This Row],[cost]]*Table2_2[[#This Row],[Quantity]]</f>
        <v>2800</v>
      </c>
      <c r="S171">
        <f>Table2_2[[#This Row],[revenue]]-Table2_2[[#This Row],[total_cost]]</f>
        <v>20168</v>
      </c>
    </row>
    <row r="172" spans="1:19" x14ac:dyDescent="0.3">
      <c r="A172" t="s">
        <v>1328</v>
      </c>
      <c r="B172" s="10">
        <v>44971</v>
      </c>
      <c r="C172" s="10">
        <v>44971</v>
      </c>
      <c r="D172" t="s">
        <v>114</v>
      </c>
      <c r="E172" t="s">
        <v>834</v>
      </c>
      <c r="F172" t="s">
        <v>98</v>
      </c>
      <c r="G172" t="s">
        <v>37</v>
      </c>
      <c r="H172" t="s">
        <v>30</v>
      </c>
      <c r="I172">
        <v>4</v>
      </c>
      <c r="J172">
        <v>5323</v>
      </c>
      <c r="K172">
        <v>0.1</v>
      </c>
      <c r="L172" t="s">
        <v>58</v>
      </c>
      <c r="M172" t="s">
        <v>22</v>
      </c>
      <c r="N172" t="s">
        <v>48</v>
      </c>
      <c r="O172">
        <v>4.0999999999999996</v>
      </c>
      <c r="P172">
        <v>19162.8</v>
      </c>
      <c r="Q172">
        <v>500</v>
      </c>
      <c r="R172">
        <f>Table2_2[[#This Row],[cost]]*Table2_2[[#This Row],[Quantity]]</f>
        <v>2000</v>
      </c>
      <c r="S172">
        <f>Table2_2[[#This Row],[revenue]]-Table2_2[[#This Row],[total_cost]]</f>
        <v>17162.8</v>
      </c>
    </row>
    <row r="173" spans="1:19" x14ac:dyDescent="0.3">
      <c r="A173" t="s">
        <v>1329</v>
      </c>
      <c r="B173" s="10">
        <v>45149</v>
      </c>
      <c r="C173" s="10">
        <v>45149</v>
      </c>
      <c r="D173" t="s">
        <v>51</v>
      </c>
      <c r="E173" t="s">
        <v>1331</v>
      </c>
      <c r="F173" t="s">
        <v>98</v>
      </c>
      <c r="G173" t="s">
        <v>37</v>
      </c>
      <c r="H173" t="s">
        <v>99</v>
      </c>
      <c r="I173">
        <v>4</v>
      </c>
      <c r="J173">
        <v>7094</v>
      </c>
      <c r="K173">
        <v>0</v>
      </c>
      <c r="L173" t="s">
        <v>31</v>
      </c>
      <c r="M173" t="s">
        <v>39</v>
      </c>
      <c r="N173" t="s">
        <v>48</v>
      </c>
      <c r="O173">
        <v>3.6</v>
      </c>
      <c r="P173">
        <v>28376</v>
      </c>
      <c r="Q173">
        <v>500</v>
      </c>
      <c r="R173">
        <f>Table2_2[[#This Row],[cost]]*Table2_2[[#This Row],[Quantity]]</f>
        <v>2000</v>
      </c>
      <c r="S173">
        <f>Table2_2[[#This Row],[revenue]]-Table2_2[[#This Row],[total_cost]]</f>
        <v>26376</v>
      </c>
    </row>
    <row r="174" spans="1:19" x14ac:dyDescent="0.3">
      <c r="A174" t="s">
        <v>1332</v>
      </c>
      <c r="B174" s="10">
        <v>45200</v>
      </c>
      <c r="C174" s="10">
        <v>45200</v>
      </c>
      <c r="D174" t="s">
        <v>51</v>
      </c>
      <c r="E174" t="s">
        <v>184</v>
      </c>
      <c r="F174" t="s">
        <v>73</v>
      </c>
      <c r="G174" t="s">
        <v>53</v>
      </c>
      <c r="H174" t="s">
        <v>99</v>
      </c>
      <c r="I174">
        <v>2</v>
      </c>
      <c r="J174">
        <v>8749</v>
      </c>
      <c r="K174">
        <v>0.1</v>
      </c>
      <c r="L174" t="s">
        <v>58</v>
      </c>
      <c r="M174" t="s">
        <v>22</v>
      </c>
      <c r="N174" t="s">
        <v>48</v>
      </c>
      <c r="O174">
        <v>4.8</v>
      </c>
      <c r="P174">
        <v>15748.2</v>
      </c>
      <c r="Q174">
        <v>900</v>
      </c>
      <c r="R174">
        <f>Table2_2[[#This Row],[cost]]*Table2_2[[#This Row],[Quantity]]</f>
        <v>1800</v>
      </c>
      <c r="S174">
        <f>Table2_2[[#This Row],[revenue]]-Table2_2[[#This Row],[total_cost]]</f>
        <v>13948.2</v>
      </c>
    </row>
    <row r="175" spans="1:19" x14ac:dyDescent="0.3">
      <c r="A175" t="s">
        <v>1203</v>
      </c>
      <c r="B175" s="10">
        <v>45515</v>
      </c>
      <c r="C175" s="10">
        <v>45515</v>
      </c>
      <c r="D175" t="s">
        <v>26</v>
      </c>
      <c r="E175" t="s">
        <v>795</v>
      </c>
      <c r="F175" t="s">
        <v>18</v>
      </c>
      <c r="G175" t="s">
        <v>37</v>
      </c>
      <c r="H175" t="s">
        <v>30</v>
      </c>
      <c r="I175">
        <v>1</v>
      </c>
      <c r="J175">
        <v>8649</v>
      </c>
      <c r="K175">
        <v>0.15</v>
      </c>
      <c r="L175" t="s">
        <v>31</v>
      </c>
      <c r="M175" t="s">
        <v>22</v>
      </c>
      <c r="N175" t="s">
        <v>48</v>
      </c>
      <c r="O175">
        <v>4.9000000000000004</v>
      </c>
      <c r="P175">
        <v>7351.65</v>
      </c>
      <c r="Q175">
        <v>1500</v>
      </c>
      <c r="R175">
        <f>Table2_2[[#This Row],[cost]]*Table2_2[[#This Row],[Quantity]]</f>
        <v>1500</v>
      </c>
      <c r="S175">
        <f>Table2_2[[#This Row],[revenue]]-Table2_2[[#This Row],[total_cost]]</f>
        <v>5851.65</v>
      </c>
    </row>
    <row r="176" spans="1:19" x14ac:dyDescent="0.3">
      <c r="A176" t="s">
        <v>1341</v>
      </c>
      <c r="B176" s="10">
        <v>45595</v>
      </c>
      <c r="C176" s="10">
        <v>45595</v>
      </c>
      <c r="D176" t="s">
        <v>80</v>
      </c>
      <c r="E176" t="s">
        <v>758</v>
      </c>
      <c r="F176" t="s">
        <v>98</v>
      </c>
      <c r="G176" t="s">
        <v>29</v>
      </c>
      <c r="H176" t="s">
        <v>99</v>
      </c>
      <c r="I176">
        <v>5</v>
      </c>
      <c r="J176">
        <v>6010</v>
      </c>
      <c r="K176">
        <v>0.2</v>
      </c>
      <c r="L176" t="s">
        <v>38</v>
      </c>
      <c r="M176" t="s">
        <v>22</v>
      </c>
      <c r="N176" t="s">
        <v>23</v>
      </c>
      <c r="O176">
        <v>4</v>
      </c>
      <c r="P176">
        <v>24040</v>
      </c>
      <c r="Q176">
        <v>1500</v>
      </c>
      <c r="R176">
        <f>Table2_2[[#This Row],[cost]]*Table2_2[[#This Row],[Quantity]]</f>
        <v>7500</v>
      </c>
      <c r="S176">
        <f>Table2_2[[#This Row],[revenue]]-Table2_2[[#This Row],[total_cost]]</f>
        <v>16540</v>
      </c>
    </row>
    <row r="177" spans="1:19" x14ac:dyDescent="0.3">
      <c r="A177" t="s">
        <v>1346</v>
      </c>
      <c r="B177" s="10">
        <v>45505</v>
      </c>
      <c r="C177" s="10">
        <v>45505</v>
      </c>
      <c r="D177" t="s">
        <v>46</v>
      </c>
      <c r="E177" t="s">
        <v>1001</v>
      </c>
      <c r="F177" t="s">
        <v>18</v>
      </c>
      <c r="G177" t="s">
        <v>53</v>
      </c>
      <c r="H177" t="s">
        <v>20</v>
      </c>
      <c r="I177">
        <v>4</v>
      </c>
      <c r="J177">
        <v>6827</v>
      </c>
      <c r="K177">
        <v>0.1</v>
      </c>
      <c r="L177" t="s">
        <v>31</v>
      </c>
      <c r="M177" t="s">
        <v>22</v>
      </c>
      <c r="N177" t="s">
        <v>32</v>
      </c>
      <c r="O177">
        <v>4.8</v>
      </c>
      <c r="P177">
        <v>24577.200000000001</v>
      </c>
      <c r="Q177">
        <v>1500</v>
      </c>
      <c r="R177">
        <f>Table2_2[[#This Row],[cost]]*Table2_2[[#This Row],[Quantity]]</f>
        <v>6000</v>
      </c>
      <c r="S177">
        <f>Table2_2[[#This Row],[revenue]]-Table2_2[[#This Row],[total_cost]]</f>
        <v>18577.2</v>
      </c>
    </row>
    <row r="178" spans="1:19" x14ac:dyDescent="0.3">
      <c r="A178" t="s">
        <v>1352</v>
      </c>
      <c r="B178" s="10">
        <v>45286</v>
      </c>
      <c r="C178" s="10">
        <v>45286</v>
      </c>
      <c r="D178" t="s">
        <v>80</v>
      </c>
      <c r="E178" t="s">
        <v>629</v>
      </c>
      <c r="F178" t="s">
        <v>28</v>
      </c>
      <c r="G178" t="s">
        <v>19</v>
      </c>
      <c r="H178" t="s">
        <v>99</v>
      </c>
      <c r="I178">
        <v>3</v>
      </c>
      <c r="J178">
        <v>1497</v>
      </c>
      <c r="K178">
        <v>0.15</v>
      </c>
      <c r="L178" t="s">
        <v>21</v>
      </c>
      <c r="M178" t="s">
        <v>39</v>
      </c>
      <c r="N178" t="s">
        <v>32</v>
      </c>
      <c r="O178">
        <v>3.3</v>
      </c>
      <c r="P178">
        <v>3817.35</v>
      </c>
      <c r="Q178">
        <v>900</v>
      </c>
      <c r="R178">
        <f>Table2_2[[#This Row],[cost]]*Table2_2[[#This Row],[Quantity]]</f>
        <v>2700</v>
      </c>
      <c r="S178">
        <f>Table2_2[[#This Row],[revenue]]-Table2_2[[#This Row],[total_cost]]</f>
        <v>1117.3499999999999</v>
      </c>
    </row>
    <row r="179" spans="1:19" x14ac:dyDescent="0.3">
      <c r="A179" t="s">
        <v>895</v>
      </c>
      <c r="B179" s="10">
        <v>45006</v>
      </c>
      <c r="C179" s="10">
        <v>45006</v>
      </c>
      <c r="D179" t="s">
        <v>26</v>
      </c>
      <c r="E179" t="s">
        <v>1043</v>
      </c>
      <c r="F179" t="s">
        <v>28</v>
      </c>
      <c r="G179" t="s">
        <v>37</v>
      </c>
      <c r="H179" t="s">
        <v>77</v>
      </c>
      <c r="I179">
        <v>1</v>
      </c>
      <c r="J179">
        <v>2510</v>
      </c>
      <c r="K179">
        <v>0.2</v>
      </c>
      <c r="L179" t="s">
        <v>38</v>
      </c>
      <c r="M179" t="s">
        <v>39</v>
      </c>
      <c r="N179" t="s">
        <v>32</v>
      </c>
      <c r="O179">
        <v>4.9000000000000004</v>
      </c>
      <c r="P179">
        <v>2008</v>
      </c>
      <c r="Q179">
        <v>1500</v>
      </c>
      <c r="R179">
        <f>Table2_2[[#This Row],[cost]]*Table2_2[[#This Row],[Quantity]]</f>
        <v>1500</v>
      </c>
      <c r="S179">
        <f>Table2_2[[#This Row],[revenue]]-Table2_2[[#This Row],[total_cost]]</f>
        <v>508</v>
      </c>
    </row>
    <row r="180" spans="1:19" x14ac:dyDescent="0.3">
      <c r="A180" t="s">
        <v>125</v>
      </c>
      <c r="B180" s="10">
        <v>45039</v>
      </c>
      <c r="C180" s="10">
        <v>45039</v>
      </c>
      <c r="D180" t="s">
        <v>26</v>
      </c>
      <c r="E180" t="s">
        <v>319</v>
      </c>
      <c r="F180" t="s">
        <v>98</v>
      </c>
      <c r="G180" t="s">
        <v>19</v>
      </c>
      <c r="H180" t="s">
        <v>77</v>
      </c>
      <c r="I180">
        <v>5</v>
      </c>
      <c r="J180">
        <v>7791</v>
      </c>
      <c r="K180">
        <v>0.05</v>
      </c>
      <c r="L180" t="s">
        <v>58</v>
      </c>
      <c r="M180" t="s">
        <v>39</v>
      </c>
      <c r="N180" t="s">
        <v>32</v>
      </c>
      <c r="O180">
        <v>4.0999999999999996</v>
      </c>
      <c r="P180">
        <v>37007.25</v>
      </c>
      <c r="Q180">
        <v>1200</v>
      </c>
      <c r="R180">
        <f>Table2_2[[#This Row],[cost]]*Table2_2[[#This Row],[Quantity]]</f>
        <v>6000</v>
      </c>
      <c r="S180">
        <f>Table2_2[[#This Row],[revenue]]-Table2_2[[#This Row],[total_cost]]</f>
        <v>31007.25</v>
      </c>
    </row>
    <row r="181" spans="1:19" x14ac:dyDescent="0.3">
      <c r="A181" t="s">
        <v>1361</v>
      </c>
      <c r="B181" s="10">
        <v>45074</v>
      </c>
      <c r="C181" s="10">
        <v>45074</v>
      </c>
      <c r="D181" t="s">
        <v>16</v>
      </c>
      <c r="E181" t="s">
        <v>1226</v>
      </c>
      <c r="F181" t="s">
        <v>43</v>
      </c>
      <c r="G181" t="s">
        <v>29</v>
      </c>
      <c r="H181" t="s">
        <v>30</v>
      </c>
      <c r="I181">
        <v>1</v>
      </c>
      <c r="J181">
        <v>8383</v>
      </c>
      <c r="K181">
        <v>0.1</v>
      </c>
      <c r="L181" t="s">
        <v>31</v>
      </c>
      <c r="M181" t="s">
        <v>39</v>
      </c>
      <c r="N181" t="s">
        <v>32</v>
      </c>
      <c r="O181">
        <v>4.7</v>
      </c>
      <c r="P181">
        <v>7544.7</v>
      </c>
      <c r="Q181">
        <v>700</v>
      </c>
      <c r="R181">
        <f>Table2_2[[#This Row],[cost]]*Table2_2[[#This Row],[Quantity]]</f>
        <v>700</v>
      </c>
      <c r="S181">
        <f>Table2_2[[#This Row],[revenue]]-Table2_2[[#This Row],[total_cost]]</f>
        <v>6844.7</v>
      </c>
    </row>
    <row r="182" spans="1:19" x14ac:dyDescent="0.3">
      <c r="A182" t="s">
        <v>1363</v>
      </c>
      <c r="B182" s="10">
        <v>45473</v>
      </c>
      <c r="C182" s="10">
        <v>45473</v>
      </c>
      <c r="D182" t="s">
        <v>114</v>
      </c>
      <c r="E182" t="s">
        <v>121</v>
      </c>
      <c r="F182" t="s">
        <v>28</v>
      </c>
      <c r="G182" t="s">
        <v>29</v>
      </c>
      <c r="H182" t="s">
        <v>99</v>
      </c>
      <c r="I182">
        <v>1</v>
      </c>
      <c r="J182">
        <v>6655</v>
      </c>
      <c r="K182">
        <v>0</v>
      </c>
      <c r="L182" t="s">
        <v>38</v>
      </c>
      <c r="M182" t="s">
        <v>22</v>
      </c>
      <c r="N182" t="s">
        <v>23</v>
      </c>
      <c r="O182">
        <v>5</v>
      </c>
      <c r="P182">
        <v>6655</v>
      </c>
      <c r="Q182">
        <v>700</v>
      </c>
      <c r="R182">
        <f>Table2_2[[#This Row],[cost]]*Table2_2[[#This Row],[Quantity]]</f>
        <v>700</v>
      </c>
      <c r="S182">
        <f>Table2_2[[#This Row],[revenue]]-Table2_2[[#This Row],[total_cost]]</f>
        <v>5955</v>
      </c>
    </row>
    <row r="183" spans="1:19" x14ac:dyDescent="0.3">
      <c r="A183" t="s">
        <v>1378</v>
      </c>
      <c r="B183" s="10">
        <v>45293</v>
      </c>
      <c r="C183" s="10">
        <v>45293</v>
      </c>
      <c r="D183" t="s">
        <v>80</v>
      </c>
      <c r="E183" t="s">
        <v>102</v>
      </c>
      <c r="F183" t="s">
        <v>73</v>
      </c>
      <c r="G183" t="s">
        <v>53</v>
      </c>
      <c r="H183" t="s">
        <v>99</v>
      </c>
      <c r="I183">
        <v>1</v>
      </c>
      <c r="J183">
        <v>4989</v>
      </c>
      <c r="K183">
        <v>0.05</v>
      </c>
      <c r="L183" t="s">
        <v>58</v>
      </c>
      <c r="M183" t="s">
        <v>39</v>
      </c>
      <c r="N183" t="s">
        <v>32</v>
      </c>
      <c r="O183">
        <v>4.2</v>
      </c>
      <c r="P183">
        <v>4739.55</v>
      </c>
      <c r="Q183">
        <v>1500</v>
      </c>
      <c r="R183">
        <f>Table2_2[[#This Row],[cost]]*Table2_2[[#This Row],[Quantity]]</f>
        <v>1500</v>
      </c>
      <c r="S183">
        <f>Table2_2[[#This Row],[revenue]]-Table2_2[[#This Row],[total_cost]]</f>
        <v>3239.55</v>
      </c>
    </row>
    <row r="184" spans="1:19" x14ac:dyDescent="0.3">
      <c r="A184" t="s">
        <v>1296</v>
      </c>
      <c r="B184" s="10">
        <v>45347</v>
      </c>
      <c r="C184" s="10">
        <v>45347</v>
      </c>
      <c r="D184" t="s">
        <v>26</v>
      </c>
      <c r="E184" t="s">
        <v>795</v>
      </c>
      <c r="F184" t="s">
        <v>28</v>
      </c>
      <c r="G184" t="s">
        <v>29</v>
      </c>
      <c r="H184" t="s">
        <v>99</v>
      </c>
      <c r="I184">
        <v>5</v>
      </c>
      <c r="J184">
        <v>3520</v>
      </c>
      <c r="K184">
        <v>0.2</v>
      </c>
      <c r="L184" t="s">
        <v>38</v>
      </c>
      <c r="M184" t="s">
        <v>39</v>
      </c>
      <c r="N184" t="s">
        <v>32</v>
      </c>
      <c r="O184">
        <v>4.5</v>
      </c>
      <c r="P184">
        <v>14080</v>
      </c>
      <c r="Q184">
        <v>1500</v>
      </c>
      <c r="R184">
        <f>Table2_2[[#This Row],[cost]]*Table2_2[[#This Row],[Quantity]]</f>
        <v>7500</v>
      </c>
      <c r="S184">
        <f>Table2_2[[#This Row],[revenue]]-Table2_2[[#This Row],[total_cost]]</f>
        <v>6580</v>
      </c>
    </row>
    <row r="185" spans="1:19" x14ac:dyDescent="0.3">
      <c r="A185" t="s">
        <v>1383</v>
      </c>
      <c r="B185" s="10">
        <v>45340</v>
      </c>
      <c r="C185" s="10">
        <v>45340</v>
      </c>
      <c r="D185" t="s">
        <v>91</v>
      </c>
      <c r="E185" t="s">
        <v>52</v>
      </c>
      <c r="F185" t="s">
        <v>98</v>
      </c>
      <c r="G185" t="s">
        <v>29</v>
      </c>
      <c r="H185" t="s">
        <v>30</v>
      </c>
      <c r="I185">
        <v>2</v>
      </c>
      <c r="J185">
        <v>3161</v>
      </c>
      <c r="K185">
        <v>0.15</v>
      </c>
      <c r="L185" t="s">
        <v>38</v>
      </c>
      <c r="M185" t="s">
        <v>22</v>
      </c>
      <c r="N185" t="s">
        <v>23</v>
      </c>
      <c r="O185">
        <v>4</v>
      </c>
      <c r="P185">
        <v>5373.7</v>
      </c>
      <c r="Q185">
        <v>1500</v>
      </c>
      <c r="R185">
        <f>Table2_2[[#This Row],[cost]]*Table2_2[[#This Row],[Quantity]]</f>
        <v>3000</v>
      </c>
      <c r="S185">
        <f>Table2_2[[#This Row],[revenue]]-Table2_2[[#This Row],[total_cost]]</f>
        <v>2373.6999999999998</v>
      </c>
    </row>
    <row r="186" spans="1:19" x14ac:dyDescent="0.3">
      <c r="A186" t="s">
        <v>1397</v>
      </c>
      <c r="B186" s="10">
        <v>45055</v>
      </c>
      <c r="C186" s="10">
        <v>45055</v>
      </c>
      <c r="D186" t="s">
        <v>127</v>
      </c>
      <c r="E186" t="s">
        <v>663</v>
      </c>
      <c r="F186" t="s">
        <v>18</v>
      </c>
      <c r="G186" t="s">
        <v>53</v>
      </c>
      <c r="H186" t="s">
        <v>77</v>
      </c>
      <c r="I186">
        <v>3</v>
      </c>
      <c r="J186">
        <v>7065</v>
      </c>
      <c r="K186">
        <v>0.1</v>
      </c>
      <c r="L186" t="s">
        <v>58</v>
      </c>
      <c r="M186" t="s">
        <v>22</v>
      </c>
      <c r="N186" t="s">
        <v>59</v>
      </c>
      <c r="O186">
        <v>4.5999999999999996</v>
      </c>
      <c r="P186">
        <v>19075.5</v>
      </c>
      <c r="Q186">
        <v>900</v>
      </c>
      <c r="R186">
        <f>Table2_2[[#This Row],[cost]]*Table2_2[[#This Row],[Quantity]]</f>
        <v>2700</v>
      </c>
      <c r="S186">
        <f>Table2_2[[#This Row],[revenue]]-Table2_2[[#This Row],[total_cost]]</f>
        <v>16375.5</v>
      </c>
    </row>
    <row r="187" spans="1:19" x14ac:dyDescent="0.3">
      <c r="A187" t="s">
        <v>1407</v>
      </c>
      <c r="B187" s="10">
        <v>45372</v>
      </c>
      <c r="C187" s="10">
        <v>45372</v>
      </c>
      <c r="D187" t="s">
        <v>46</v>
      </c>
      <c r="E187" t="s">
        <v>417</v>
      </c>
      <c r="F187" t="s">
        <v>64</v>
      </c>
      <c r="G187" t="s">
        <v>29</v>
      </c>
      <c r="H187" t="s">
        <v>20</v>
      </c>
      <c r="I187">
        <v>2</v>
      </c>
      <c r="J187">
        <v>4865</v>
      </c>
      <c r="K187">
        <v>0.1</v>
      </c>
      <c r="L187" t="s">
        <v>38</v>
      </c>
      <c r="M187" t="s">
        <v>39</v>
      </c>
      <c r="N187" t="s">
        <v>23</v>
      </c>
      <c r="O187">
        <v>4</v>
      </c>
      <c r="P187">
        <v>8757</v>
      </c>
      <c r="Q187">
        <v>1500</v>
      </c>
      <c r="R187">
        <f>Table2_2[[#This Row],[cost]]*Table2_2[[#This Row],[Quantity]]</f>
        <v>3000</v>
      </c>
      <c r="S187">
        <f>Table2_2[[#This Row],[revenue]]-Table2_2[[#This Row],[total_cost]]</f>
        <v>5757</v>
      </c>
    </row>
    <row r="188" spans="1:19" x14ac:dyDescent="0.3">
      <c r="A188" t="s">
        <v>1408</v>
      </c>
      <c r="B188" s="10">
        <v>45374</v>
      </c>
      <c r="C188" s="10">
        <v>45374</v>
      </c>
      <c r="D188" t="s">
        <v>96</v>
      </c>
      <c r="E188" t="s">
        <v>1148</v>
      </c>
      <c r="F188" t="s">
        <v>18</v>
      </c>
      <c r="G188" t="s">
        <v>19</v>
      </c>
      <c r="H188" t="s">
        <v>77</v>
      </c>
      <c r="I188">
        <v>5</v>
      </c>
      <c r="J188">
        <v>3038</v>
      </c>
      <c r="K188">
        <v>0</v>
      </c>
      <c r="L188" t="s">
        <v>31</v>
      </c>
      <c r="M188" t="s">
        <v>39</v>
      </c>
      <c r="N188" t="s">
        <v>23</v>
      </c>
      <c r="O188">
        <v>4.8</v>
      </c>
      <c r="P188">
        <v>15190</v>
      </c>
      <c r="Q188">
        <v>700</v>
      </c>
      <c r="R188">
        <f>Table2_2[[#This Row],[cost]]*Table2_2[[#This Row],[Quantity]]</f>
        <v>3500</v>
      </c>
      <c r="S188">
        <f>Table2_2[[#This Row],[revenue]]-Table2_2[[#This Row],[total_cost]]</f>
        <v>11690</v>
      </c>
    </row>
    <row r="189" spans="1:19" x14ac:dyDescent="0.3">
      <c r="A189" t="s">
        <v>1409</v>
      </c>
      <c r="B189" s="10">
        <v>45336</v>
      </c>
      <c r="C189" s="10">
        <v>45336</v>
      </c>
      <c r="D189" t="s">
        <v>35</v>
      </c>
      <c r="E189" t="s">
        <v>566</v>
      </c>
      <c r="F189" t="s">
        <v>43</v>
      </c>
      <c r="G189" t="s">
        <v>19</v>
      </c>
      <c r="H189" t="s">
        <v>20</v>
      </c>
      <c r="I189">
        <v>1</v>
      </c>
      <c r="J189">
        <v>2973</v>
      </c>
      <c r="K189">
        <v>0.2</v>
      </c>
      <c r="L189" t="s">
        <v>38</v>
      </c>
      <c r="M189" t="s">
        <v>39</v>
      </c>
      <c r="N189" t="s">
        <v>48</v>
      </c>
      <c r="O189">
        <v>3.8</v>
      </c>
      <c r="P189">
        <v>2378.4</v>
      </c>
      <c r="Q189">
        <v>900</v>
      </c>
      <c r="R189">
        <f>Table2_2[[#This Row],[cost]]*Table2_2[[#This Row],[Quantity]]</f>
        <v>900</v>
      </c>
      <c r="S189">
        <f>Table2_2[[#This Row],[revenue]]-Table2_2[[#This Row],[total_cost]]</f>
        <v>1478.4</v>
      </c>
    </row>
    <row r="190" spans="1:19" x14ac:dyDescent="0.3">
      <c r="A190" t="s">
        <v>1411</v>
      </c>
      <c r="B190" s="10">
        <v>45499</v>
      </c>
      <c r="C190" s="10">
        <v>45499</v>
      </c>
      <c r="D190" t="s">
        <v>131</v>
      </c>
      <c r="E190" t="s">
        <v>1007</v>
      </c>
      <c r="F190" t="s">
        <v>18</v>
      </c>
      <c r="G190" t="s">
        <v>19</v>
      </c>
      <c r="H190" t="s">
        <v>77</v>
      </c>
      <c r="I190">
        <v>5</v>
      </c>
      <c r="J190">
        <v>9628</v>
      </c>
      <c r="K190">
        <v>0.1</v>
      </c>
      <c r="L190" t="s">
        <v>38</v>
      </c>
      <c r="M190" t="s">
        <v>39</v>
      </c>
      <c r="N190" t="s">
        <v>48</v>
      </c>
      <c r="O190">
        <v>3.5</v>
      </c>
      <c r="P190">
        <v>43326</v>
      </c>
      <c r="Q190">
        <v>1200</v>
      </c>
      <c r="R190">
        <f>Table2_2[[#This Row],[cost]]*Table2_2[[#This Row],[Quantity]]</f>
        <v>6000</v>
      </c>
      <c r="S190">
        <f>Table2_2[[#This Row],[revenue]]-Table2_2[[#This Row],[total_cost]]</f>
        <v>37326</v>
      </c>
    </row>
    <row r="191" spans="1:19" x14ac:dyDescent="0.3">
      <c r="A191" t="s">
        <v>1424</v>
      </c>
      <c r="B191" s="10">
        <v>45292</v>
      </c>
      <c r="C191" s="10">
        <v>45292</v>
      </c>
      <c r="D191" t="s">
        <v>84</v>
      </c>
      <c r="E191" t="s">
        <v>620</v>
      </c>
      <c r="F191" t="s">
        <v>43</v>
      </c>
      <c r="G191" t="s">
        <v>29</v>
      </c>
      <c r="H191" t="s">
        <v>20</v>
      </c>
      <c r="I191">
        <v>5</v>
      </c>
      <c r="J191">
        <v>7000</v>
      </c>
      <c r="K191">
        <v>0.15</v>
      </c>
      <c r="L191" t="s">
        <v>38</v>
      </c>
      <c r="M191" t="s">
        <v>22</v>
      </c>
      <c r="N191" t="s">
        <v>48</v>
      </c>
      <c r="O191">
        <v>4.9000000000000004</v>
      </c>
      <c r="P191">
        <v>29750</v>
      </c>
      <c r="Q191">
        <v>900</v>
      </c>
      <c r="R191">
        <f>Table2_2[[#This Row],[cost]]*Table2_2[[#This Row],[Quantity]]</f>
        <v>4500</v>
      </c>
      <c r="S191">
        <f>Table2_2[[#This Row],[revenue]]-Table2_2[[#This Row],[total_cost]]</f>
        <v>25250</v>
      </c>
    </row>
    <row r="192" spans="1:19" x14ac:dyDescent="0.3">
      <c r="A192" t="s">
        <v>1431</v>
      </c>
      <c r="B192" s="10">
        <v>45390</v>
      </c>
      <c r="C192" s="10">
        <v>45390</v>
      </c>
      <c r="D192" t="s">
        <v>127</v>
      </c>
      <c r="E192" t="s">
        <v>1311</v>
      </c>
      <c r="F192" t="s">
        <v>28</v>
      </c>
      <c r="G192" t="s">
        <v>37</v>
      </c>
      <c r="H192" t="s">
        <v>77</v>
      </c>
      <c r="I192">
        <v>1</v>
      </c>
      <c r="J192">
        <v>8834</v>
      </c>
      <c r="K192">
        <v>0</v>
      </c>
      <c r="L192" t="s">
        <v>58</v>
      </c>
      <c r="M192" t="s">
        <v>39</v>
      </c>
      <c r="N192" t="s">
        <v>23</v>
      </c>
      <c r="O192">
        <v>3.3</v>
      </c>
      <c r="P192">
        <v>8834</v>
      </c>
      <c r="Q192">
        <v>500</v>
      </c>
      <c r="R192">
        <f>Table2_2[[#This Row],[cost]]*Table2_2[[#This Row],[Quantity]]</f>
        <v>500</v>
      </c>
      <c r="S192">
        <f>Table2_2[[#This Row],[revenue]]-Table2_2[[#This Row],[total_cost]]</f>
        <v>8334</v>
      </c>
    </row>
    <row r="193" spans="1:19" x14ac:dyDescent="0.3">
      <c r="A193" t="s">
        <v>1436</v>
      </c>
      <c r="B193" s="10">
        <v>45440</v>
      </c>
      <c r="C193" s="10">
        <v>45440</v>
      </c>
      <c r="D193" t="s">
        <v>62</v>
      </c>
      <c r="E193" t="s">
        <v>1438</v>
      </c>
      <c r="F193" t="s">
        <v>57</v>
      </c>
      <c r="G193" t="s">
        <v>29</v>
      </c>
      <c r="H193" t="s">
        <v>77</v>
      </c>
      <c r="I193">
        <v>5</v>
      </c>
      <c r="J193">
        <v>9133</v>
      </c>
      <c r="K193">
        <v>0</v>
      </c>
      <c r="L193" t="s">
        <v>31</v>
      </c>
      <c r="M193" t="s">
        <v>22</v>
      </c>
      <c r="N193" t="s">
        <v>32</v>
      </c>
      <c r="O193">
        <v>4.5999999999999996</v>
      </c>
      <c r="P193">
        <v>45665</v>
      </c>
      <c r="Q193">
        <v>500</v>
      </c>
      <c r="R193">
        <f>Table2_2[[#This Row],[cost]]*Table2_2[[#This Row],[Quantity]]</f>
        <v>2500</v>
      </c>
      <c r="S193">
        <f>Table2_2[[#This Row],[revenue]]-Table2_2[[#This Row],[total_cost]]</f>
        <v>43165</v>
      </c>
    </row>
    <row r="194" spans="1:19" x14ac:dyDescent="0.3">
      <c r="A194" t="s">
        <v>944</v>
      </c>
      <c r="B194" s="10">
        <v>45248</v>
      </c>
      <c r="C194" s="10">
        <v>45248</v>
      </c>
      <c r="D194" t="s">
        <v>67</v>
      </c>
      <c r="E194" t="s">
        <v>560</v>
      </c>
      <c r="F194" t="s">
        <v>64</v>
      </c>
      <c r="G194" t="s">
        <v>29</v>
      </c>
      <c r="H194" t="s">
        <v>99</v>
      </c>
      <c r="I194">
        <v>2</v>
      </c>
      <c r="J194">
        <v>8218</v>
      </c>
      <c r="K194">
        <v>0.2</v>
      </c>
      <c r="L194" t="s">
        <v>58</v>
      </c>
      <c r="M194" t="s">
        <v>39</v>
      </c>
      <c r="N194" t="s">
        <v>48</v>
      </c>
      <c r="O194">
        <v>3.8</v>
      </c>
      <c r="P194">
        <v>13148.800000000001</v>
      </c>
      <c r="Q194">
        <v>500</v>
      </c>
      <c r="R194">
        <f>Table2_2[[#This Row],[cost]]*Table2_2[[#This Row],[Quantity]]</f>
        <v>1000</v>
      </c>
      <c r="S194">
        <f>Table2_2[[#This Row],[revenue]]-Table2_2[[#This Row],[total_cost]]</f>
        <v>12148.800000000001</v>
      </c>
    </row>
    <row r="195" spans="1:19" x14ac:dyDescent="0.3">
      <c r="A195" t="s">
        <v>1451</v>
      </c>
      <c r="B195" s="10">
        <v>45568</v>
      </c>
      <c r="C195" s="10">
        <v>45568</v>
      </c>
      <c r="D195" t="s">
        <v>16</v>
      </c>
      <c r="E195" t="s">
        <v>778</v>
      </c>
      <c r="F195" t="s">
        <v>64</v>
      </c>
      <c r="G195" t="s">
        <v>53</v>
      </c>
      <c r="H195" t="s">
        <v>30</v>
      </c>
      <c r="I195">
        <v>2</v>
      </c>
      <c r="J195">
        <v>9538</v>
      </c>
      <c r="K195">
        <v>0.15</v>
      </c>
      <c r="L195" t="s">
        <v>21</v>
      </c>
      <c r="M195" t="s">
        <v>39</v>
      </c>
      <c r="N195" t="s">
        <v>48</v>
      </c>
      <c r="O195">
        <v>3.7</v>
      </c>
      <c r="P195">
        <v>16214.6</v>
      </c>
      <c r="Q195">
        <v>900</v>
      </c>
      <c r="R195">
        <f>Table2_2[[#This Row],[cost]]*Table2_2[[#This Row],[Quantity]]</f>
        <v>1800</v>
      </c>
      <c r="S195">
        <f>Table2_2[[#This Row],[revenue]]-Table2_2[[#This Row],[total_cost]]</f>
        <v>14414.6</v>
      </c>
    </row>
    <row r="196" spans="1:19" x14ac:dyDescent="0.3">
      <c r="A196" t="s">
        <v>1455</v>
      </c>
      <c r="B196" s="10">
        <v>44989</v>
      </c>
      <c r="C196" s="10">
        <v>44989</v>
      </c>
      <c r="D196" t="s">
        <v>114</v>
      </c>
      <c r="E196" t="s">
        <v>250</v>
      </c>
      <c r="F196" t="s">
        <v>73</v>
      </c>
      <c r="G196" t="s">
        <v>37</v>
      </c>
      <c r="H196" t="s">
        <v>30</v>
      </c>
      <c r="I196">
        <v>2</v>
      </c>
      <c r="J196">
        <v>4523</v>
      </c>
      <c r="K196">
        <v>0.05</v>
      </c>
      <c r="L196" t="s">
        <v>21</v>
      </c>
      <c r="M196" t="s">
        <v>22</v>
      </c>
      <c r="N196" t="s">
        <v>32</v>
      </c>
      <c r="O196">
        <v>4.0999999999999996</v>
      </c>
      <c r="P196">
        <v>8593.6999999999989</v>
      </c>
      <c r="Q196">
        <v>1200</v>
      </c>
      <c r="R196">
        <f>Table2_2[[#This Row],[cost]]*Table2_2[[#This Row],[Quantity]]</f>
        <v>2400</v>
      </c>
      <c r="S196">
        <f>Table2_2[[#This Row],[revenue]]-Table2_2[[#This Row],[total_cost]]</f>
        <v>6193.6999999999989</v>
      </c>
    </row>
    <row r="197" spans="1:19" x14ac:dyDescent="0.3">
      <c r="A197" t="s">
        <v>1464</v>
      </c>
      <c r="B197" s="10">
        <v>45211</v>
      </c>
      <c r="C197" s="10">
        <v>45211</v>
      </c>
      <c r="D197" t="s">
        <v>67</v>
      </c>
      <c r="E197" t="s">
        <v>1027</v>
      </c>
      <c r="F197" t="s">
        <v>64</v>
      </c>
      <c r="G197" t="s">
        <v>29</v>
      </c>
      <c r="H197" t="s">
        <v>77</v>
      </c>
      <c r="I197">
        <v>3</v>
      </c>
      <c r="J197">
        <v>3961</v>
      </c>
      <c r="K197">
        <v>0.2</v>
      </c>
      <c r="L197" t="s">
        <v>21</v>
      </c>
      <c r="M197" t="s">
        <v>39</v>
      </c>
      <c r="N197" t="s">
        <v>32</v>
      </c>
      <c r="O197">
        <v>3.1</v>
      </c>
      <c r="P197">
        <v>9506.4</v>
      </c>
      <c r="Q197">
        <v>1500</v>
      </c>
      <c r="R197">
        <f>Table2_2[[#This Row],[cost]]*Table2_2[[#This Row],[Quantity]]</f>
        <v>4500</v>
      </c>
      <c r="S197">
        <f>Table2_2[[#This Row],[revenue]]-Table2_2[[#This Row],[total_cost]]</f>
        <v>5006.3999999999996</v>
      </c>
    </row>
    <row r="198" spans="1:19" x14ac:dyDescent="0.3">
      <c r="A198" t="s">
        <v>1475</v>
      </c>
      <c r="B198" s="10">
        <v>45459</v>
      </c>
      <c r="C198" s="10">
        <v>45459</v>
      </c>
      <c r="D198" t="s">
        <v>91</v>
      </c>
      <c r="E198" t="s">
        <v>880</v>
      </c>
      <c r="F198" t="s">
        <v>43</v>
      </c>
      <c r="G198" t="s">
        <v>37</v>
      </c>
      <c r="H198" t="s">
        <v>30</v>
      </c>
      <c r="I198">
        <v>4</v>
      </c>
      <c r="J198">
        <v>2232</v>
      </c>
      <c r="K198">
        <v>0.2</v>
      </c>
      <c r="L198" t="s">
        <v>38</v>
      </c>
      <c r="M198" t="s">
        <v>39</v>
      </c>
      <c r="N198" t="s">
        <v>59</v>
      </c>
      <c r="O198">
        <v>3</v>
      </c>
      <c r="P198">
        <v>7142.4000000000005</v>
      </c>
      <c r="Q198">
        <v>1200</v>
      </c>
      <c r="R198">
        <f>Table2_2[[#This Row],[cost]]*Table2_2[[#This Row],[Quantity]]</f>
        <v>4800</v>
      </c>
      <c r="S198">
        <f>Table2_2[[#This Row],[revenue]]-Table2_2[[#This Row],[total_cost]]</f>
        <v>2342.4000000000005</v>
      </c>
    </row>
    <row r="199" spans="1:19" x14ac:dyDescent="0.3">
      <c r="A199" t="s">
        <v>669</v>
      </c>
      <c r="B199" s="10">
        <v>45490</v>
      </c>
      <c r="C199" s="10">
        <v>45490</v>
      </c>
      <c r="D199" t="s">
        <v>35</v>
      </c>
      <c r="E199" t="s">
        <v>800</v>
      </c>
      <c r="F199" t="s">
        <v>64</v>
      </c>
      <c r="G199" t="s">
        <v>19</v>
      </c>
      <c r="H199" t="s">
        <v>77</v>
      </c>
      <c r="I199">
        <v>2</v>
      </c>
      <c r="J199">
        <v>2232</v>
      </c>
      <c r="K199">
        <v>0.15</v>
      </c>
      <c r="L199" t="s">
        <v>21</v>
      </c>
      <c r="M199" t="s">
        <v>39</v>
      </c>
      <c r="N199" t="s">
        <v>59</v>
      </c>
      <c r="O199">
        <v>3.1</v>
      </c>
      <c r="P199">
        <v>3794.4</v>
      </c>
      <c r="Q199">
        <v>1200</v>
      </c>
      <c r="R199">
        <f>Table2_2[[#This Row],[cost]]*Table2_2[[#This Row],[Quantity]]</f>
        <v>2400</v>
      </c>
      <c r="S199">
        <f>Table2_2[[#This Row],[revenue]]-Table2_2[[#This Row],[total_cost]]</f>
        <v>1394.4</v>
      </c>
    </row>
    <row r="200" spans="1:19" x14ac:dyDescent="0.3">
      <c r="A200" t="s">
        <v>1488</v>
      </c>
      <c r="B200" s="10">
        <v>44947</v>
      </c>
      <c r="C200" s="10">
        <v>44947</v>
      </c>
      <c r="D200" t="s">
        <v>51</v>
      </c>
      <c r="E200" t="s">
        <v>184</v>
      </c>
      <c r="F200" t="s">
        <v>18</v>
      </c>
      <c r="G200" t="s">
        <v>29</v>
      </c>
      <c r="H200" t="s">
        <v>30</v>
      </c>
      <c r="I200">
        <v>2</v>
      </c>
      <c r="J200">
        <v>7246</v>
      </c>
      <c r="K200">
        <v>0.15</v>
      </c>
      <c r="L200" t="s">
        <v>38</v>
      </c>
      <c r="M200" t="s">
        <v>39</v>
      </c>
      <c r="N200" t="s">
        <v>59</v>
      </c>
      <c r="O200">
        <v>3.9</v>
      </c>
      <c r="P200">
        <v>12318.199999999999</v>
      </c>
      <c r="Q200">
        <v>900</v>
      </c>
      <c r="R200">
        <f>Table2_2[[#This Row],[cost]]*Table2_2[[#This Row],[Quantity]]</f>
        <v>1800</v>
      </c>
      <c r="S200">
        <f>Table2_2[[#This Row],[revenue]]-Table2_2[[#This Row],[total_cost]]</f>
        <v>10518.199999999999</v>
      </c>
    </row>
    <row r="201" spans="1:19" x14ac:dyDescent="0.3">
      <c r="A201" t="s">
        <v>1492</v>
      </c>
      <c r="B201" s="10">
        <v>44952</v>
      </c>
      <c r="C201" s="10">
        <v>44952</v>
      </c>
      <c r="D201" t="s">
        <v>67</v>
      </c>
      <c r="E201" t="s">
        <v>1493</v>
      </c>
      <c r="F201" t="s">
        <v>18</v>
      </c>
      <c r="G201" t="s">
        <v>29</v>
      </c>
      <c r="H201" t="s">
        <v>20</v>
      </c>
      <c r="I201">
        <v>5</v>
      </c>
      <c r="J201">
        <v>2477</v>
      </c>
      <c r="K201">
        <v>0.15</v>
      </c>
      <c r="L201" t="s">
        <v>31</v>
      </c>
      <c r="M201" t="s">
        <v>39</v>
      </c>
      <c r="N201" t="s">
        <v>23</v>
      </c>
      <c r="O201">
        <v>3.7</v>
      </c>
      <c r="P201">
        <v>10527.25</v>
      </c>
      <c r="Q201">
        <v>700</v>
      </c>
      <c r="R201">
        <f>Table2_2[[#This Row],[cost]]*Table2_2[[#This Row],[Quantity]]</f>
        <v>3500</v>
      </c>
      <c r="S201">
        <f>Table2_2[[#This Row],[revenue]]-Table2_2[[#This Row],[total_cost]]</f>
        <v>7027.25</v>
      </c>
    </row>
    <row r="202" spans="1:19" x14ac:dyDescent="0.3">
      <c r="A202" t="s">
        <v>1496</v>
      </c>
      <c r="B202" s="10">
        <v>45142</v>
      </c>
      <c r="C202" s="10">
        <v>45142</v>
      </c>
      <c r="D202" t="s">
        <v>80</v>
      </c>
      <c r="E202" t="s">
        <v>1331</v>
      </c>
      <c r="F202" t="s">
        <v>18</v>
      </c>
      <c r="G202" t="s">
        <v>19</v>
      </c>
      <c r="H202" t="s">
        <v>77</v>
      </c>
      <c r="I202">
        <v>4</v>
      </c>
      <c r="J202">
        <v>6512</v>
      </c>
      <c r="K202">
        <v>0.05</v>
      </c>
      <c r="L202" t="s">
        <v>21</v>
      </c>
      <c r="M202" t="s">
        <v>39</v>
      </c>
      <c r="N202" t="s">
        <v>32</v>
      </c>
      <c r="O202">
        <v>4.2</v>
      </c>
      <c r="P202">
        <v>24745.599999999999</v>
      </c>
      <c r="Q202">
        <v>500</v>
      </c>
      <c r="R202">
        <f>Table2_2[[#This Row],[cost]]*Table2_2[[#This Row],[Quantity]]</f>
        <v>2000</v>
      </c>
      <c r="S202">
        <f>Table2_2[[#This Row],[revenue]]-Table2_2[[#This Row],[total_cost]]</f>
        <v>22745.599999999999</v>
      </c>
    </row>
    <row r="203" spans="1:19" x14ac:dyDescent="0.3">
      <c r="A203" t="s">
        <v>1498</v>
      </c>
      <c r="B203" s="10">
        <v>45194</v>
      </c>
      <c r="C203" s="10">
        <v>45194</v>
      </c>
      <c r="D203" t="s">
        <v>67</v>
      </c>
      <c r="E203" t="s">
        <v>964</v>
      </c>
      <c r="F203" t="s">
        <v>64</v>
      </c>
      <c r="G203" t="s">
        <v>37</v>
      </c>
      <c r="H203" t="s">
        <v>20</v>
      </c>
      <c r="I203">
        <v>5</v>
      </c>
      <c r="J203">
        <v>6716</v>
      </c>
      <c r="K203">
        <v>0</v>
      </c>
      <c r="L203" t="s">
        <v>58</v>
      </c>
      <c r="M203" t="s">
        <v>39</v>
      </c>
      <c r="N203" t="s">
        <v>59</v>
      </c>
      <c r="O203">
        <v>4.2</v>
      </c>
      <c r="P203">
        <v>33580</v>
      </c>
      <c r="Q203">
        <v>500</v>
      </c>
      <c r="R203">
        <f>Table2_2[[#This Row],[cost]]*Table2_2[[#This Row],[Quantity]]</f>
        <v>2500</v>
      </c>
      <c r="S203">
        <f>Table2_2[[#This Row],[revenue]]-Table2_2[[#This Row],[total_cost]]</f>
        <v>31080</v>
      </c>
    </row>
    <row r="204" spans="1:19" x14ac:dyDescent="0.3">
      <c r="A204" t="s">
        <v>1499</v>
      </c>
      <c r="B204" s="10">
        <v>45001</v>
      </c>
      <c r="C204" s="10">
        <v>45001</v>
      </c>
      <c r="D204" t="s">
        <v>96</v>
      </c>
      <c r="E204" t="s">
        <v>331</v>
      </c>
      <c r="F204" t="s">
        <v>43</v>
      </c>
      <c r="G204" t="s">
        <v>19</v>
      </c>
      <c r="H204" t="s">
        <v>77</v>
      </c>
      <c r="I204">
        <v>2</v>
      </c>
      <c r="J204">
        <v>2928</v>
      </c>
      <c r="K204">
        <v>0.2</v>
      </c>
      <c r="L204" t="s">
        <v>38</v>
      </c>
      <c r="M204" t="s">
        <v>22</v>
      </c>
      <c r="N204" t="s">
        <v>32</v>
      </c>
      <c r="O204">
        <v>3.8</v>
      </c>
      <c r="P204">
        <v>4684.8</v>
      </c>
      <c r="Q204">
        <v>900</v>
      </c>
      <c r="R204">
        <f>Table2_2[[#This Row],[cost]]*Table2_2[[#This Row],[Quantity]]</f>
        <v>1800</v>
      </c>
      <c r="S204">
        <f>Table2_2[[#This Row],[revenue]]-Table2_2[[#This Row],[total_cost]]</f>
        <v>2884.8</v>
      </c>
    </row>
    <row r="205" spans="1:19" x14ac:dyDescent="0.3">
      <c r="A205" t="s">
        <v>1508</v>
      </c>
      <c r="B205" s="10">
        <v>45254</v>
      </c>
      <c r="C205" s="10">
        <v>45254</v>
      </c>
      <c r="D205" t="s">
        <v>51</v>
      </c>
      <c r="E205" t="s">
        <v>210</v>
      </c>
      <c r="F205" t="s">
        <v>18</v>
      </c>
      <c r="G205" t="s">
        <v>53</v>
      </c>
      <c r="H205" t="s">
        <v>99</v>
      </c>
      <c r="I205">
        <v>3</v>
      </c>
      <c r="J205">
        <v>3595</v>
      </c>
      <c r="K205">
        <v>0.15</v>
      </c>
      <c r="L205" t="s">
        <v>58</v>
      </c>
      <c r="M205" t="s">
        <v>22</v>
      </c>
      <c r="N205" t="s">
        <v>32</v>
      </c>
      <c r="O205">
        <v>5</v>
      </c>
      <c r="P205">
        <v>9167.25</v>
      </c>
      <c r="Q205">
        <v>700</v>
      </c>
      <c r="R205">
        <f>Table2_2[[#This Row],[cost]]*Table2_2[[#This Row],[Quantity]]</f>
        <v>2100</v>
      </c>
      <c r="S205">
        <f>Table2_2[[#This Row],[revenue]]-Table2_2[[#This Row],[total_cost]]</f>
        <v>7067.25</v>
      </c>
    </row>
    <row r="206" spans="1:19" x14ac:dyDescent="0.3">
      <c r="A206" t="s">
        <v>1513</v>
      </c>
      <c r="B206" s="10">
        <v>45207</v>
      </c>
      <c r="C206" s="10">
        <v>45207</v>
      </c>
      <c r="D206" t="s">
        <v>84</v>
      </c>
      <c r="E206" t="s">
        <v>270</v>
      </c>
      <c r="F206" t="s">
        <v>43</v>
      </c>
      <c r="G206" t="s">
        <v>37</v>
      </c>
      <c r="H206" t="s">
        <v>99</v>
      </c>
      <c r="I206">
        <v>4</v>
      </c>
      <c r="J206">
        <v>5045</v>
      </c>
      <c r="K206">
        <v>0.05</v>
      </c>
      <c r="L206" t="s">
        <v>31</v>
      </c>
      <c r="M206" t="s">
        <v>22</v>
      </c>
      <c r="N206" t="s">
        <v>32</v>
      </c>
      <c r="O206">
        <v>4.5999999999999996</v>
      </c>
      <c r="P206">
        <v>19171</v>
      </c>
      <c r="Q206">
        <v>500</v>
      </c>
      <c r="R206">
        <f>Table2_2[[#This Row],[cost]]*Table2_2[[#This Row],[Quantity]]</f>
        <v>2000</v>
      </c>
      <c r="S206">
        <f>Table2_2[[#This Row],[revenue]]-Table2_2[[#This Row],[total_cost]]</f>
        <v>17171</v>
      </c>
    </row>
    <row r="207" spans="1:19" x14ac:dyDescent="0.3">
      <c r="A207" t="s">
        <v>1517</v>
      </c>
      <c r="B207" s="10">
        <v>45505</v>
      </c>
      <c r="C207" s="10">
        <v>45505</v>
      </c>
      <c r="D207" t="s">
        <v>71</v>
      </c>
      <c r="E207" t="s">
        <v>1129</v>
      </c>
      <c r="F207" t="s">
        <v>18</v>
      </c>
      <c r="G207" t="s">
        <v>53</v>
      </c>
      <c r="H207" t="s">
        <v>99</v>
      </c>
      <c r="I207">
        <v>3</v>
      </c>
      <c r="J207">
        <v>1916</v>
      </c>
      <c r="K207">
        <v>0.2</v>
      </c>
      <c r="L207" t="s">
        <v>58</v>
      </c>
      <c r="M207" t="s">
        <v>22</v>
      </c>
      <c r="N207" t="s">
        <v>32</v>
      </c>
      <c r="O207">
        <v>4.7</v>
      </c>
      <c r="P207">
        <v>4598.4000000000005</v>
      </c>
      <c r="Q207">
        <v>1500</v>
      </c>
      <c r="R207">
        <f>Table2_2[[#This Row],[cost]]*Table2_2[[#This Row],[Quantity]]</f>
        <v>4500</v>
      </c>
      <c r="S207">
        <f>Table2_2[[#This Row],[revenue]]-Table2_2[[#This Row],[total_cost]]</f>
        <v>98.400000000000546</v>
      </c>
    </row>
    <row r="208" spans="1:19" x14ac:dyDescent="0.3">
      <c r="A208" t="s">
        <v>1531</v>
      </c>
      <c r="B208" s="10">
        <v>44996</v>
      </c>
      <c r="C208" s="10">
        <v>44996</v>
      </c>
      <c r="D208" t="s">
        <v>71</v>
      </c>
      <c r="E208" t="s">
        <v>1532</v>
      </c>
      <c r="F208" t="s">
        <v>73</v>
      </c>
      <c r="G208" t="s">
        <v>29</v>
      </c>
      <c r="H208" t="s">
        <v>20</v>
      </c>
      <c r="I208">
        <v>1</v>
      </c>
      <c r="J208">
        <v>6142</v>
      </c>
      <c r="K208">
        <v>0.1</v>
      </c>
      <c r="L208" t="s">
        <v>38</v>
      </c>
      <c r="M208" t="s">
        <v>22</v>
      </c>
      <c r="N208" t="s">
        <v>32</v>
      </c>
      <c r="O208">
        <v>3.9</v>
      </c>
      <c r="P208">
        <v>5527.8</v>
      </c>
      <c r="Q208">
        <v>1500</v>
      </c>
      <c r="R208">
        <f>Table2_2[[#This Row],[cost]]*Table2_2[[#This Row],[Quantity]]</f>
        <v>1500</v>
      </c>
      <c r="S208">
        <f>Table2_2[[#This Row],[revenue]]-Table2_2[[#This Row],[total_cost]]</f>
        <v>4027.8</v>
      </c>
    </row>
    <row r="209" spans="1:19" x14ac:dyDescent="0.3">
      <c r="A209" t="s">
        <v>1535</v>
      </c>
      <c r="B209" s="10">
        <v>45517</v>
      </c>
      <c r="C209" s="10">
        <v>45517</v>
      </c>
      <c r="D209" t="s">
        <v>96</v>
      </c>
      <c r="E209" t="s">
        <v>1226</v>
      </c>
      <c r="F209" t="s">
        <v>64</v>
      </c>
      <c r="G209" t="s">
        <v>19</v>
      </c>
      <c r="H209" t="s">
        <v>99</v>
      </c>
      <c r="I209">
        <v>4</v>
      </c>
      <c r="J209">
        <v>4127</v>
      </c>
      <c r="K209">
        <v>0.15</v>
      </c>
      <c r="L209" t="s">
        <v>58</v>
      </c>
      <c r="M209" t="s">
        <v>22</v>
      </c>
      <c r="N209" t="s">
        <v>23</v>
      </c>
      <c r="O209">
        <v>3.3</v>
      </c>
      <c r="P209">
        <v>14031.8</v>
      </c>
      <c r="Q209">
        <v>700</v>
      </c>
      <c r="R209">
        <f>Table2_2[[#This Row],[cost]]*Table2_2[[#This Row],[Quantity]]</f>
        <v>2800</v>
      </c>
      <c r="S209">
        <f>Table2_2[[#This Row],[revenue]]-Table2_2[[#This Row],[total_cost]]</f>
        <v>11231.8</v>
      </c>
    </row>
    <row r="210" spans="1:19" x14ac:dyDescent="0.3">
      <c r="A210" t="s">
        <v>1537</v>
      </c>
      <c r="B210" s="10">
        <v>45043</v>
      </c>
      <c r="C210" s="10">
        <v>45043</v>
      </c>
      <c r="D210" t="s">
        <v>127</v>
      </c>
      <c r="E210" t="s">
        <v>306</v>
      </c>
      <c r="F210" t="s">
        <v>98</v>
      </c>
      <c r="G210" t="s">
        <v>19</v>
      </c>
      <c r="H210" t="s">
        <v>30</v>
      </c>
      <c r="I210">
        <v>2</v>
      </c>
      <c r="J210">
        <v>3954</v>
      </c>
      <c r="K210">
        <v>0.2</v>
      </c>
      <c r="L210" t="s">
        <v>38</v>
      </c>
      <c r="M210" t="s">
        <v>22</v>
      </c>
      <c r="N210" t="s">
        <v>48</v>
      </c>
      <c r="O210">
        <v>4.2</v>
      </c>
      <c r="P210">
        <v>6326.4000000000005</v>
      </c>
      <c r="Q210">
        <v>700</v>
      </c>
      <c r="R210">
        <f>Table2_2[[#This Row],[cost]]*Table2_2[[#This Row],[Quantity]]</f>
        <v>1400</v>
      </c>
      <c r="S210">
        <f>Table2_2[[#This Row],[revenue]]-Table2_2[[#This Row],[total_cost]]</f>
        <v>4926.4000000000005</v>
      </c>
    </row>
    <row r="211" spans="1:19" x14ac:dyDescent="0.3">
      <c r="A211" t="s">
        <v>1544</v>
      </c>
      <c r="B211" s="10">
        <v>45267</v>
      </c>
      <c r="C211" s="10">
        <v>45267</v>
      </c>
      <c r="D211" t="s">
        <v>26</v>
      </c>
      <c r="E211" t="s">
        <v>417</v>
      </c>
      <c r="F211" t="s">
        <v>28</v>
      </c>
      <c r="G211" t="s">
        <v>53</v>
      </c>
      <c r="H211" t="s">
        <v>77</v>
      </c>
      <c r="I211">
        <v>4</v>
      </c>
      <c r="J211">
        <v>4300</v>
      </c>
      <c r="K211">
        <v>0</v>
      </c>
      <c r="L211" t="s">
        <v>31</v>
      </c>
      <c r="M211" t="s">
        <v>22</v>
      </c>
      <c r="N211" t="s">
        <v>59</v>
      </c>
      <c r="O211">
        <v>3.6</v>
      </c>
      <c r="P211">
        <v>17200</v>
      </c>
      <c r="Q211">
        <v>1500</v>
      </c>
      <c r="R211">
        <f>Table2_2[[#This Row],[cost]]*Table2_2[[#This Row],[Quantity]]</f>
        <v>6000</v>
      </c>
      <c r="S211">
        <f>Table2_2[[#This Row],[revenue]]-Table2_2[[#This Row],[total_cost]]</f>
        <v>11200</v>
      </c>
    </row>
    <row r="212" spans="1:19" x14ac:dyDescent="0.3">
      <c r="A212" t="s">
        <v>1548</v>
      </c>
      <c r="B212" s="10">
        <v>45569</v>
      </c>
      <c r="C212" s="10">
        <v>45569</v>
      </c>
      <c r="D212" t="s">
        <v>16</v>
      </c>
      <c r="E212" t="s">
        <v>1549</v>
      </c>
      <c r="F212" t="s">
        <v>18</v>
      </c>
      <c r="G212" t="s">
        <v>29</v>
      </c>
      <c r="H212" t="s">
        <v>30</v>
      </c>
      <c r="I212">
        <v>3</v>
      </c>
      <c r="J212">
        <v>2394</v>
      </c>
      <c r="K212">
        <v>0.2</v>
      </c>
      <c r="L212" t="s">
        <v>31</v>
      </c>
      <c r="M212" t="s">
        <v>22</v>
      </c>
      <c r="N212" t="s">
        <v>48</v>
      </c>
      <c r="O212">
        <v>4.5</v>
      </c>
      <c r="P212">
        <v>5745.6</v>
      </c>
      <c r="Q212">
        <v>1200</v>
      </c>
      <c r="R212">
        <f>Table2_2[[#This Row],[cost]]*Table2_2[[#This Row],[Quantity]]</f>
        <v>3600</v>
      </c>
      <c r="S212">
        <f>Table2_2[[#This Row],[revenue]]-Table2_2[[#This Row],[total_cost]]</f>
        <v>2145.6000000000004</v>
      </c>
    </row>
    <row r="213" spans="1:19" x14ac:dyDescent="0.3">
      <c r="A213" t="s">
        <v>1114</v>
      </c>
      <c r="B213" s="10">
        <v>45612</v>
      </c>
      <c r="C213" s="10">
        <v>45612</v>
      </c>
      <c r="D213" t="s">
        <v>71</v>
      </c>
      <c r="E213" t="s">
        <v>1552</v>
      </c>
      <c r="F213" t="s">
        <v>28</v>
      </c>
      <c r="G213" t="s">
        <v>53</v>
      </c>
      <c r="H213" t="s">
        <v>30</v>
      </c>
      <c r="I213">
        <v>1</v>
      </c>
      <c r="J213">
        <v>6759</v>
      </c>
      <c r="K213">
        <v>0.1</v>
      </c>
      <c r="L213" t="s">
        <v>21</v>
      </c>
      <c r="M213" t="s">
        <v>22</v>
      </c>
      <c r="N213" t="s">
        <v>48</v>
      </c>
      <c r="O213">
        <v>4.0999999999999996</v>
      </c>
      <c r="P213">
        <v>6083.1</v>
      </c>
      <c r="Q213">
        <v>1200</v>
      </c>
      <c r="R213">
        <f>Table2_2[[#This Row],[cost]]*Table2_2[[#This Row],[Quantity]]</f>
        <v>1200</v>
      </c>
      <c r="S213">
        <f>Table2_2[[#This Row],[revenue]]-Table2_2[[#This Row],[total_cost]]</f>
        <v>4883.1000000000004</v>
      </c>
    </row>
    <row r="214" spans="1:19" x14ac:dyDescent="0.3">
      <c r="A214" t="s">
        <v>558</v>
      </c>
      <c r="B214" s="10">
        <v>45088</v>
      </c>
      <c r="C214" s="10">
        <v>45088</v>
      </c>
      <c r="D214" t="s">
        <v>127</v>
      </c>
      <c r="E214" t="s">
        <v>178</v>
      </c>
      <c r="F214" t="s">
        <v>28</v>
      </c>
      <c r="G214" t="s">
        <v>37</v>
      </c>
      <c r="H214" t="s">
        <v>30</v>
      </c>
      <c r="I214">
        <v>1</v>
      </c>
      <c r="J214">
        <v>1716</v>
      </c>
      <c r="K214">
        <v>0.15</v>
      </c>
      <c r="L214" t="s">
        <v>38</v>
      </c>
      <c r="M214" t="s">
        <v>22</v>
      </c>
      <c r="N214" t="s">
        <v>59</v>
      </c>
      <c r="O214">
        <v>4</v>
      </c>
      <c r="P214">
        <v>1458.6</v>
      </c>
      <c r="Q214">
        <v>1200</v>
      </c>
      <c r="R214">
        <f>Table2_2[[#This Row],[cost]]*Table2_2[[#This Row],[Quantity]]</f>
        <v>1200</v>
      </c>
      <c r="S214">
        <f>Table2_2[[#This Row],[revenue]]-Table2_2[[#This Row],[total_cost]]</f>
        <v>258.59999999999991</v>
      </c>
    </row>
    <row r="215" spans="1:19" x14ac:dyDescent="0.3">
      <c r="A215" t="s">
        <v>1556</v>
      </c>
      <c r="B215" s="10">
        <v>45260</v>
      </c>
      <c r="C215" s="10">
        <v>45260</v>
      </c>
      <c r="D215" t="s">
        <v>131</v>
      </c>
      <c r="E215" t="s">
        <v>572</v>
      </c>
      <c r="F215" t="s">
        <v>28</v>
      </c>
      <c r="G215" t="s">
        <v>19</v>
      </c>
      <c r="H215" t="s">
        <v>77</v>
      </c>
      <c r="I215">
        <v>2</v>
      </c>
      <c r="J215">
        <v>5597</v>
      </c>
      <c r="K215">
        <v>0.05</v>
      </c>
      <c r="L215" t="s">
        <v>58</v>
      </c>
      <c r="M215" t="s">
        <v>39</v>
      </c>
      <c r="N215" t="s">
        <v>32</v>
      </c>
      <c r="O215">
        <v>3</v>
      </c>
      <c r="P215">
        <v>10634.3</v>
      </c>
      <c r="Q215">
        <v>700</v>
      </c>
      <c r="R215">
        <f>Table2_2[[#This Row],[cost]]*Table2_2[[#This Row],[Quantity]]</f>
        <v>1400</v>
      </c>
      <c r="S215">
        <f>Table2_2[[#This Row],[revenue]]-Table2_2[[#This Row],[total_cost]]</f>
        <v>9234.2999999999993</v>
      </c>
    </row>
    <row r="216" spans="1:19" x14ac:dyDescent="0.3">
      <c r="A216" t="s">
        <v>1560</v>
      </c>
      <c r="B216" s="10">
        <v>44954</v>
      </c>
      <c r="C216" s="10">
        <v>44954</v>
      </c>
      <c r="D216" t="s">
        <v>91</v>
      </c>
      <c r="E216" t="s">
        <v>1561</v>
      </c>
      <c r="F216" t="s">
        <v>73</v>
      </c>
      <c r="G216" t="s">
        <v>53</v>
      </c>
      <c r="H216" t="s">
        <v>77</v>
      </c>
      <c r="I216">
        <v>4</v>
      </c>
      <c r="J216">
        <v>5753</v>
      </c>
      <c r="K216">
        <v>0.2</v>
      </c>
      <c r="L216" t="s">
        <v>31</v>
      </c>
      <c r="M216" t="s">
        <v>22</v>
      </c>
      <c r="N216" t="s">
        <v>48</v>
      </c>
      <c r="O216">
        <v>4.3</v>
      </c>
      <c r="P216">
        <v>18409.600000000002</v>
      </c>
      <c r="Q216">
        <v>900</v>
      </c>
      <c r="R216">
        <f>Table2_2[[#This Row],[cost]]*Table2_2[[#This Row],[Quantity]]</f>
        <v>3600</v>
      </c>
      <c r="S216">
        <f>Table2_2[[#This Row],[revenue]]-Table2_2[[#This Row],[total_cost]]</f>
        <v>14809.600000000002</v>
      </c>
    </row>
    <row r="217" spans="1:19" x14ac:dyDescent="0.3">
      <c r="A217" t="s">
        <v>1563</v>
      </c>
      <c r="B217" s="10">
        <v>45466</v>
      </c>
      <c r="C217" s="10">
        <v>45466</v>
      </c>
      <c r="D217" t="s">
        <v>114</v>
      </c>
      <c r="E217" t="s">
        <v>704</v>
      </c>
      <c r="F217" t="s">
        <v>57</v>
      </c>
      <c r="G217" t="s">
        <v>29</v>
      </c>
      <c r="H217" t="s">
        <v>30</v>
      </c>
      <c r="I217">
        <v>1</v>
      </c>
      <c r="J217">
        <v>1718</v>
      </c>
      <c r="K217">
        <v>0.05</v>
      </c>
      <c r="L217" t="s">
        <v>58</v>
      </c>
      <c r="M217" t="s">
        <v>39</v>
      </c>
      <c r="N217" t="s">
        <v>59</v>
      </c>
      <c r="O217">
        <v>4.4000000000000004</v>
      </c>
      <c r="P217">
        <v>1632.1</v>
      </c>
      <c r="Q217">
        <v>1200</v>
      </c>
      <c r="R217">
        <f>Table2_2[[#This Row],[cost]]*Table2_2[[#This Row],[Quantity]]</f>
        <v>1200</v>
      </c>
      <c r="S217">
        <f>Table2_2[[#This Row],[revenue]]-Table2_2[[#This Row],[total_cost]]</f>
        <v>432.09999999999991</v>
      </c>
    </row>
    <row r="218" spans="1:19" x14ac:dyDescent="0.3">
      <c r="A218" t="s">
        <v>1574</v>
      </c>
      <c r="B218" s="10">
        <v>45398</v>
      </c>
      <c r="C218" s="10">
        <v>45398</v>
      </c>
      <c r="D218" t="s">
        <v>80</v>
      </c>
      <c r="E218" t="s">
        <v>17</v>
      </c>
      <c r="F218" t="s">
        <v>98</v>
      </c>
      <c r="G218" t="s">
        <v>37</v>
      </c>
      <c r="H218" t="s">
        <v>99</v>
      </c>
      <c r="I218">
        <v>4</v>
      </c>
      <c r="J218">
        <v>5996</v>
      </c>
      <c r="K218">
        <v>0</v>
      </c>
      <c r="L218" t="s">
        <v>31</v>
      </c>
      <c r="M218" t="s">
        <v>22</v>
      </c>
      <c r="N218" t="s">
        <v>59</v>
      </c>
      <c r="O218">
        <v>3.3</v>
      </c>
      <c r="P218">
        <v>23984</v>
      </c>
      <c r="Q218">
        <v>700</v>
      </c>
      <c r="R218">
        <f>Table2_2[[#This Row],[cost]]*Table2_2[[#This Row],[Quantity]]</f>
        <v>2800</v>
      </c>
      <c r="S218">
        <f>Table2_2[[#This Row],[revenue]]-Table2_2[[#This Row],[total_cost]]</f>
        <v>21184</v>
      </c>
    </row>
    <row r="219" spans="1:19" x14ac:dyDescent="0.3">
      <c r="A219" t="s">
        <v>1576</v>
      </c>
      <c r="B219" s="10">
        <v>45387</v>
      </c>
      <c r="C219" s="10">
        <v>45387</v>
      </c>
      <c r="D219" t="s">
        <v>80</v>
      </c>
      <c r="E219" t="s">
        <v>543</v>
      </c>
      <c r="F219" t="s">
        <v>18</v>
      </c>
      <c r="G219" t="s">
        <v>37</v>
      </c>
      <c r="H219" t="s">
        <v>77</v>
      </c>
      <c r="I219">
        <v>2</v>
      </c>
      <c r="J219">
        <v>2983</v>
      </c>
      <c r="K219">
        <v>0</v>
      </c>
      <c r="L219" t="s">
        <v>31</v>
      </c>
      <c r="M219" t="s">
        <v>39</v>
      </c>
      <c r="N219" t="s">
        <v>48</v>
      </c>
      <c r="O219">
        <v>4.7</v>
      </c>
      <c r="P219">
        <v>5966</v>
      </c>
      <c r="Q219">
        <v>1500</v>
      </c>
      <c r="R219">
        <f>Table2_2[[#This Row],[cost]]*Table2_2[[#This Row],[Quantity]]</f>
        <v>3000</v>
      </c>
      <c r="S219">
        <f>Table2_2[[#This Row],[revenue]]-Table2_2[[#This Row],[total_cost]]</f>
        <v>2966</v>
      </c>
    </row>
    <row r="220" spans="1:19" x14ac:dyDescent="0.3">
      <c r="A220" t="s">
        <v>1591</v>
      </c>
      <c r="B220" s="10">
        <v>45494</v>
      </c>
      <c r="C220" s="10">
        <v>45494</v>
      </c>
      <c r="D220" t="s">
        <v>131</v>
      </c>
      <c r="E220" t="s">
        <v>1593</v>
      </c>
      <c r="F220" t="s">
        <v>64</v>
      </c>
      <c r="G220" t="s">
        <v>53</v>
      </c>
      <c r="H220" t="s">
        <v>99</v>
      </c>
      <c r="I220">
        <v>2</v>
      </c>
      <c r="J220">
        <v>3090</v>
      </c>
      <c r="K220">
        <v>0.05</v>
      </c>
      <c r="L220" t="s">
        <v>38</v>
      </c>
      <c r="M220" t="s">
        <v>22</v>
      </c>
      <c r="N220" t="s">
        <v>48</v>
      </c>
      <c r="O220">
        <v>3.5</v>
      </c>
      <c r="P220">
        <v>5871</v>
      </c>
      <c r="Q220">
        <v>1500</v>
      </c>
      <c r="R220">
        <f>Table2_2[[#This Row],[cost]]*Table2_2[[#This Row],[Quantity]]</f>
        <v>3000</v>
      </c>
      <c r="S220">
        <f>Table2_2[[#This Row],[revenue]]-Table2_2[[#This Row],[total_cost]]</f>
        <v>2871</v>
      </c>
    </row>
    <row r="221" spans="1:19" x14ac:dyDescent="0.3">
      <c r="A221" t="s">
        <v>1595</v>
      </c>
      <c r="B221" s="10">
        <v>45209</v>
      </c>
      <c r="C221" s="10">
        <v>45209</v>
      </c>
      <c r="D221" t="s">
        <v>91</v>
      </c>
      <c r="E221" t="s">
        <v>709</v>
      </c>
      <c r="F221" t="s">
        <v>43</v>
      </c>
      <c r="G221" t="s">
        <v>19</v>
      </c>
      <c r="H221" t="s">
        <v>30</v>
      </c>
      <c r="I221">
        <v>1</v>
      </c>
      <c r="J221">
        <v>7412</v>
      </c>
      <c r="K221">
        <v>0.05</v>
      </c>
      <c r="L221" t="s">
        <v>38</v>
      </c>
      <c r="M221" t="s">
        <v>22</v>
      </c>
      <c r="N221" t="s">
        <v>23</v>
      </c>
      <c r="O221">
        <v>4.0999999999999996</v>
      </c>
      <c r="P221">
        <v>7041.4</v>
      </c>
      <c r="Q221">
        <v>1500</v>
      </c>
      <c r="R221">
        <f>Table2_2[[#This Row],[cost]]*Table2_2[[#This Row],[Quantity]]</f>
        <v>1500</v>
      </c>
      <c r="S221">
        <f>Table2_2[[#This Row],[revenue]]-Table2_2[[#This Row],[total_cost]]</f>
        <v>5541.4</v>
      </c>
    </row>
    <row r="222" spans="1:19" x14ac:dyDescent="0.3">
      <c r="A222" t="s">
        <v>1597</v>
      </c>
      <c r="B222" s="10">
        <v>45285</v>
      </c>
      <c r="C222" s="10">
        <v>45285</v>
      </c>
      <c r="D222" t="s">
        <v>62</v>
      </c>
      <c r="E222" t="s">
        <v>105</v>
      </c>
      <c r="F222" t="s">
        <v>28</v>
      </c>
      <c r="G222" t="s">
        <v>53</v>
      </c>
      <c r="H222" t="s">
        <v>30</v>
      </c>
      <c r="I222">
        <v>2</v>
      </c>
      <c r="J222">
        <v>3692</v>
      </c>
      <c r="K222">
        <v>0.15</v>
      </c>
      <c r="L222" t="s">
        <v>58</v>
      </c>
      <c r="M222" t="s">
        <v>39</v>
      </c>
      <c r="N222" t="s">
        <v>23</v>
      </c>
      <c r="O222">
        <v>4.8</v>
      </c>
      <c r="P222">
        <v>6276.4</v>
      </c>
      <c r="Q222">
        <v>1200</v>
      </c>
      <c r="R222">
        <f>Table2_2[[#This Row],[cost]]*Table2_2[[#This Row],[Quantity]]</f>
        <v>2400</v>
      </c>
      <c r="S222">
        <f>Table2_2[[#This Row],[revenue]]-Table2_2[[#This Row],[total_cost]]</f>
        <v>3876.3999999999996</v>
      </c>
    </row>
    <row r="223" spans="1:19" x14ac:dyDescent="0.3">
      <c r="A223" t="s">
        <v>1598</v>
      </c>
      <c r="B223" s="10">
        <v>45048</v>
      </c>
      <c r="C223" s="10">
        <v>45048</v>
      </c>
      <c r="D223" t="s">
        <v>26</v>
      </c>
      <c r="E223" t="s">
        <v>1226</v>
      </c>
      <c r="F223" t="s">
        <v>64</v>
      </c>
      <c r="G223" t="s">
        <v>19</v>
      </c>
      <c r="H223" t="s">
        <v>99</v>
      </c>
      <c r="I223">
        <v>1</v>
      </c>
      <c r="J223">
        <v>2404</v>
      </c>
      <c r="K223">
        <v>0</v>
      </c>
      <c r="L223" t="s">
        <v>38</v>
      </c>
      <c r="M223" t="s">
        <v>22</v>
      </c>
      <c r="N223" t="s">
        <v>48</v>
      </c>
      <c r="O223">
        <v>5</v>
      </c>
      <c r="P223">
        <v>2404</v>
      </c>
      <c r="Q223">
        <v>700</v>
      </c>
      <c r="R223">
        <f>Table2_2[[#This Row],[cost]]*Table2_2[[#This Row],[Quantity]]</f>
        <v>700</v>
      </c>
      <c r="S223">
        <f>Table2_2[[#This Row],[revenue]]-Table2_2[[#This Row],[total_cost]]</f>
        <v>1704</v>
      </c>
    </row>
    <row r="224" spans="1:19" x14ac:dyDescent="0.3">
      <c r="A224" t="s">
        <v>441</v>
      </c>
      <c r="B224" s="10">
        <v>45472</v>
      </c>
      <c r="C224" s="10">
        <v>45472</v>
      </c>
      <c r="D224" t="s">
        <v>84</v>
      </c>
      <c r="E224" t="s">
        <v>1493</v>
      </c>
      <c r="F224" t="s">
        <v>98</v>
      </c>
      <c r="G224" t="s">
        <v>19</v>
      </c>
      <c r="H224" t="s">
        <v>99</v>
      </c>
      <c r="I224">
        <v>1</v>
      </c>
      <c r="J224">
        <v>2735</v>
      </c>
      <c r="K224">
        <v>0.05</v>
      </c>
      <c r="L224" t="s">
        <v>38</v>
      </c>
      <c r="M224" t="s">
        <v>39</v>
      </c>
      <c r="N224" t="s">
        <v>23</v>
      </c>
      <c r="O224">
        <v>4.0999999999999996</v>
      </c>
      <c r="P224">
        <v>2598.25</v>
      </c>
      <c r="Q224">
        <v>700</v>
      </c>
      <c r="R224">
        <f>Table2_2[[#This Row],[cost]]*Table2_2[[#This Row],[Quantity]]</f>
        <v>700</v>
      </c>
      <c r="S224">
        <f>Table2_2[[#This Row],[revenue]]-Table2_2[[#This Row],[total_cost]]</f>
        <v>1898.25</v>
      </c>
    </row>
    <row r="225" spans="1:19" x14ac:dyDescent="0.3">
      <c r="A225" t="s">
        <v>1604</v>
      </c>
      <c r="B225" s="10">
        <v>45188</v>
      </c>
      <c r="C225" s="10">
        <v>45188</v>
      </c>
      <c r="D225" t="s">
        <v>127</v>
      </c>
      <c r="E225" t="s">
        <v>1043</v>
      </c>
      <c r="F225" t="s">
        <v>57</v>
      </c>
      <c r="G225" t="s">
        <v>19</v>
      </c>
      <c r="H225" t="s">
        <v>99</v>
      </c>
      <c r="I225">
        <v>5</v>
      </c>
      <c r="J225">
        <v>7190</v>
      </c>
      <c r="K225">
        <v>0</v>
      </c>
      <c r="L225" t="s">
        <v>21</v>
      </c>
      <c r="M225" t="s">
        <v>39</v>
      </c>
      <c r="N225" t="s">
        <v>48</v>
      </c>
      <c r="O225">
        <v>4.5</v>
      </c>
      <c r="P225">
        <v>35950</v>
      </c>
      <c r="Q225">
        <v>1500</v>
      </c>
      <c r="R225">
        <f>Table2_2[[#This Row],[cost]]*Table2_2[[#This Row],[Quantity]]</f>
        <v>7500</v>
      </c>
      <c r="S225">
        <f>Table2_2[[#This Row],[revenue]]-Table2_2[[#This Row],[total_cost]]</f>
        <v>28450</v>
      </c>
    </row>
    <row r="226" spans="1:19" x14ac:dyDescent="0.3">
      <c r="A226" t="s">
        <v>1037</v>
      </c>
      <c r="B226" s="10">
        <v>45065</v>
      </c>
      <c r="C226" s="10">
        <v>45065</v>
      </c>
      <c r="D226" t="s">
        <v>26</v>
      </c>
      <c r="E226" t="s">
        <v>175</v>
      </c>
      <c r="F226" t="s">
        <v>43</v>
      </c>
      <c r="G226" t="s">
        <v>53</v>
      </c>
      <c r="H226" t="s">
        <v>99</v>
      </c>
      <c r="I226">
        <v>3</v>
      </c>
      <c r="J226">
        <v>5783</v>
      </c>
      <c r="K226">
        <v>0.05</v>
      </c>
      <c r="L226" t="s">
        <v>31</v>
      </c>
      <c r="M226" t="s">
        <v>39</v>
      </c>
      <c r="N226" t="s">
        <v>59</v>
      </c>
      <c r="O226">
        <v>5</v>
      </c>
      <c r="P226">
        <v>16481.55</v>
      </c>
      <c r="Q226">
        <v>1500</v>
      </c>
      <c r="R226">
        <f>Table2_2[[#This Row],[cost]]*Table2_2[[#This Row],[Quantity]]</f>
        <v>4500</v>
      </c>
      <c r="S226">
        <f>Table2_2[[#This Row],[revenue]]-Table2_2[[#This Row],[total_cost]]</f>
        <v>11981.55</v>
      </c>
    </row>
    <row r="227" spans="1:19" x14ac:dyDescent="0.3">
      <c r="A227" t="s">
        <v>1616</v>
      </c>
      <c r="B227" s="10">
        <v>45244</v>
      </c>
      <c r="C227" s="10">
        <v>45244</v>
      </c>
      <c r="D227" t="s">
        <v>114</v>
      </c>
      <c r="E227" t="s">
        <v>300</v>
      </c>
      <c r="F227" t="s">
        <v>57</v>
      </c>
      <c r="G227" t="s">
        <v>37</v>
      </c>
      <c r="H227" t="s">
        <v>30</v>
      </c>
      <c r="I227">
        <v>3</v>
      </c>
      <c r="J227">
        <v>4471</v>
      </c>
      <c r="K227">
        <v>0</v>
      </c>
      <c r="L227" t="s">
        <v>31</v>
      </c>
      <c r="M227" t="s">
        <v>22</v>
      </c>
      <c r="N227" t="s">
        <v>59</v>
      </c>
      <c r="O227">
        <v>3.6</v>
      </c>
      <c r="P227">
        <v>13413</v>
      </c>
      <c r="Q227">
        <v>500</v>
      </c>
      <c r="R227">
        <f>Table2_2[[#This Row],[cost]]*Table2_2[[#This Row],[Quantity]]</f>
        <v>1500</v>
      </c>
      <c r="S227">
        <f>Table2_2[[#This Row],[revenue]]-Table2_2[[#This Row],[total_cost]]</f>
        <v>11913</v>
      </c>
    </row>
    <row r="228" spans="1:19" x14ac:dyDescent="0.3">
      <c r="A228" t="s">
        <v>1618</v>
      </c>
      <c r="B228" s="10">
        <v>44983</v>
      </c>
      <c r="C228" s="10">
        <v>44983</v>
      </c>
      <c r="D228" t="s">
        <v>114</v>
      </c>
      <c r="E228" t="s">
        <v>97</v>
      </c>
      <c r="F228" t="s">
        <v>28</v>
      </c>
      <c r="G228" t="s">
        <v>19</v>
      </c>
      <c r="H228" t="s">
        <v>99</v>
      </c>
      <c r="I228">
        <v>2</v>
      </c>
      <c r="J228">
        <v>7028</v>
      </c>
      <c r="K228">
        <v>0.1</v>
      </c>
      <c r="L228" t="s">
        <v>21</v>
      </c>
      <c r="M228" t="s">
        <v>39</v>
      </c>
      <c r="N228" t="s">
        <v>48</v>
      </c>
      <c r="O228">
        <v>4.7</v>
      </c>
      <c r="P228">
        <v>12650.4</v>
      </c>
      <c r="Q228">
        <v>500</v>
      </c>
      <c r="R228">
        <f>Table2_2[[#This Row],[cost]]*Table2_2[[#This Row],[Quantity]]</f>
        <v>1000</v>
      </c>
      <c r="S228">
        <f>Table2_2[[#This Row],[revenue]]-Table2_2[[#This Row],[total_cost]]</f>
        <v>11650.4</v>
      </c>
    </row>
    <row r="229" spans="1:19" x14ac:dyDescent="0.3">
      <c r="A229" t="s">
        <v>1621</v>
      </c>
      <c r="B229" s="10">
        <v>45611</v>
      </c>
      <c r="C229" s="10">
        <v>45611</v>
      </c>
      <c r="D229" t="s">
        <v>127</v>
      </c>
      <c r="E229" t="s">
        <v>704</v>
      </c>
      <c r="F229" t="s">
        <v>98</v>
      </c>
      <c r="G229" t="s">
        <v>53</v>
      </c>
      <c r="H229" t="s">
        <v>77</v>
      </c>
      <c r="I229">
        <v>2</v>
      </c>
      <c r="J229">
        <v>8431</v>
      </c>
      <c r="K229">
        <v>0.15</v>
      </c>
      <c r="L229" t="s">
        <v>58</v>
      </c>
      <c r="M229" t="s">
        <v>39</v>
      </c>
      <c r="N229" t="s">
        <v>48</v>
      </c>
      <c r="O229">
        <v>3.7</v>
      </c>
      <c r="P229">
        <v>14332.699999999999</v>
      </c>
      <c r="Q229">
        <v>1200</v>
      </c>
      <c r="R229">
        <f>Table2_2[[#This Row],[cost]]*Table2_2[[#This Row],[Quantity]]</f>
        <v>2400</v>
      </c>
      <c r="S229">
        <f>Table2_2[[#This Row],[revenue]]-Table2_2[[#This Row],[total_cost]]</f>
        <v>11932.699999999999</v>
      </c>
    </row>
    <row r="230" spans="1:19" x14ac:dyDescent="0.3">
      <c r="A230" t="s">
        <v>1624</v>
      </c>
      <c r="B230" s="10">
        <v>45434</v>
      </c>
      <c r="C230" s="10">
        <v>45434</v>
      </c>
      <c r="D230" t="s">
        <v>84</v>
      </c>
      <c r="E230" t="s">
        <v>577</v>
      </c>
      <c r="F230" t="s">
        <v>73</v>
      </c>
      <c r="G230" t="s">
        <v>29</v>
      </c>
      <c r="H230" t="s">
        <v>77</v>
      </c>
      <c r="I230">
        <v>4</v>
      </c>
      <c r="J230">
        <v>6067</v>
      </c>
      <c r="K230">
        <v>0</v>
      </c>
      <c r="L230" t="s">
        <v>21</v>
      </c>
      <c r="M230" t="s">
        <v>39</v>
      </c>
      <c r="N230" t="s">
        <v>48</v>
      </c>
      <c r="O230">
        <v>4.7</v>
      </c>
      <c r="P230">
        <v>24268</v>
      </c>
      <c r="Q230">
        <v>900</v>
      </c>
      <c r="R230">
        <f>Table2_2[[#This Row],[cost]]*Table2_2[[#This Row],[Quantity]]</f>
        <v>3600</v>
      </c>
      <c r="S230">
        <f>Table2_2[[#This Row],[revenue]]-Table2_2[[#This Row],[total_cost]]</f>
        <v>20668</v>
      </c>
    </row>
    <row r="231" spans="1:19" x14ac:dyDescent="0.3">
      <c r="A231" t="s">
        <v>1640</v>
      </c>
      <c r="B231" s="10">
        <v>45249</v>
      </c>
      <c r="C231" s="10">
        <v>45249</v>
      </c>
      <c r="D231" t="s">
        <v>84</v>
      </c>
      <c r="E231" t="s">
        <v>765</v>
      </c>
      <c r="F231" t="s">
        <v>64</v>
      </c>
      <c r="G231" t="s">
        <v>37</v>
      </c>
      <c r="H231" t="s">
        <v>30</v>
      </c>
      <c r="I231">
        <v>4</v>
      </c>
      <c r="J231">
        <v>4367</v>
      </c>
      <c r="K231">
        <v>0.15</v>
      </c>
      <c r="L231" t="s">
        <v>38</v>
      </c>
      <c r="M231" t="s">
        <v>22</v>
      </c>
      <c r="N231" t="s">
        <v>23</v>
      </c>
      <c r="O231">
        <v>4.9000000000000004</v>
      </c>
      <c r="P231">
        <v>14847.8</v>
      </c>
      <c r="Q231">
        <v>500</v>
      </c>
      <c r="R231">
        <f>Table2_2[[#This Row],[cost]]*Table2_2[[#This Row],[Quantity]]</f>
        <v>2000</v>
      </c>
      <c r="S231">
        <f>Table2_2[[#This Row],[revenue]]-Table2_2[[#This Row],[total_cost]]</f>
        <v>12847.8</v>
      </c>
    </row>
    <row r="232" spans="1:19" x14ac:dyDescent="0.3">
      <c r="A232" t="s">
        <v>1646</v>
      </c>
      <c r="B232" s="10">
        <v>45287</v>
      </c>
      <c r="C232" s="10">
        <v>45287</v>
      </c>
      <c r="D232" t="s">
        <v>96</v>
      </c>
      <c r="E232" t="s">
        <v>1179</v>
      </c>
      <c r="F232" t="s">
        <v>28</v>
      </c>
      <c r="G232" t="s">
        <v>29</v>
      </c>
      <c r="H232" t="s">
        <v>20</v>
      </c>
      <c r="I232">
        <v>3</v>
      </c>
      <c r="J232">
        <v>3216</v>
      </c>
      <c r="K232">
        <v>0</v>
      </c>
      <c r="L232" t="s">
        <v>38</v>
      </c>
      <c r="M232" t="s">
        <v>39</v>
      </c>
      <c r="N232" t="s">
        <v>32</v>
      </c>
      <c r="O232">
        <v>4.3</v>
      </c>
      <c r="P232">
        <v>9648</v>
      </c>
      <c r="Q232">
        <v>1200</v>
      </c>
      <c r="R232">
        <f>Table2_2[[#This Row],[cost]]*Table2_2[[#This Row],[Quantity]]</f>
        <v>3600</v>
      </c>
      <c r="S232">
        <f>Table2_2[[#This Row],[revenue]]-Table2_2[[#This Row],[total_cost]]</f>
        <v>6048</v>
      </c>
    </row>
    <row r="233" spans="1:19" x14ac:dyDescent="0.3">
      <c r="A233" t="s">
        <v>1650</v>
      </c>
      <c r="B233" s="10">
        <v>45005</v>
      </c>
      <c r="C233" s="10">
        <v>45005</v>
      </c>
      <c r="D233" t="s">
        <v>62</v>
      </c>
      <c r="E233" t="s">
        <v>1651</v>
      </c>
      <c r="F233" t="s">
        <v>98</v>
      </c>
      <c r="G233" t="s">
        <v>53</v>
      </c>
      <c r="H233" t="s">
        <v>99</v>
      </c>
      <c r="I233">
        <v>4</v>
      </c>
      <c r="J233">
        <v>6046</v>
      </c>
      <c r="K233">
        <v>0.15</v>
      </c>
      <c r="L233" t="s">
        <v>58</v>
      </c>
      <c r="M233" t="s">
        <v>22</v>
      </c>
      <c r="N233" t="s">
        <v>23</v>
      </c>
      <c r="O233">
        <v>4.0999999999999996</v>
      </c>
      <c r="P233">
        <v>20556.399999999998</v>
      </c>
      <c r="Q233">
        <v>500</v>
      </c>
      <c r="R233">
        <f>Table2_2[[#This Row],[cost]]*Table2_2[[#This Row],[Quantity]]</f>
        <v>2000</v>
      </c>
      <c r="S233">
        <f>Table2_2[[#This Row],[revenue]]-Table2_2[[#This Row],[total_cost]]</f>
        <v>18556.399999999998</v>
      </c>
    </row>
    <row r="234" spans="1:19" x14ac:dyDescent="0.3">
      <c r="A234" t="s">
        <v>1218</v>
      </c>
      <c r="B234" s="10">
        <v>45047</v>
      </c>
      <c r="C234" s="10">
        <v>45047</v>
      </c>
      <c r="D234" t="s">
        <v>80</v>
      </c>
      <c r="E234" t="s">
        <v>1097</v>
      </c>
      <c r="F234" t="s">
        <v>98</v>
      </c>
      <c r="G234" t="s">
        <v>53</v>
      </c>
      <c r="H234" t="s">
        <v>20</v>
      </c>
      <c r="I234">
        <v>2</v>
      </c>
      <c r="J234">
        <v>3772</v>
      </c>
      <c r="K234">
        <v>0.05</v>
      </c>
      <c r="L234" t="s">
        <v>21</v>
      </c>
      <c r="M234" t="s">
        <v>39</v>
      </c>
      <c r="N234" t="s">
        <v>48</v>
      </c>
      <c r="O234">
        <v>4.5</v>
      </c>
      <c r="P234">
        <v>7166.7999999999993</v>
      </c>
      <c r="Q234">
        <v>1500</v>
      </c>
      <c r="R234">
        <f>Table2_2[[#This Row],[cost]]*Table2_2[[#This Row],[Quantity]]</f>
        <v>3000</v>
      </c>
      <c r="S234">
        <f>Table2_2[[#This Row],[revenue]]-Table2_2[[#This Row],[total_cost]]</f>
        <v>4166.7999999999993</v>
      </c>
    </row>
    <row r="235" spans="1:19" x14ac:dyDescent="0.3">
      <c r="A235" t="s">
        <v>1660</v>
      </c>
      <c r="B235" s="10">
        <v>44930</v>
      </c>
      <c r="C235" s="10">
        <v>44930</v>
      </c>
      <c r="D235" t="s">
        <v>91</v>
      </c>
      <c r="E235" t="s">
        <v>1662</v>
      </c>
      <c r="F235" t="s">
        <v>98</v>
      </c>
      <c r="G235" t="s">
        <v>29</v>
      </c>
      <c r="H235" t="s">
        <v>20</v>
      </c>
      <c r="I235">
        <v>3</v>
      </c>
      <c r="J235">
        <v>1347</v>
      </c>
      <c r="K235">
        <v>0.2</v>
      </c>
      <c r="L235" t="s">
        <v>58</v>
      </c>
      <c r="M235" t="s">
        <v>22</v>
      </c>
      <c r="N235" t="s">
        <v>59</v>
      </c>
      <c r="O235">
        <v>3.8</v>
      </c>
      <c r="P235">
        <v>3232.8</v>
      </c>
      <c r="Q235">
        <v>1500</v>
      </c>
      <c r="R235">
        <f>Table2_2[[#This Row],[cost]]*Table2_2[[#This Row],[Quantity]]</f>
        <v>4500</v>
      </c>
      <c r="S235">
        <f>Table2_2[[#This Row],[revenue]]-Table2_2[[#This Row],[total_cost]]</f>
        <v>-1267.1999999999998</v>
      </c>
    </row>
    <row r="236" spans="1:19" x14ac:dyDescent="0.3">
      <c r="A236" t="s">
        <v>1505</v>
      </c>
      <c r="B236" s="10">
        <v>45605</v>
      </c>
      <c r="C236" s="10">
        <v>45605</v>
      </c>
      <c r="D236" t="s">
        <v>127</v>
      </c>
      <c r="E236" t="s">
        <v>577</v>
      </c>
      <c r="F236" t="s">
        <v>64</v>
      </c>
      <c r="G236" t="s">
        <v>29</v>
      </c>
      <c r="H236" t="s">
        <v>30</v>
      </c>
      <c r="I236">
        <v>5</v>
      </c>
      <c r="J236">
        <v>3062</v>
      </c>
      <c r="K236">
        <v>0.05</v>
      </c>
      <c r="L236" t="s">
        <v>58</v>
      </c>
      <c r="M236" t="s">
        <v>22</v>
      </c>
      <c r="N236" t="s">
        <v>48</v>
      </c>
      <c r="O236">
        <v>3</v>
      </c>
      <c r="P236">
        <v>14544.5</v>
      </c>
      <c r="Q236">
        <v>900</v>
      </c>
      <c r="R236">
        <f>Table2_2[[#This Row],[cost]]*Table2_2[[#This Row],[Quantity]]</f>
        <v>4500</v>
      </c>
      <c r="S236">
        <f>Table2_2[[#This Row],[revenue]]-Table2_2[[#This Row],[total_cost]]</f>
        <v>10044.5</v>
      </c>
    </row>
    <row r="237" spans="1:19" x14ac:dyDescent="0.3">
      <c r="A237" t="s">
        <v>1669</v>
      </c>
      <c r="B237" s="10">
        <v>45510</v>
      </c>
      <c r="C237" s="10">
        <v>45510</v>
      </c>
      <c r="D237" t="s">
        <v>131</v>
      </c>
      <c r="E237" t="s">
        <v>518</v>
      </c>
      <c r="F237" t="s">
        <v>57</v>
      </c>
      <c r="G237" t="s">
        <v>19</v>
      </c>
      <c r="H237" t="s">
        <v>99</v>
      </c>
      <c r="I237">
        <v>1</v>
      </c>
      <c r="J237">
        <v>9794</v>
      </c>
      <c r="K237">
        <v>0.1</v>
      </c>
      <c r="L237" t="s">
        <v>38</v>
      </c>
      <c r="M237" t="s">
        <v>22</v>
      </c>
      <c r="N237" t="s">
        <v>48</v>
      </c>
      <c r="O237">
        <v>4.8</v>
      </c>
      <c r="P237">
        <v>8814.6</v>
      </c>
      <c r="Q237">
        <v>1200</v>
      </c>
      <c r="R237">
        <f>Table2_2[[#This Row],[cost]]*Table2_2[[#This Row],[Quantity]]</f>
        <v>1200</v>
      </c>
      <c r="S237">
        <f>Table2_2[[#This Row],[revenue]]-Table2_2[[#This Row],[total_cost]]</f>
        <v>7614.6</v>
      </c>
    </row>
    <row r="238" spans="1:19" x14ac:dyDescent="0.3">
      <c r="A238" t="s">
        <v>505</v>
      </c>
      <c r="B238" s="10">
        <v>45513</v>
      </c>
      <c r="C238" s="10">
        <v>45513</v>
      </c>
      <c r="D238" t="s">
        <v>62</v>
      </c>
      <c r="E238" t="s">
        <v>420</v>
      </c>
      <c r="F238" t="s">
        <v>43</v>
      </c>
      <c r="G238" t="s">
        <v>37</v>
      </c>
      <c r="H238" t="s">
        <v>77</v>
      </c>
      <c r="I238">
        <v>1</v>
      </c>
      <c r="J238">
        <v>1712</v>
      </c>
      <c r="K238">
        <v>0.1</v>
      </c>
      <c r="L238" t="s">
        <v>58</v>
      </c>
      <c r="M238" t="s">
        <v>39</v>
      </c>
      <c r="N238" t="s">
        <v>48</v>
      </c>
      <c r="O238">
        <v>3.2</v>
      </c>
      <c r="P238">
        <v>1540.8</v>
      </c>
      <c r="Q238">
        <v>500</v>
      </c>
      <c r="R238">
        <f>Table2_2[[#This Row],[cost]]*Table2_2[[#This Row],[Quantity]]</f>
        <v>500</v>
      </c>
      <c r="S238">
        <f>Table2_2[[#This Row],[revenue]]-Table2_2[[#This Row],[total_cost]]</f>
        <v>1040.8</v>
      </c>
    </row>
    <row r="239" spans="1:19" x14ac:dyDescent="0.3">
      <c r="A239" t="s">
        <v>1680</v>
      </c>
      <c r="B239" s="10">
        <v>45579</v>
      </c>
      <c r="C239" s="10">
        <v>45579</v>
      </c>
      <c r="D239" t="s">
        <v>71</v>
      </c>
      <c r="E239" t="s">
        <v>68</v>
      </c>
      <c r="F239" t="s">
        <v>64</v>
      </c>
      <c r="G239" t="s">
        <v>37</v>
      </c>
      <c r="H239" t="s">
        <v>99</v>
      </c>
      <c r="I239">
        <v>5</v>
      </c>
      <c r="J239">
        <v>1750</v>
      </c>
      <c r="K239">
        <v>0.15</v>
      </c>
      <c r="L239" t="s">
        <v>31</v>
      </c>
      <c r="M239" t="s">
        <v>39</v>
      </c>
      <c r="N239" t="s">
        <v>23</v>
      </c>
      <c r="O239">
        <v>3.3</v>
      </c>
      <c r="P239">
        <v>7437.5</v>
      </c>
      <c r="Q239">
        <v>700</v>
      </c>
      <c r="R239">
        <f>Table2_2[[#This Row],[cost]]*Table2_2[[#This Row],[Quantity]]</f>
        <v>3500</v>
      </c>
      <c r="S239">
        <f>Table2_2[[#This Row],[revenue]]-Table2_2[[#This Row],[total_cost]]</f>
        <v>3937.5</v>
      </c>
    </row>
    <row r="240" spans="1:19" x14ac:dyDescent="0.3">
      <c r="A240" t="s">
        <v>1687</v>
      </c>
      <c r="B240" s="10">
        <v>45514</v>
      </c>
      <c r="C240" s="10">
        <v>45514</v>
      </c>
      <c r="D240" t="s">
        <v>62</v>
      </c>
      <c r="E240" t="s">
        <v>765</v>
      </c>
      <c r="F240" t="s">
        <v>57</v>
      </c>
      <c r="G240" t="s">
        <v>37</v>
      </c>
      <c r="H240" t="s">
        <v>20</v>
      </c>
      <c r="I240">
        <v>1</v>
      </c>
      <c r="J240">
        <v>9813</v>
      </c>
      <c r="K240">
        <v>0.1</v>
      </c>
      <c r="L240" t="s">
        <v>38</v>
      </c>
      <c r="M240" t="s">
        <v>22</v>
      </c>
      <c r="N240" t="s">
        <v>59</v>
      </c>
      <c r="O240">
        <v>3.3</v>
      </c>
      <c r="P240">
        <v>8831.7000000000007</v>
      </c>
      <c r="Q240">
        <v>500</v>
      </c>
      <c r="R240">
        <f>Table2_2[[#This Row],[cost]]*Table2_2[[#This Row],[Quantity]]</f>
        <v>500</v>
      </c>
      <c r="S240">
        <f>Table2_2[[#This Row],[revenue]]-Table2_2[[#This Row],[total_cost]]</f>
        <v>8331.7000000000007</v>
      </c>
    </row>
    <row r="241" spans="1:19" x14ac:dyDescent="0.3">
      <c r="A241" t="s">
        <v>1696</v>
      </c>
      <c r="B241" s="10">
        <v>45221</v>
      </c>
      <c r="C241" s="10">
        <v>45221</v>
      </c>
      <c r="D241" t="s">
        <v>114</v>
      </c>
      <c r="E241" t="s">
        <v>546</v>
      </c>
      <c r="F241" t="s">
        <v>18</v>
      </c>
      <c r="G241" t="s">
        <v>53</v>
      </c>
      <c r="H241" t="s">
        <v>30</v>
      </c>
      <c r="I241">
        <v>1</v>
      </c>
      <c r="J241">
        <v>2864</v>
      </c>
      <c r="K241">
        <v>0</v>
      </c>
      <c r="L241" t="s">
        <v>21</v>
      </c>
      <c r="M241" t="s">
        <v>39</v>
      </c>
      <c r="N241" t="s">
        <v>48</v>
      </c>
      <c r="O241">
        <v>4.8</v>
      </c>
      <c r="P241">
        <v>2864</v>
      </c>
      <c r="Q241">
        <v>900</v>
      </c>
      <c r="R241">
        <f>Table2_2[[#This Row],[cost]]*Table2_2[[#This Row],[Quantity]]</f>
        <v>900</v>
      </c>
      <c r="S241">
        <f>Table2_2[[#This Row],[revenue]]-Table2_2[[#This Row],[total_cost]]</f>
        <v>1964</v>
      </c>
    </row>
    <row r="242" spans="1:19" x14ac:dyDescent="0.3">
      <c r="A242" t="s">
        <v>1698</v>
      </c>
      <c r="B242" s="10">
        <v>44975</v>
      </c>
      <c r="C242" s="10">
        <v>44975</v>
      </c>
      <c r="D242" t="s">
        <v>71</v>
      </c>
      <c r="E242" t="s">
        <v>1148</v>
      </c>
      <c r="F242" t="s">
        <v>28</v>
      </c>
      <c r="G242" t="s">
        <v>19</v>
      </c>
      <c r="H242" t="s">
        <v>99</v>
      </c>
      <c r="I242">
        <v>5</v>
      </c>
      <c r="J242">
        <v>7340</v>
      </c>
      <c r="K242">
        <v>0.15</v>
      </c>
      <c r="L242" t="s">
        <v>38</v>
      </c>
      <c r="M242" t="s">
        <v>39</v>
      </c>
      <c r="N242" t="s">
        <v>32</v>
      </c>
      <c r="O242">
        <v>4.5999999999999996</v>
      </c>
      <c r="P242">
        <v>31195</v>
      </c>
      <c r="Q242">
        <v>700</v>
      </c>
      <c r="R242">
        <f>Table2_2[[#This Row],[cost]]*Table2_2[[#This Row],[Quantity]]</f>
        <v>3500</v>
      </c>
      <c r="S242">
        <f>Table2_2[[#This Row],[revenue]]-Table2_2[[#This Row],[total_cost]]</f>
        <v>27695</v>
      </c>
    </row>
    <row r="243" spans="1:19" x14ac:dyDescent="0.3">
      <c r="A243" t="s">
        <v>1700</v>
      </c>
      <c r="B243" s="10">
        <v>45569</v>
      </c>
      <c r="C243" s="10">
        <v>45569</v>
      </c>
      <c r="D243" t="s">
        <v>127</v>
      </c>
      <c r="E243" t="s">
        <v>445</v>
      </c>
      <c r="F243" t="s">
        <v>73</v>
      </c>
      <c r="G243" t="s">
        <v>19</v>
      </c>
      <c r="H243" t="s">
        <v>30</v>
      </c>
      <c r="I243">
        <v>1</v>
      </c>
      <c r="J243">
        <v>5241</v>
      </c>
      <c r="K243">
        <v>0</v>
      </c>
      <c r="L243" t="s">
        <v>21</v>
      </c>
      <c r="M243" t="s">
        <v>22</v>
      </c>
      <c r="N243" t="s">
        <v>59</v>
      </c>
      <c r="O243">
        <v>4.3</v>
      </c>
      <c r="P243">
        <v>5241</v>
      </c>
      <c r="Q243">
        <v>1500</v>
      </c>
      <c r="R243">
        <f>Table2_2[[#This Row],[cost]]*Table2_2[[#This Row],[Quantity]]</f>
        <v>1500</v>
      </c>
      <c r="S243">
        <f>Table2_2[[#This Row],[revenue]]-Table2_2[[#This Row],[total_cost]]</f>
        <v>3741</v>
      </c>
    </row>
    <row r="244" spans="1:19" x14ac:dyDescent="0.3">
      <c r="A244" t="s">
        <v>1701</v>
      </c>
      <c r="B244" s="10">
        <v>45257</v>
      </c>
      <c r="C244" s="10">
        <v>45257</v>
      </c>
      <c r="D244" t="s">
        <v>80</v>
      </c>
      <c r="E244" t="s">
        <v>936</v>
      </c>
      <c r="F244" t="s">
        <v>98</v>
      </c>
      <c r="G244" t="s">
        <v>29</v>
      </c>
      <c r="H244" t="s">
        <v>30</v>
      </c>
      <c r="I244">
        <v>4</v>
      </c>
      <c r="J244">
        <v>2943</v>
      </c>
      <c r="K244">
        <v>0</v>
      </c>
      <c r="L244" t="s">
        <v>38</v>
      </c>
      <c r="M244" t="s">
        <v>39</v>
      </c>
      <c r="N244" t="s">
        <v>59</v>
      </c>
      <c r="O244">
        <v>3.1</v>
      </c>
      <c r="P244">
        <v>11772</v>
      </c>
      <c r="Q244">
        <v>1200</v>
      </c>
      <c r="R244">
        <f>Table2_2[[#This Row],[cost]]*Table2_2[[#This Row],[Quantity]]</f>
        <v>4800</v>
      </c>
      <c r="S244">
        <f>Table2_2[[#This Row],[revenue]]-Table2_2[[#This Row],[total_cost]]</f>
        <v>6972</v>
      </c>
    </row>
    <row r="245" spans="1:19" x14ac:dyDescent="0.3">
      <c r="A245" t="s">
        <v>1216</v>
      </c>
      <c r="B245" s="10">
        <v>45216</v>
      </c>
      <c r="C245" s="10">
        <v>45216</v>
      </c>
      <c r="D245" t="s">
        <v>16</v>
      </c>
      <c r="E245" t="s">
        <v>27</v>
      </c>
      <c r="F245" t="s">
        <v>43</v>
      </c>
      <c r="G245" t="s">
        <v>19</v>
      </c>
      <c r="H245" t="s">
        <v>30</v>
      </c>
      <c r="I245">
        <v>2</v>
      </c>
      <c r="J245">
        <v>1030</v>
      </c>
      <c r="K245">
        <v>0.15</v>
      </c>
      <c r="L245" t="s">
        <v>31</v>
      </c>
      <c r="M245" t="s">
        <v>39</v>
      </c>
      <c r="N245" t="s">
        <v>32</v>
      </c>
      <c r="O245">
        <v>3.2</v>
      </c>
      <c r="P245">
        <v>1751</v>
      </c>
      <c r="Q245">
        <v>900</v>
      </c>
      <c r="R245">
        <f>Table2_2[[#This Row],[cost]]*Table2_2[[#This Row],[Quantity]]</f>
        <v>1800</v>
      </c>
      <c r="S245">
        <f>Table2_2[[#This Row],[revenue]]-Table2_2[[#This Row],[total_cost]]</f>
        <v>-49</v>
      </c>
    </row>
    <row r="246" spans="1:19" x14ac:dyDescent="0.3">
      <c r="A246" t="s">
        <v>1706</v>
      </c>
      <c r="B246" s="10">
        <v>45207</v>
      </c>
      <c r="C246" s="10">
        <v>45207</v>
      </c>
      <c r="D246" t="s">
        <v>127</v>
      </c>
      <c r="E246" t="s">
        <v>1549</v>
      </c>
      <c r="F246" t="s">
        <v>18</v>
      </c>
      <c r="G246" t="s">
        <v>53</v>
      </c>
      <c r="H246" t="s">
        <v>30</v>
      </c>
      <c r="I246">
        <v>5</v>
      </c>
      <c r="J246">
        <v>3431</v>
      </c>
      <c r="K246">
        <v>0.05</v>
      </c>
      <c r="L246" t="s">
        <v>31</v>
      </c>
      <c r="M246" t="s">
        <v>39</v>
      </c>
      <c r="N246" t="s">
        <v>48</v>
      </c>
      <c r="O246">
        <v>3.4</v>
      </c>
      <c r="P246">
        <v>16297.25</v>
      </c>
      <c r="Q246">
        <v>1200</v>
      </c>
      <c r="R246">
        <f>Table2_2[[#This Row],[cost]]*Table2_2[[#This Row],[Quantity]]</f>
        <v>6000</v>
      </c>
      <c r="S246">
        <f>Table2_2[[#This Row],[revenue]]-Table2_2[[#This Row],[total_cost]]</f>
        <v>10297.25</v>
      </c>
    </row>
    <row r="247" spans="1:19" x14ac:dyDescent="0.3">
      <c r="A247" t="s">
        <v>1708</v>
      </c>
      <c r="B247" s="10">
        <v>45077</v>
      </c>
      <c r="C247" s="10">
        <v>45077</v>
      </c>
      <c r="D247" t="s">
        <v>16</v>
      </c>
      <c r="E247" t="s">
        <v>1710</v>
      </c>
      <c r="F247" t="s">
        <v>43</v>
      </c>
      <c r="G247" t="s">
        <v>19</v>
      </c>
      <c r="H247" t="s">
        <v>20</v>
      </c>
      <c r="I247">
        <v>5</v>
      </c>
      <c r="J247">
        <v>8049</v>
      </c>
      <c r="K247">
        <v>0.2</v>
      </c>
      <c r="L247" t="s">
        <v>31</v>
      </c>
      <c r="M247" t="s">
        <v>39</v>
      </c>
      <c r="N247" t="s">
        <v>32</v>
      </c>
      <c r="O247">
        <v>4.5999999999999996</v>
      </c>
      <c r="P247">
        <v>32196</v>
      </c>
      <c r="Q247">
        <v>1500</v>
      </c>
      <c r="R247">
        <f>Table2_2[[#This Row],[cost]]*Table2_2[[#This Row],[Quantity]]</f>
        <v>7500</v>
      </c>
      <c r="S247">
        <f>Table2_2[[#This Row],[revenue]]-Table2_2[[#This Row],[total_cost]]</f>
        <v>24696</v>
      </c>
    </row>
    <row r="248" spans="1:19" x14ac:dyDescent="0.3">
      <c r="A248" t="s">
        <v>1714</v>
      </c>
      <c r="B248" s="10">
        <v>44934</v>
      </c>
      <c r="C248" s="10">
        <v>44934</v>
      </c>
      <c r="D248" t="s">
        <v>51</v>
      </c>
      <c r="E248" t="s">
        <v>1520</v>
      </c>
      <c r="F248" t="s">
        <v>43</v>
      </c>
      <c r="G248" t="s">
        <v>29</v>
      </c>
      <c r="H248" t="s">
        <v>77</v>
      </c>
      <c r="I248">
        <v>1</v>
      </c>
      <c r="J248">
        <v>9363</v>
      </c>
      <c r="K248">
        <v>0</v>
      </c>
      <c r="L248" t="s">
        <v>38</v>
      </c>
      <c r="M248" t="s">
        <v>22</v>
      </c>
      <c r="N248" t="s">
        <v>32</v>
      </c>
      <c r="O248">
        <v>3.3</v>
      </c>
      <c r="P248">
        <v>9363</v>
      </c>
      <c r="Q248">
        <v>500</v>
      </c>
      <c r="R248">
        <f>Table2_2[[#This Row],[cost]]*Table2_2[[#This Row],[Quantity]]</f>
        <v>500</v>
      </c>
      <c r="S248">
        <f>Table2_2[[#This Row],[revenue]]-Table2_2[[#This Row],[total_cost]]</f>
        <v>8863</v>
      </c>
    </row>
    <row r="249" spans="1:19" x14ac:dyDescent="0.3">
      <c r="A249" t="s">
        <v>1715</v>
      </c>
      <c r="B249" s="10">
        <v>45585</v>
      </c>
      <c r="C249" s="10">
        <v>45585</v>
      </c>
      <c r="D249" t="s">
        <v>62</v>
      </c>
      <c r="E249" t="s">
        <v>709</v>
      </c>
      <c r="F249" t="s">
        <v>98</v>
      </c>
      <c r="G249" t="s">
        <v>53</v>
      </c>
      <c r="H249" t="s">
        <v>99</v>
      </c>
      <c r="I249">
        <v>4</v>
      </c>
      <c r="J249">
        <v>3283</v>
      </c>
      <c r="K249">
        <v>0.1</v>
      </c>
      <c r="L249" t="s">
        <v>31</v>
      </c>
      <c r="M249" t="s">
        <v>39</v>
      </c>
      <c r="N249" t="s">
        <v>32</v>
      </c>
      <c r="O249">
        <v>4</v>
      </c>
      <c r="P249">
        <v>11818.800000000001</v>
      </c>
      <c r="Q249">
        <v>1500</v>
      </c>
      <c r="R249">
        <f>Table2_2[[#This Row],[cost]]*Table2_2[[#This Row],[Quantity]]</f>
        <v>6000</v>
      </c>
      <c r="S249">
        <f>Table2_2[[#This Row],[revenue]]-Table2_2[[#This Row],[total_cost]]</f>
        <v>5818.8000000000011</v>
      </c>
    </row>
    <row r="250" spans="1:19" x14ac:dyDescent="0.3">
      <c r="A250" t="s">
        <v>1721</v>
      </c>
      <c r="B250" s="10">
        <v>45237</v>
      </c>
      <c r="C250" s="10">
        <v>45237</v>
      </c>
      <c r="D250" t="s">
        <v>114</v>
      </c>
      <c r="E250" t="s">
        <v>1375</v>
      </c>
      <c r="F250" t="s">
        <v>64</v>
      </c>
      <c r="G250" t="s">
        <v>37</v>
      </c>
      <c r="H250" t="s">
        <v>99</v>
      </c>
      <c r="I250">
        <v>1</v>
      </c>
      <c r="J250">
        <v>3141</v>
      </c>
      <c r="K250">
        <v>0</v>
      </c>
      <c r="L250" t="s">
        <v>38</v>
      </c>
      <c r="M250" t="s">
        <v>39</v>
      </c>
      <c r="N250" t="s">
        <v>59</v>
      </c>
      <c r="O250">
        <v>4.8</v>
      </c>
      <c r="P250">
        <v>3141</v>
      </c>
      <c r="Q250">
        <v>500</v>
      </c>
      <c r="R250">
        <f>Table2_2[[#This Row],[cost]]*Table2_2[[#This Row],[Quantity]]</f>
        <v>500</v>
      </c>
      <c r="S250">
        <f>Table2_2[[#This Row],[revenue]]-Table2_2[[#This Row],[total_cost]]</f>
        <v>2641</v>
      </c>
    </row>
    <row r="251" spans="1:19" x14ac:dyDescent="0.3">
      <c r="A251" t="s">
        <v>1354</v>
      </c>
      <c r="B251" s="10">
        <v>45279</v>
      </c>
      <c r="C251" s="10">
        <v>45279</v>
      </c>
      <c r="D251" t="s">
        <v>67</v>
      </c>
      <c r="E251" t="s">
        <v>149</v>
      </c>
      <c r="F251" t="s">
        <v>43</v>
      </c>
      <c r="G251" t="s">
        <v>29</v>
      </c>
      <c r="H251" t="s">
        <v>30</v>
      </c>
      <c r="I251">
        <v>5</v>
      </c>
      <c r="J251">
        <v>2241</v>
      </c>
      <c r="K251">
        <v>0</v>
      </c>
      <c r="L251" t="s">
        <v>58</v>
      </c>
      <c r="M251" t="s">
        <v>22</v>
      </c>
      <c r="N251" t="s">
        <v>32</v>
      </c>
      <c r="O251">
        <v>4.5999999999999996</v>
      </c>
      <c r="P251">
        <v>11205</v>
      </c>
      <c r="Q251">
        <v>500</v>
      </c>
      <c r="R251">
        <f>Table2_2[[#This Row],[cost]]*Table2_2[[#This Row],[Quantity]]</f>
        <v>2500</v>
      </c>
      <c r="S251">
        <f>Table2_2[[#This Row],[revenue]]-Table2_2[[#This Row],[total_cost]]</f>
        <v>8705</v>
      </c>
    </row>
    <row r="252" spans="1:19" x14ac:dyDescent="0.3">
      <c r="A252" t="s">
        <v>1733</v>
      </c>
      <c r="B252" s="10">
        <v>45293</v>
      </c>
      <c r="C252" s="10">
        <v>45293</v>
      </c>
      <c r="D252" t="s">
        <v>84</v>
      </c>
      <c r="E252" t="s">
        <v>471</v>
      </c>
      <c r="F252" t="s">
        <v>18</v>
      </c>
      <c r="G252" t="s">
        <v>37</v>
      </c>
      <c r="H252" t="s">
        <v>77</v>
      </c>
      <c r="I252">
        <v>5</v>
      </c>
      <c r="J252">
        <v>5561</v>
      </c>
      <c r="K252">
        <v>0.1</v>
      </c>
      <c r="L252" t="s">
        <v>58</v>
      </c>
      <c r="M252" t="s">
        <v>39</v>
      </c>
      <c r="N252" t="s">
        <v>23</v>
      </c>
      <c r="O252">
        <v>4.2</v>
      </c>
      <c r="P252">
        <v>25024.5</v>
      </c>
      <c r="Q252">
        <v>700</v>
      </c>
      <c r="R252">
        <f>Table2_2[[#This Row],[cost]]*Table2_2[[#This Row],[Quantity]]</f>
        <v>3500</v>
      </c>
      <c r="S252">
        <f>Table2_2[[#This Row],[revenue]]-Table2_2[[#This Row],[total_cost]]</f>
        <v>21524.5</v>
      </c>
    </row>
    <row r="253" spans="1:19" x14ac:dyDescent="0.3">
      <c r="A253" t="s">
        <v>1735</v>
      </c>
      <c r="B253" s="10">
        <v>45125</v>
      </c>
      <c r="C253" s="10">
        <v>45125</v>
      </c>
      <c r="D253" t="s">
        <v>71</v>
      </c>
      <c r="E253" t="s">
        <v>425</v>
      </c>
      <c r="F253" t="s">
        <v>43</v>
      </c>
      <c r="G253" t="s">
        <v>29</v>
      </c>
      <c r="H253" t="s">
        <v>77</v>
      </c>
      <c r="I253">
        <v>2</v>
      </c>
      <c r="J253">
        <v>7473</v>
      </c>
      <c r="K253">
        <v>0.2</v>
      </c>
      <c r="L253" t="s">
        <v>58</v>
      </c>
      <c r="M253" t="s">
        <v>39</v>
      </c>
      <c r="N253" t="s">
        <v>23</v>
      </c>
      <c r="O253">
        <v>3.7</v>
      </c>
      <c r="P253">
        <v>11956.800000000001</v>
      </c>
      <c r="Q253">
        <v>1500</v>
      </c>
      <c r="R253">
        <f>Table2_2[[#This Row],[cost]]*Table2_2[[#This Row],[Quantity]]</f>
        <v>3000</v>
      </c>
      <c r="S253">
        <f>Table2_2[[#This Row],[revenue]]-Table2_2[[#This Row],[total_cost]]</f>
        <v>8956.8000000000011</v>
      </c>
    </row>
    <row r="254" spans="1:19" x14ac:dyDescent="0.3">
      <c r="A254" t="s">
        <v>1741</v>
      </c>
      <c r="B254" s="10">
        <v>45609</v>
      </c>
      <c r="C254" s="10">
        <v>45609</v>
      </c>
      <c r="D254" t="s">
        <v>84</v>
      </c>
      <c r="E254" t="s">
        <v>585</v>
      </c>
      <c r="F254" t="s">
        <v>43</v>
      </c>
      <c r="G254" t="s">
        <v>53</v>
      </c>
      <c r="H254" t="s">
        <v>77</v>
      </c>
      <c r="I254">
        <v>2</v>
      </c>
      <c r="J254">
        <v>1131</v>
      </c>
      <c r="K254">
        <v>0.2</v>
      </c>
      <c r="L254" t="s">
        <v>58</v>
      </c>
      <c r="M254" t="s">
        <v>22</v>
      </c>
      <c r="N254" t="s">
        <v>48</v>
      </c>
      <c r="O254">
        <v>3.9</v>
      </c>
      <c r="P254">
        <v>1809.6000000000001</v>
      </c>
      <c r="Q254">
        <v>700</v>
      </c>
      <c r="R254">
        <f>Table2_2[[#This Row],[cost]]*Table2_2[[#This Row],[Quantity]]</f>
        <v>1400</v>
      </c>
      <c r="S254">
        <f>Table2_2[[#This Row],[revenue]]-Table2_2[[#This Row],[total_cost]]</f>
        <v>409.60000000000014</v>
      </c>
    </row>
    <row r="255" spans="1:19" x14ac:dyDescent="0.3">
      <c r="A255" t="s">
        <v>1754</v>
      </c>
      <c r="B255" s="10">
        <v>45421</v>
      </c>
      <c r="C255" s="10">
        <v>45421</v>
      </c>
      <c r="D255" t="s">
        <v>114</v>
      </c>
      <c r="E255" t="s">
        <v>546</v>
      </c>
      <c r="F255" t="s">
        <v>43</v>
      </c>
      <c r="G255" t="s">
        <v>53</v>
      </c>
      <c r="H255" t="s">
        <v>77</v>
      </c>
      <c r="I255">
        <v>2</v>
      </c>
      <c r="J255">
        <v>8389</v>
      </c>
      <c r="K255">
        <v>0.05</v>
      </c>
      <c r="L255" t="s">
        <v>21</v>
      </c>
      <c r="M255" t="s">
        <v>39</v>
      </c>
      <c r="N255" t="s">
        <v>23</v>
      </c>
      <c r="O255">
        <v>3.5</v>
      </c>
      <c r="P255">
        <v>15939.099999999999</v>
      </c>
      <c r="Q255">
        <v>900</v>
      </c>
      <c r="R255">
        <f>Table2_2[[#This Row],[cost]]*Table2_2[[#This Row],[Quantity]]</f>
        <v>1800</v>
      </c>
      <c r="S255">
        <f>Table2_2[[#This Row],[revenue]]-Table2_2[[#This Row],[total_cost]]</f>
        <v>14139.099999999999</v>
      </c>
    </row>
    <row r="256" spans="1:19" x14ac:dyDescent="0.3">
      <c r="A256" t="s">
        <v>271</v>
      </c>
      <c r="B256" s="10">
        <v>45190</v>
      </c>
      <c r="C256" s="10">
        <v>45190</v>
      </c>
      <c r="D256" t="s">
        <v>127</v>
      </c>
      <c r="E256" t="s">
        <v>471</v>
      </c>
      <c r="F256" t="s">
        <v>73</v>
      </c>
      <c r="G256" t="s">
        <v>19</v>
      </c>
      <c r="H256" t="s">
        <v>30</v>
      </c>
      <c r="I256">
        <v>5</v>
      </c>
      <c r="J256">
        <v>1820</v>
      </c>
      <c r="K256">
        <v>0.1</v>
      </c>
      <c r="L256" t="s">
        <v>58</v>
      </c>
      <c r="M256" t="s">
        <v>39</v>
      </c>
      <c r="N256" t="s">
        <v>59</v>
      </c>
      <c r="O256">
        <v>3.1</v>
      </c>
      <c r="P256">
        <v>8190</v>
      </c>
      <c r="Q256">
        <v>700</v>
      </c>
      <c r="R256">
        <f>Table2_2[[#This Row],[cost]]*Table2_2[[#This Row],[Quantity]]</f>
        <v>3500</v>
      </c>
      <c r="S256">
        <f>Table2_2[[#This Row],[revenue]]-Table2_2[[#This Row],[total_cost]]</f>
        <v>4690</v>
      </c>
    </row>
    <row r="257" spans="1:19" x14ac:dyDescent="0.3">
      <c r="A257" t="s">
        <v>1284</v>
      </c>
      <c r="B257" s="10">
        <v>45213</v>
      </c>
      <c r="C257" s="10">
        <v>45213</v>
      </c>
      <c r="D257" t="s">
        <v>71</v>
      </c>
      <c r="E257" t="s">
        <v>1470</v>
      </c>
      <c r="F257" t="s">
        <v>73</v>
      </c>
      <c r="G257" t="s">
        <v>37</v>
      </c>
      <c r="H257" t="s">
        <v>20</v>
      </c>
      <c r="I257">
        <v>2</v>
      </c>
      <c r="J257">
        <v>8242</v>
      </c>
      <c r="K257">
        <v>0.15</v>
      </c>
      <c r="L257" t="s">
        <v>38</v>
      </c>
      <c r="M257" t="s">
        <v>22</v>
      </c>
      <c r="N257" t="s">
        <v>59</v>
      </c>
      <c r="O257">
        <v>4.9000000000000004</v>
      </c>
      <c r="P257">
        <v>14011.4</v>
      </c>
      <c r="Q257">
        <v>1200</v>
      </c>
      <c r="R257">
        <f>Table2_2[[#This Row],[cost]]*Table2_2[[#This Row],[Quantity]]</f>
        <v>2400</v>
      </c>
      <c r="S257">
        <f>Table2_2[[#This Row],[revenue]]-Table2_2[[#This Row],[total_cost]]</f>
        <v>11611.4</v>
      </c>
    </row>
    <row r="258" spans="1:19" x14ac:dyDescent="0.3">
      <c r="A258" t="s">
        <v>1757</v>
      </c>
      <c r="B258" s="10">
        <v>45402</v>
      </c>
      <c r="C258" s="10">
        <v>45402</v>
      </c>
      <c r="D258" t="s">
        <v>127</v>
      </c>
      <c r="E258" t="s">
        <v>701</v>
      </c>
      <c r="F258" t="s">
        <v>64</v>
      </c>
      <c r="G258" t="s">
        <v>37</v>
      </c>
      <c r="H258" t="s">
        <v>20</v>
      </c>
      <c r="I258">
        <v>2</v>
      </c>
      <c r="J258">
        <v>4778</v>
      </c>
      <c r="K258">
        <v>0.05</v>
      </c>
      <c r="L258" t="s">
        <v>38</v>
      </c>
      <c r="M258" t="s">
        <v>22</v>
      </c>
      <c r="N258" t="s">
        <v>48</v>
      </c>
      <c r="O258">
        <v>3.2</v>
      </c>
      <c r="P258">
        <v>9078.1999999999989</v>
      </c>
      <c r="Q258">
        <v>1200</v>
      </c>
      <c r="R258">
        <f>Table2_2[[#This Row],[cost]]*Table2_2[[#This Row],[Quantity]]</f>
        <v>2400</v>
      </c>
      <c r="S258">
        <f>Table2_2[[#This Row],[revenue]]-Table2_2[[#This Row],[total_cost]]</f>
        <v>6678.1999999999989</v>
      </c>
    </row>
    <row r="259" spans="1:19" x14ac:dyDescent="0.3">
      <c r="A259" t="s">
        <v>1759</v>
      </c>
      <c r="B259" s="10">
        <v>45166</v>
      </c>
      <c r="C259" s="10">
        <v>45166</v>
      </c>
      <c r="D259" t="s">
        <v>62</v>
      </c>
      <c r="E259" t="s">
        <v>1270</v>
      </c>
      <c r="F259" t="s">
        <v>98</v>
      </c>
      <c r="G259" t="s">
        <v>53</v>
      </c>
      <c r="H259" t="s">
        <v>30</v>
      </c>
      <c r="I259">
        <v>4</v>
      </c>
      <c r="J259">
        <v>3282</v>
      </c>
      <c r="K259">
        <v>0.15</v>
      </c>
      <c r="L259" t="s">
        <v>58</v>
      </c>
      <c r="M259" t="s">
        <v>22</v>
      </c>
      <c r="N259" t="s">
        <v>23</v>
      </c>
      <c r="O259">
        <v>4.5999999999999996</v>
      </c>
      <c r="P259">
        <v>11158.8</v>
      </c>
      <c r="Q259">
        <v>500</v>
      </c>
      <c r="R259">
        <f>Table2_2[[#This Row],[cost]]*Table2_2[[#This Row],[Quantity]]</f>
        <v>2000</v>
      </c>
      <c r="S259">
        <f>Table2_2[[#This Row],[revenue]]-Table2_2[[#This Row],[total_cost]]</f>
        <v>9158.7999999999993</v>
      </c>
    </row>
    <row r="260" spans="1:19" x14ac:dyDescent="0.3">
      <c r="A260" t="s">
        <v>1762</v>
      </c>
      <c r="B260" s="10">
        <v>45310</v>
      </c>
      <c r="C260" s="10">
        <v>45310</v>
      </c>
      <c r="D260" t="s">
        <v>16</v>
      </c>
      <c r="E260" t="s">
        <v>76</v>
      </c>
      <c r="F260" t="s">
        <v>18</v>
      </c>
      <c r="G260" t="s">
        <v>19</v>
      </c>
      <c r="H260" t="s">
        <v>30</v>
      </c>
      <c r="I260">
        <v>1</v>
      </c>
      <c r="J260">
        <v>1848</v>
      </c>
      <c r="K260">
        <v>0.2</v>
      </c>
      <c r="L260" t="s">
        <v>58</v>
      </c>
      <c r="M260" t="s">
        <v>22</v>
      </c>
      <c r="N260" t="s">
        <v>48</v>
      </c>
      <c r="O260">
        <v>4.4000000000000004</v>
      </c>
      <c r="P260">
        <v>1478.4</v>
      </c>
      <c r="Q260">
        <v>1500</v>
      </c>
      <c r="R260">
        <f>Table2_2[[#This Row],[cost]]*Table2_2[[#This Row],[Quantity]]</f>
        <v>1500</v>
      </c>
      <c r="S260">
        <f>Table2_2[[#This Row],[revenue]]-Table2_2[[#This Row],[total_cost]]</f>
        <v>-21.599999999999909</v>
      </c>
    </row>
    <row r="261" spans="1:19" x14ac:dyDescent="0.3">
      <c r="A261" t="s">
        <v>1766</v>
      </c>
      <c r="B261" s="10">
        <v>44965</v>
      </c>
      <c r="C261" s="10">
        <v>44965</v>
      </c>
      <c r="D261" t="s">
        <v>96</v>
      </c>
      <c r="E261" t="s">
        <v>1635</v>
      </c>
      <c r="F261" t="s">
        <v>28</v>
      </c>
      <c r="G261" t="s">
        <v>19</v>
      </c>
      <c r="H261" t="s">
        <v>20</v>
      </c>
      <c r="I261">
        <v>4</v>
      </c>
      <c r="J261">
        <v>9242</v>
      </c>
      <c r="K261">
        <v>0.2</v>
      </c>
      <c r="L261" t="s">
        <v>21</v>
      </c>
      <c r="M261" t="s">
        <v>22</v>
      </c>
      <c r="N261" t="s">
        <v>23</v>
      </c>
      <c r="O261">
        <v>4.7</v>
      </c>
      <c r="P261">
        <v>29574.400000000001</v>
      </c>
      <c r="Q261">
        <v>500</v>
      </c>
      <c r="R261">
        <f>Table2_2[[#This Row],[cost]]*Table2_2[[#This Row],[Quantity]]</f>
        <v>2000</v>
      </c>
      <c r="S261">
        <f>Table2_2[[#This Row],[revenue]]-Table2_2[[#This Row],[total_cost]]</f>
        <v>27574.400000000001</v>
      </c>
    </row>
    <row r="262" spans="1:19" x14ac:dyDescent="0.3">
      <c r="A262" t="s">
        <v>1768</v>
      </c>
      <c r="B262" s="10">
        <v>45165</v>
      </c>
      <c r="C262" s="10">
        <v>45165</v>
      </c>
      <c r="D262" t="s">
        <v>84</v>
      </c>
      <c r="E262" t="s">
        <v>1252</v>
      </c>
      <c r="F262" t="s">
        <v>28</v>
      </c>
      <c r="G262" t="s">
        <v>53</v>
      </c>
      <c r="H262" t="s">
        <v>77</v>
      </c>
      <c r="I262">
        <v>4</v>
      </c>
      <c r="J262">
        <v>4052</v>
      </c>
      <c r="K262">
        <v>0</v>
      </c>
      <c r="L262" t="s">
        <v>38</v>
      </c>
      <c r="M262" t="s">
        <v>22</v>
      </c>
      <c r="N262" t="s">
        <v>48</v>
      </c>
      <c r="O262">
        <v>3.7</v>
      </c>
      <c r="P262">
        <v>16208</v>
      </c>
      <c r="Q262">
        <v>700</v>
      </c>
      <c r="R262">
        <f>Table2_2[[#This Row],[cost]]*Table2_2[[#This Row],[Quantity]]</f>
        <v>2800</v>
      </c>
      <c r="S262">
        <f>Table2_2[[#This Row],[revenue]]-Table2_2[[#This Row],[total_cost]]</f>
        <v>13408</v>
      </c>
    </row>
    <row r="263" spans="1:19" x14ac:dyDescent="0.3">
      <c r="A263" t="s">
        <v>1769</v>
      </c>
      <c r="B263" s="10">
        <v>45065</v>
      </c>
      <c r="C263" s="10">
        <v>45065</v>
      </c>
      <c r="D263" t="s">
        <v>131</v>
      </c>
      <c r="E263" t="s">
        <v>278</v>
      </c>
      <c r="F263" t="s">
        <v>64</v>
      </c>
      <c r="G263" t="s">
        <v>53</v>
      </c>
      <c r="H263" t="s">
        <v>77</v>
      </c>
      <c r="I263">
        <v>3</v>
      </c>
      <c r="J263">
        <v>9883</v>
      </c>
      <c r="K263">
        <v>0</v>
      </c>
      <c r="L263" t="s">
        <v>38</v>
      </c>
      <c r="M263" t="s">
        <v>39</v>
      </c>
      <c r="N263" t="s">
        <v>23</v>
      </c>
      <c r="O263">
        <v>3.8</v>
      </c>
      <c r="P263">
        <v>29649</v>
      </c>
      <c r="Q263">
        <v>1200</v>
      </c>
      <c r="R263">
        <f>Table2_2[[#This Row],[cost]]*Table2_2[[#This Row],[Quantity]]</f>
        <v>3600</v>
      </c>
      <c r="S263">
        <f>Table2_2[[#This Row],[revenue]]-Table2_2[[#This Row],[total_cost]]</f>
        <v>26049</v>
      </c>
    </row>
    <row r="264" spans="1:19" x14ac:dyDescent="0.3">
      <c r="A264" t="s">
        <v>1578</v>
      </c>
      <c r="B264" s="10">
        <v>45634</v>
      </c>
      <c r="C264" s="10">
        <v>45634</v>
      </c>
      <c r="D264" t="s">
        <v>127</v>
      </c>
      <c r="E264" t="s">
        <v>175</v>
      </c>
      <c r="F264" t="s">
        <v>18</v>
      </c>
      <c r="G264" t="s">
        <v>53</v>
      </c>
      <c r="H264" t="s">
        <v>77</v>
      </c>
      <c r="I264">
        <v>2</v>
      </c>
      <c r="J264">
        <v>1194</v>
      </c>
      <c r="K264">
        <v>0.1</v>
      </c>
      <c r="L264" t="s">
        <v>31</v>
      </c>
      <c r="M264" t="s">
        <v>22</v>
      </c>
      <c r="N264" t="s">
        <v>48</v>
      </c>
      <c r="O264">
        <v>4</v>
      </c>
      <c r="P264">
        <v>2149.2000000000003</v>
      </c>
      <c r="Q264">
        <v>1500</v>
      </c>
      <c r="R264">
        <f>Table2_2[[#This Row],[cost]]*Table2_2[[#This Row],[Quantity]]</f>
        <v>3000</v>
      </c>
      <c r="S264">
        <f>Table2_2[[#This Row],[revenue]]-Table2_2[[#This Row],[total_cost]]</f>
        <v>-850.79999999999973</v>
      </c>
    </row>
    <row r="265" spans="1:19" x14ac:dyDescent="0.3">
      <c r="A265" t="s">
        <v>1773</v>
      </c>
      <c r="B265" s="10">
        <v>45098</v>
      </c>
      <c r="C265" s="10">
        <v>45098</v>
      </c>
      <c r="D265" t="s">
        <v>67</v>
      </c>
      <c r="E265" t="s">
        <v>629</v>
      </c>
      <c r="F265" t="s">
        <v>64</v>
      </c>
      <c r="G265" t="s">
        <v>29</v>
      </c>
      <c r="H265" t="s">
        <v>20</v>
      </c>
      <c r="I265">
        <v>3</v>
      </c>
      <c r="J265">
        <v>6783</v>
      </c>
      <c r="K265">
        <v>0.1</v>
      </c>
      <c r="L265" t="s">
        <v>21</v>
      </c>
      <c r="M265" t="s">
        <v>39</v>
      </c>
      <c r="N265" t="s">
        <v>59</v>
      </c>
      <c r="O265">
        <v>4.2</v>
      </c>
      <c r="P265">
        <v>18314.100000000002</v>
      </c>
      <c r="Q265">
        <v>900</v>
      </c>
      <c r="R265">
        <f>Table2_2[[#This Row],[cost]]*Table2_2[[#This Row],[Quantity]]</f>
        <v>2700</v>
      </c>
      <c r="S265">
        <f>Table2_2[[#This Row],[revenue]]-Table2_2[[#This Row],[total_cost]]</f>
        <v>15614.100000000002</v>
      </c>
    </row>
    <row r="266" spans="1:19" x14ac:dyDescent="0.3">
      <c r="A266" t="s">
        <v>242</v>
      </c>
      <c r="B266" s="10">
        <v>45566</v>
      </c>
      <c r="C266" s="10">
        <v>45566</v>
      </c>
      <c r="D266" t="s">
        <v>67</v>
      </c>
      <c r="E266" t="s">
        <v>52</v>
      </c>
      <c r="F266" t="s">
        <v>18</v>
      </c>
      <c r="G266" t="s">
        <v>53</v>
      </c>
      <c r="H266" t="s">
        <v>77</v>
      </c>
      <c r="I266">
        <v>4</v>
      </c>
      <c r="J266">
        <v>8630</v>
      </c>
      <c r="K266">
        <v>0.05</v>
      </c>
      <c r="L266" t="s">
        <v>21</v>
      </c>
      <c r="M266" t="s">
        <v>22</v>
      </c>
      <c r="N266" t="s">
        <v>23</v>
      </c>
      <c r="O266">
        <v>3.8</v>
      </c>
      <c r="P266">
        <v>32794</v>
      </c>
      <c r="Q266">
        <v>1500</v>
      </c>
      <c r="R266">
        <f>Table2_2[[#This Row],[cost]]*Table2_2[[#This Row],[Quantity]]</f>
        <v>6000</v>
      </c>
      <c r="S266">
        <f>Table2_2[[#This Row],[revenue]]-Table2_2[[#This Row],[total_cost]]</f>
        <v>26794</v>
      </c>
    </row>
    <row r="267" spans="1:19" x14ac:dyDescent="0.3">
      <c r="A267" t="s">
        <v>1777</v>
      </c>
      <c r="B267" s="10">
        <v>45346</v>
      </c>
      <c r="C267" s="10">
        <v>45346</v>
      </c>
      <c r="D267" t="s">
        <v>71</v>
      </c>
      <c r="E267" t="s">
        <v>903</v>
      </c>
      <c r="F267" t="s">
        <v>64</v>
      </c>
      <c r="G267" t="s">
        <v>19</v>
      </c>
      <c r="H267" t="s">
        <v>30</v>
      </c>
      <c r="I267">
        <v>5</v>
      </c>
      <c r="J267">
        <v>2309</v>
      </c>
      <c r="K267">
        <v>0.1</v>
      </c>
      <c r="L267" t="s">
        <v>58</v>
      </c>
      <c r="M267" t="s">
        <v>22</v>
      </c>
      <c r="N267" t="s">
        <v>32</v>
      </c>
      <c r="O267">
        <v>4.0999999999999996</v>
      </c>
      <c r="P267">
        <v>10390.5</v>
      </c>
      <c r="Q267">
        <v>1500</v>
      </c>
      <c r="R267">
        <f>Table2_2[[#This Row],[cost]]*Table2_2[[#This Row],[Quantity]]</f>
        <v>7500</v>
      </c>
      <c r="S267">
        <f>Table2_2[[#This Row],[revenue]]-Table2_2[[#This Row],[total_cost]]</f>
        <v>2890.5</v>
      </c>
    </row>
    <row r="268" spans="1:19" x14ac:dyDescent="0.3">
      <c r="A268" t="s">
        <v>598</v>
      </c>
      <c r="B268" s="10">
        <v>45654</v>
      </c>
      <c r="C268" s="10">
        <v>45654</v>
      </c>
      <c r="D268" t="s">
        <v>84</v>
      </c>
      <c r="E268" t="s">
        <v>674</v>
      </c>
      <c r="F268" t="s">
        <v>57</v>
      </c>
      <c r="G268" t="s">
        <v>29</v>
      </c>
      <c r="H268" t="s">
        <v>20</v>
      </c>
      <c r="I268">
        <v>1</v>
      </c>
      <c r="J268">
        <v>5350</v>
      </c>
      <c r="K268">
        <v>0.1</v>
      </c>
      <c r="L268" t="s">
        <v>58</v>
      </c>
      <c r="M268" t="s">
        <v>22</v>
      </c>
      <c r="N268" t="s">
        <v>32</v>
      </c>
      <c r="O268">
        <v>4</v>
      </c>
      <c r="P268">
        <v>4815</v>
      </c>
      <c r="Q268">
        <v>1200</v>
      </c>
      <c r="R268">
        <f>Table2_2[[#This Row],[cost]]*Table2_2[[#This Row],[Quantity]]</f>
        <v>1200</v>
      </c>
      <c r="S268">
        <f>Table2_2[[#This Row],[revenue]]-Table2_2[[#This Row],[total_cost]]</f>
        <v>3615</v>
      </c>
    </row>
    <row r="269" spans="1:19" x14ac:dyDescent="0.3">
      <c r="A269" t="s">
        <v>89</v>
      </c>
      <c r="B269" s="10">
        <v>45541</v>
      </c>
      <c r="C269" s="10">
        <v>45541</v>
      </c>
      <c r="D269" t="s">
        <v>91</v>
      </c>
      <c r="E269" t="s">
        <v>758</v>
      </c>
      <c r="F269" t="s">
        <v>28</v>
      </c>
      <c r="G269" t="s">
        <v>53</v>
      </c>
      <c r="H269" t="s">
        <v>30</v>
      </c>
      <c r="I269">
        <v>4</v>
      </c>
      <c r="J269">
        <v>1471</v>
      </c>
      <c r="K269">
        <v>0.15</v>
      </c>
      <c r="L269" t="s">
        <v>21</v>
      </c>
      <c r="M269" t="s">
        <v>39</v>
      </c>
      <c r="N269" t="s">
        <v>48</v>
      </c>
      <c r="O269">
        <v>4.2</v>
      </c>
      <c r="P269">
        <v>5001.3999999999996</v>
      </c>
      <c r="Q269">
        <v>1500</v>
      </c>
      <c r="R269">
        <f>Table2_2[[#This Row],[cost]]*Table2_2[[#This Row],[Quantity]]</f>
        <v>6000</v>
      </c>
      <c r="S269">
        <f>Table2_2[[#This Row],[revenue]]-Table2_2[[#This Row],[total_cost]]</f>
        <v>-998.60000000000036</v>
      </c>
    </row>
    <row r="270" spans="1:19" x14ac:dyDescent="0.3">
      <c r="A270" t="s">
        <v>1795</v>
      </c>
      <c r="B270" s="10">
        <v>45085</v>
      </c>
      <c r="C270" s="10">
        <v>45085</v>
      </c>
      <c r="D270" t="s">
        <v>114</v>
      </c>
      <c r="E270" t="s">
        <v>1470</v>
      </c>
      <c r="F270" t="s">
        <v>57</v>
      </c>
      <c r="G270" t="s">
        <v>37</v>
      </c>
      <c r="H270" t="s">
        <v>99</v>
      </c>
      <c r="I270">
        <v>2</v>
      </c>
      <c r="J270">
        <v>1624</v>
      </c>
      <c r="K270">
        <v>0.05</v>
      </c>
      <c r="L270" t="s">
        <v>38</v>
      </c>
      <c r="M270" t="s">
        <v>22</v>
      </c>
      <c r="N270" t="s">
        <v>32</v>
      </c>
      <c r="O270">
        <v>4.0999999999999996</v>
      </c>
      <c r="P270">
        <v>3085.6</v>
      </c>
      <c r="Q270">
        <v>1200</v>
      </c>
      <c r="R270">
        <f>Table2_2[[#This Row],[cost]]*Table2_2[[#This Row],[Quantity]]</f>
        <v>2400</v>
      </c>
      <c r="S270">
        <f>Table2_2[[#This Row],[revenue]]-Table2_2[[#This Row],[total_cost]]</f>
        <v>685.59999999999991</v>
      </c>
    </row>
    <row r="271" spans="1:19" x14ac:dyDescent="0.3">
      <c r="A271" t="s">
        <v>1801</v>
      </c>
      <c r="B271" s="10">
        <v>45005</v>
      </c>
      <c r="C271" s="10">
        <v>45005</v>
      </c>
      <c r="D271" t="s">
        <v>35</v>
      </c>
      <c r="E271" t="s">
        <v>663</v>
      </c>
      <c r="F271" t="s">
        <v>73</v>
      </c>
      <c r="G271" t="s">
        <v>53</v>
      </c>
      <c r="H271" t="s">
        <v>30</v>
      </c>
      <c r="I271">
        <v>4</v>
      </c>
      <c r="J271">
        <v>9589</v>
      </c>
      <c r="K271">
        <v>0.15</v>
      </c>
      <c r="L271" t="s">
        <v>21</v>
      </c>
      <c r="M271" t="s">
        <v>22</v>
      </c>
      <c r="N271" t="s">
        <v>32</v>
      </c>
      <c r="O271">
        <v>3.8</v>
      </c>
      <c r="P271">
        <v>32602.6</v>
      </c>
      <c r="Q271">
        <v>900</v>
      </c>
      <c r="R271">
        <f>Table2_2[[#This Row],[cost]]*Table2_2[[#This Row],[Quantity]]</f>
        <v>3600</v>
      </c>
      <c r="S271">
        <f>Table2_2[[#This Row],[revenue]]-Table2_2[[#This Row],[total_cost]]</f>
        <v>29002.6</v>
      </c>
    </row>
    <row r="272" spans="1:19" x14ac:dyDescent="0.3">
      <c r="A272" t="s">
        <v>122</v>
      </c>
      <c r="B272" s="10">
        <v>45049</v>
      </c>
      <c r="C272" s="10">
        <v>45049</v>
      </c>
      <c r="D272" t="s">
        <v>35</v>
      </c>
      <c r="E272" t="s">
        <v>1805</v>
      </c>
      <c r="F272" t="s">
        <v>64</v>
      </c>
      <c r="G272" t="s">
        <v>53</v>
      </c>
      <c r="H272" t="s">
        <v>99</v>
      </c>
      <c r="I272">
        <v>1</v>
      </c>
      <c r="J272">
        <v>4706</v>
      </c>
      <c r="K272">
        <v>0</v>
      </c>
      <c r="L272" t="s">
        <v>58</v>
      </c>
      <c r="M272" t="s">
        <v>22</v>
      </c>
      <c r="N272" t="s">
        <v>23</v>
      </c>
      <c r="O272">
        <v>4.2</v>
      </c>
      <c r="P272">
        <v>4706</v>
      </c>
      <c r="Q272">
        <v>900</v>
      </c>
      <c r="R272">
        <f>Table2_2[[#This Row],[cost]]*Table2_2[[#This Row],[Quantity]]</f>
        <v>900</v>
      </c>
      <c r="S272">
        <f>Table2_2[[#This Row],[revenue]]-Table2_2[[#This Row],[total_cost]]</f>
        <v>3806</v>
      </c>
    </row>
    <row r="273" spans="1:19" x14ac:dyDescent="0.3">
      <c r="A273" t="s">
        <v>1812</v>
      </c>
      <c r="B273" s="10">
        <v>45137</v>
      </c>
      <c r="C273" s="10">
        <v>45137</v>
      </c>
      <c r="D273" t="s">
        <v>67</v>
      </c>
      <c r="E273" t="s">
        <v>800</v>
      </c>
      <c r="F273" t="s">
        <v>98</v>
      </c>
      <c r="G273" t="s">
        <v>19</v>
      </c>
      <c r="H273" t="s">
        <v>99</v>
      </c>
      <c r="I273">
        <v>5</v>
      </c>
      <c r="J273">
        <v>9231</v>
      </c>
      <c r="K273">
        <v>0</v>
      </c>
      <c r="L273" t="s">
        <v>38</v>
      </c>
      <c r="M273" t="s">
        <v>39</v>
      </c>
      <c r="N273" t="s">
        <v>23</v>
      </c>
      <c r="O273">
        <v>4.3</v>
      </c>
      <c r="P273">
        <v>46155</v>
      </c>
      <c r="Q273">
        <v>1200</v>
      </c>
      <c r="R273">
        <f>Table2_2[[#This Row],[cost]]*Table2_2[[#This Row],[Quantity]]</f>
        <v>6000</v>
      </c>
      <c r="S273">
        <f>Table2_2[[#This Row],[revenue]]-Table2_2[[#This Row],[total_cost]]</f>
        <v>40155</v>
      </c>
    </row>
    <row r="274" spans="1:19" x14ac:dyDescent="0.3">
      <c r="A274" t="s">
        <v>1818</v>
      </c>
      <c r="B274" s="10">
        <v>44961</v>
      </c>
      <c r="C274" s="10">
        <v>44961</v>
      </c>
      <c r="D274" t="s">
        <v>51</v>
      </c>
      <c r="E274" t="s">
        <v>42</v>
      </c>
      <c r="F274" t="s">
        <v>57</v>
      </c>
      <c r="G274" t="s">
        <v>53</v>
      </c>
      <c r="H274" t="s">
        <v>99</v>
      </c>
      <c r="I274">
        <v>3</v>
      </c>
      <c r="J274">
        <v>7389</v>
      </c>
      <c r="K274">
        <v>0.15</v>
      </c>
      <c r="L274" t="s">
        <v>38</v>
      </c>
      <c r="M274" t="s">
        <v>39</v>
      </c>
      <c r="N274" t="s">
        <v>59</v>
      </c>
      <c r="O274">
        <v>4.9000000000000004</v>
      </c>
      <c r="P274">
        <v>18841.95</v>
      </c>
      <c r="Q274">
        <v>900</v>
      </c>
      <c r="R274">
        <f>Table2_2[[#This Row],[cost]]*Table2_2[[#This Row],[Quantity]]</f>
        <v>2700</v>
      </c>
      <c r="S274">
        <f>Table2_2[[#This Row],[revenue]]-Table2_2[[#This Row],[total_cost]]</f>
        <v>16141.95</v>
      </c>
    </row>
    <row r="275" spans="1:19" x14ac:dyDescent="0.3">
      <c r="A275" t="s">
        <v>1820</v>
      </c>
      <c r="B275" s="10">
        <v>45232</v>
      </c>
      <c r="C275" s="10">
        <v>45232</v>
      </c>
      <c r="D275" t="s">
        <v>35</v>
      </c>
      <c r="E275" t="s">
        <v>1561</v>
      </c>
      <c r="F275" t="s">
        <v>64</v>
      </c>
      <c r="G275" t="s">
        <v>53</v>
      </c>
      <c r="H275" t="s">
        <v>99</v>
      </c>
      <c r="I275">
        <v>5</v>
      </c>
      <c r="J275">
        <v>8171</v>
      </c>
      <c r="K275">
        <v>0</v>
      </c>
      <c r="L275" t="s">
        <v>58</v>
      </c>
      <c r="M275" t="s">
        <v>22</v>
      </c>
      <c r="N275" t="s">
        <v>48</v>
      </c>
      <c r="O275">
        <v>4.7</v>
      </c>
      <c r="P275">
        <v>40855</v>
      </c>
      <c r="Q275">
        <v>900</v>
      </c>
      <c r="R275">
        <f>Table2_2[[#This Row],[cost]]*Table2_2[[#This Row],[Quantity]]</f>
        <v>4500</v>
      </c>
      <c r="S275">
        <f>Table2_2[[#This Row],[revenue]]-Table2_2[[#This Row],[total_cost]]</f>
        <v>36355</v>
      </c>
    </row>
    <row r="276" spans="1:19" x14ac:dyDescent="0.3">
      <c r="A276" t="s">
        <v>1824</v>
      </c>
      <c r="B276" s="10">
        <v>45141</v>
      </c>
      <c r="C276" s="10">
        <v>45141</v>
      </c>
      <c r="D276" t="s">
        <v>62</v>
      </c>
      <c r="E276" t="s">
        <v>716</v>
      </c>
      <c r="F276" t="s">
        <v>64</v>
      </c>
      <c r="G276" t="s">
        <v>53</v>
      </c>
      <c r="H276" t="s">
        <v>30</v>
      </c>
      <c r="I276">
        <v>4</v>
      </c>
      <c r="J276">
        <v>7054</v>
      </c>
      <c r="K276">
        <v>0.1</v>
      </c>
      <c r="L276" t="s">
        <v>58</v>
      </c>
      <c r="M276" t="s">
        <v>22</v>
      </c>
      <c r="N276" t="s">
        <v>32</v>
      </c>
      <c r="O276">
        <v>5</v>
      </c>
      <c r="P276">
        <v>25394.400000000001</v>
      </c>
      <c r="Q276">
        <v>700</v>
      </c>
      <c r="R276">
        <f>Table2_2[[#This Row],[cost]]*Table2_2[[#This Row],[Quantity]]</f>
        <v>2800</v>
      </c>
      <c r="S276">
        <f>Table2_2[[#This Row],[revenue]]-Table2_2[[#This Row],[total_cost]]</f>
        <v>22594.400000000001</v>
      </c>
    </row>
    <row r="277" spans="1:19" x14ac:dyDescent="0.3">
      <c r="A277" t="s">
        <v>855</v>
      </c>
      <c r="B277" s="10">
        <v>45248</v>
      </c>
      <c r="C277" s="10">
        <v>45248</v>
      </c>
      <c r="D277" t="s">
        <v>91</v>
      </c>
      <c r="E277" t="s">
        <v>572</v>
      </c>
      <c r="F277" t="s">
        <v>57</v>
      </c>
      <c r="G277" t="s">
        <v>29</v>
      </c>
      <c r="H277" t="s">
        <v>30</v>
      </c>
      <c r="I277">
        <v>3</v>
      </c>
      <c r="J277">
        <v>7088</v>
      </c>
      <c r="K277">
        <v>0.1</v>
      </c>
      <c r="L277" t="s">
        <v>31</v>
      </c>
      <c r="M277" t="s">
        <v>22</v>
      </c>
      <c r="N277" t="s">
        <v>48</v>
      </c>
      <c r="O277">
        <v>4.0999999999999996</v>
      </c>
      <c r="P277">
        <v>19137.600000000002</v>
      </c>
      <c r="Q277">
        <v>700</v>
      </c>
      <c r="R277">
        <f>Table2_2[[#This Row],[cost]]*Table2_2[[#This Row],[Quantity]]</f>
        <v>2100</v>
      </c>
      <c r="S277">
        <f>Table2_2[[#This Row],[revenue]]-Table2_2[[#This Row],[total_cost]]</f>
        <v>17037.600000000002</v>
      </c>
    </row>
    <row r="278" spans="1:19" x14ac:dyDescent="0.3">
      <c r="A278" t="s">
        <v>1825</v>
      </c>
      <c r="B278" s="10">
        <v>45036</v>
      </c>
      <c r="C278" s="10">
        <v>45036</v>
      </c>
      <c r="D278" t="s">
        <v>127</v>
      </c>
      <c r="E278" t="s">
        <v>405</v>
      </c>
      <c r="F278" t="s">
        <v>18</v>
      </c>
      <c r="G278" t="s">
        <v>53</v>
      </c>
      <c r="H278" t="s">
        <v>30</v>
      </c>
      <c r="I278">
        <v>2</v>
      </c>
      <c r="J278">
        <v>7391</v>
      </c>
      <c r="K278">
        <v>0.1</v>
      </c>
      <c r="L278" t="s">
        <v>31</v>
      </c>
      <c r="M278" t="s">
        <v>39</v>
      </c>
      <c r="N278" t="s">
        <v>32</v>
      </c>
      <c r="O278">
        <v>3.8</v>
      </c>
      <c r="P278">
        <v>13303.800000000001</v>
      </c>
      <c r="Q278">
        <v>1200</v>
      </c>
      <c r="R278">
        <f>Table2_2[[#This Row],[cost]]*Table2_2[[#This Row],[Quantity]]</f>
        <v>2400</v>
      </c>
      <c r="S278">
        <f>Table2_2[[#This Row],[revenue]]-Table2_2[[#This Row],[total_cost]]</f>
        <v>10903.800000000001</v>
      </c>
    </row>
    <row r="279" spans="1:19" x14ac:dyDescent="0.3">
      <c r="A279" t="s">
        <v>1828</v>
      </c>
      <c r="B279" s="10">
        <v>44989</v>
      </c>
      <c r="C279" s="10">
        <v>44989</v>
      </c>
      <c r="D279" t="s">
        <v>16</v>
      </c>
      <c r="E279" t="s">
        <v>108</v>
      </c>
      <c r="F279" t="s">
        <v>98</v>
      </c>
      <c r="G279" t="s">
        <v>19</v>
      </c>
      <c r="H279" t="s">
        <v>99</v>
      </c>
      <c r="I279">
        <v>3</v>
      </c>
      <c r="J279">
        <v>4405</v>
      </c>
      <c r="K279">
        <v>0.2</v>
      </c>
      <c r="L279" t="s">
        <v>21</v>
      </c>
      <c r="M279" t="s">
        <v>39</v>
      </c>
      <c r="N279" t="s">
        <v>23</v>
      </c>
      <c r="O279">
        <v>3.1</v>
      </c>
      <c r="P279">
        <v>10572</v>
      </c>
      <c r="Q279">
        <v>500</v>
      </c>
      <c r="R279">
        <f>Table2_2[[#This Row],[cost]]*Table2_2[[#This Row],[Quantity]]</f>
        <v>1500</v>
      </c>
      <c r="S279">
        <f>Table2_2[[#This Row],[revenue]]-Table2_2[[#This Row],[total_cost]]</f>
        <v>9072</v>
      </c>
    </row>
    <row r="280" spans="1:19" x14ac:dyDescent="0.3">
      <c r="A280" t="s">
        <v>1829</v>
      </c>
      <c r="B280" s="10">
        <v>45594</v>
      </c>
      <c r="C280" s="10">
        <v>45594</v>
      </c>
      <c r="D280" t="s">
        <v>46</v>
      </c>
      <c r="E280" t="s">
        <v>1532</v>
      </c>
      <c r="F280" t="s">
        <v>43</v>
      </c>
      <c r="G280" t="s">
        <v>19</v>
      </c>
      <c r="H280" t="s">
        <v>77</v>
      </c>
      <c r="I280">
        <v>3</v>
      </c>
      <c r="J280">
        <v>5514</v>
      </c>
      <c r="K280">
        <v>0.1</v>
      </c>
      <c r="L280" t="s">
        <v>38</v>
      </c>
      <c r="M280" t="s">
        <v>22</v>
      </c>
      <c r="N280" t="s">
        <v>59</v>
      </c>
      <c r="O280">
        <v>3.1</v>
      </c>
      <c r="P280">
        <v>14887.800000000001</v>
      </c>
      <c r="Q280">
        <v>1500</v>
      </c>
      <c r="R280">
        <f>Table2_2[[#This Row],[cost]]*Table2_2[[#This Row],[Quantity]]</f>
        <v>4500</v>
      </c>
      <c r="S280">
        <f>Table2_2[[#This Row],[revenue]]-Table2_2[[#This Row],[total_cost]]</f>
        <v>10387.800000000001</v>
      </c>
    </row>
    <row r="281" spans="1:19" x14ac:dyDescent="0.3">
      <c r="A281" t="s">
        <v>1834</v>
      </c>
      <c r="B281" s="10">
        <v>45210</v>
      </c>
      <c r="C281" s="10">
        <v>45210</v>
      </c>
      <c r="D281" t="s">
        <v>51</v>
      </c>
      <c r="E281" t="s">
        <v>400</v>
      </c>
      <c r="F281" t="s">
        <v>43</v>
      </c>
      <c r="G281" t="s">
        <v>29</v>
      </c>
      <c r="H281" t="s">
        <v>99</v>
      </c>
      <c r="I281">
        <v>2</v>
      </c>
      <c r="J281">
        <v>4646</v>
      </c>
      <c r="K281">
        <v>0.1</v>
      </c>
      <c r="L281" t="s">
        <v>38</v>
      </c>
      <c r="M281" t="s">
        <v>39</v>
      </c>
      <c r="N281" t="s">
        <v>32</v>
      </c>
      <c r="O281">
        <v>4.9000000000000004</v>
      </c>
      <c r="P281">
        <v>8362.8000000000011</v>
      </c>
      <c r="Q281">
        <v>700</v>
      </c>
      <c r="R281">
        <f>Table2_2[[#This Row],[cost]]*Table2_2[[#This Row],[Quantity]]</f>
        <v>1400</v>
      </c>
      <c r="S281">
        <f>Table2_2[[#This Row],[revenue]]-Table2_2[[#This Row],[total_cost]]</f>
        <v>6962.8000000000011</v>
      </c>
    </row>
    <row r="282" spans="1:19" x14ac:dyDescent="0.3">
      <c r="A282" t="s">
        <v>1822</v>
      </c>
      <c r="B282" s="10">
        <v>45190</v>
      </c>
      <c r="C282" s="10">
        <v>45190</v>
      </c>
      <c r="D282" t="s">
        <v>26</v>
      </c>
      <c r="E282" t="s">
        <v>500</v>
      </c>
      <c r="F282" t="s">
        <v>43</v>
      </c>
      <c r="G282" t="s">
        <v>37</v>
      </c>
      <c r="H282" t="s">
        <v>30</v>
      </c>
      <c r="I282">
        <v>4</v>
      </c>
      <c r="J282">
        <v>6703</v>
      </c>
      <c r="K282">
        <v>0.1</v>
      </c>
      <c r="L282" t="s">
        <v>38</v>
      </c>
      <c r="M282" t="s">
        <v>39</v>
      </c>
      <c r="N282" t="s">
        <v>59</v>
      </c>
      <c r="O282">
        <v>4.8</v>
      </c>
      <c r="P282">
        <v>24130.799999999999</v>
      </c>
      <c r="Q282">
        <v>1200</v>
      </c>
      <c r="R282">
        <f>Table2_2[[#This Row],[cost]]*Table2_2[[#This Row],[Quantity]]</f>
        <v>4800</v>
      </c>
      <c r="S282">
        <f>Table2_2[[#This Row],[revenue]]-Table2_2[[#This Row],[total_cost]]</f>
        <v>19330.8</v>
      </c>
    </row>
    <row r="283" spans="1:19" x14ac:dyDescent="0.3">
      <c r="A283" t="s">
        <v>1844</v>
      </c>
      <c r="B283" s="10">
        <v>45583</v>
      </c>
      <c r="C283" s="10">
        <v>45583</v>
      </c>
      <c r="D283" t="s">
        <v>26</v>
      </c>
      <c r="E283" t="s">
        <v>1097</v>
      </c>
      <c r="F283" t="s">
        <v>43</v>
      </c>
      <c r="G283" t="s">
        <v>53</v>
      </c>
      <c r="H283" t="s">
        <v>77</v>
      </c>
      <c r="I283">
        <v>4</v>
      </c>
      <c r="J283">
        <v>9644</v>
      </c>
      <c r="K283">
        <v>0</v>
      </c>
      <c r="L283" t="s">
        <v>38</v>
      </c>
      <c r="M283" t="s">
        <v>39</v>
      </c>
      <c r="N283" t="s">
        <v>59</v>
      </c>
      <c r="O283">
        <v>3.7</v>
      </c>
      <c r="P283">
        <v>38576</v>
      </c>
      <c r="Q283">
        <v>1500</v>
      </c>
      <c r="R283">
        <f>Table2_2[[#This Row],[cost]]*Table2_2[[#This Row],[Quantity]]</f>
        <v>6000</v>
      </c>
      <c r="S283">
        <f>Table2_2[[#This Row],[revenue]]-Table2_2[[#This Row],[total_cost]]</f>
        <v>32576</v>
      </c>
    </row>
    <row r="284" spans="1:19" x14ac:dyDescent="0.3">
      <c r="A284" t="s">
        <v>1794</v>
      </c>
      <c r="B284" s="10">
        <v>44944</v>
      </c>
      <c r="C284" s="10">
        <v>44944</v>
      </c>
      <c r="D284" t="s">
        <v>26</v>
      </c>
      <c r="E284" t="s">
        <v>643</v>
      </c>
      <c r="F284" t="s">
        <v>73</v>
      </c>
      <c r="G284" t="s">
        <v>29</v>
      </c>
      <c r="H284" t="s">
        <v>20</v>
      </c>
      <c r="I284">
        <v>4</v>
      </c>
      <c r="J284">
        <v>5726</v>
      </c>
      <c r="K284">
        <v>0.1</v>
      </c>
      <c r="L284" t="s">
        <v>38</v>
      </c>
      <c r="M284" t="s">
        <v>39</v>
      </c>
      <c r="N284" t="s">
        <v>23</v>
      </c>
      <c r="O284">
        <v>3.7</v>
      </c>
      <c r="P284">
        <v>20613.600000000002</v>
      </c>
      <c r="Q284">
        <v>1200</v>
      </c>
      <c r="R284">
        <f>Table2_2[[#This Row],[cost]]*Table2_2[[#This Row],[Quantity]]</f>
        <v>4800</v>
      </c>
      <c r="S284">
        <f>Table2_2[[#This Row],[revenue]]-Table2_2[[#This Row],[total_cost]]</f>
        <v>15813.600000000002</v>
      </c>
    </row>
    <row r="285" spans="1:19" x14ac:dyDescent="0.3">
      <c r="A285" t="s">
        <v>1866</v>
      </c>
      <c r="B285" s="10">
        <v>45649</v>
      </c>
      <c r="C285" s="10">
        <v>45649</v>
      </c>
      <c r="D285" t="s">
        <v>35</v>
      </c>
      <c r="E285" t="s">
        <v>1024</v>
      </c>
      <c r="F285" t="s">
        <v>18</v>
      </c>
      <c r="G285" t="s">
        <v>53</v>
      </c>
      <c r="H285" t="s">
        <v>30</v>
      </c>
      <c r="I285">
        <v>2</v>
      </c>
      <c r="J285">
        <v>7888</v>
      </c>
      <c r="K285">
        <v>0.2</v>
      </c>
      <c r="L285" t="s">
        <v>38</v>
      </c>
      <c r="M285" t="s">
        <v>22</v>
      </c>
      <c r="N285" t="s">
        <v>23</v>
      </c>
      <c r="O285">
        <v>3</v>
      </c>
      <c r="P285">
        <v>12620.800000000001</v>
      </c>
      <c r="Q285">
        <v>500</v>
      </c>
      <c r="R285">
        <f>Table2_2[[#This Row],[cost]]*Table2_2[[#This Row],[Quantity]]</f>
        <v>1000</v>
      </c>
      <c r="S285">
        <f>Table2_2[[#This Row],[revenue]]-Table2_2[[#This Row],[total_cost]]</f>
        <v>11620.800000000001</v>
      </c>
    </row>
    <row r="286" spans="1:19" x14ac:dyDescent="0.3">
      <c r="A286" t="s">
        <v>1875</v>
      </c>
      <c r="B286" s="10">
        <v>45234</v>
      </c>
      <c r="C286" s="10">
        <v>45234</v>
      </c>
      <c r="D286" t="s">
        <v>51</v>
      </c>
      <c r="E286" t="s">
        <v>1001</v>
      </c>
      <c r="F286" t="s">
        <v>73</v>
      </c>
      <c r="G286" t="s">
        <v>19</v>
      </c>
      <c r="H286" t="s">
        <v>77</v>
      </c>
      <c r="I286">
        <v>3</v>
      </c>
      <c r="J286">
        <v>8869</v>
      </c>
      <c r="K286">
        <v>0.2</v>
      </c>
      <c r="L286" t="s">
        <v>21</v>
      </c>
      <c r="M286" t="s">
        <v>22</v>
      </c>
      <c r="N286" t="s">
        <v>23</v>
      </c>
      <c r="O286">
        <v>3.1</v>
      </c>
      <c r="P286">
        <v>21285.600000000002</v>
      </c>
      <c r="Q286">
        <v>1500</v>
      </c>
      <c r="R286">
        <f>Table2_2[[#This Row],[cost]]*Table2_2[[#This Row],[Quantity]]</f>
        <v>4500</v>
      </c>
      <c r="S286">
        <f>Table2_2[[#This Row],[revenue]]-Table2_2[[#This Row],[total_cost]]</f>
        <v>16785.600000000002</v>
      </c>
    </row>
    <row r="287" spans="1:19" x14ac:dyDescent="0.3">
      <c r="A287" t="s">
        <v>1883</v>
      </c>
      <c r="B287" s="10">
        <v>45619</v>
      </c>
      <c r="C287" s="10">
        <v>45619</v>
      </c>
      <c r="D287" t="s">
        <v>16</v>
      </c>
      <c r="E287" t="s">
        <v>1174</v>
      </c>
      <c r="F287" t="s">
        <v>18</v>
      </c>
      <c r="G287" t="s">
        <v>53</v>
      </c>
      <c r="H287" t="s">
        <v>20</v>
      </c>
      <c r="I287">
        <v>5</v>
      </c>
      <c r="J287">
        <v>3759</v>
      </c>
      <c r="K287">
        <v>0.1</v>
      </c>
      <c r="L287" t="s">
        <v>58</v>
      </c>
      <c r="M287" t="s">
        <v>22</v>
      </c>
      <c r="N287" t="s">
        <v>48</v>
      </c>
      <c r="O287">
        <v>5</v>
      </c>
      <c r="P287">
        <v>16915.5</v>
      </c>
      <c r="Q287">
        <v>900</v>
      </c>
      <c r="R287">
        <f>Table2_2[[#This Row],[cost]]*Table2_2[[#This Row],[Quantity]]</f>
        <v>4500</v>
      </c>
      <c r="S287">
        <f>Table2_2[[#This Row],[revenue]]-Table2_2[[#This Row],[total_cost]]</f>
        <v>12415.5</v>
      </c>
    </row>
    <row r="288" spans="1:19" x14ac:dyDescent="0.3">
      <c r="A288" t="s">
        <v>1884</v>
      </c>
      <c r="B288" s="10">
        <v>45408</v>
      </c>
      <c r="C288" s="10">
        <v>45408</v>
      </c>
      <c r="D288" t="s">
        <v>96</v>
      </c>
      <c r="E288" t="s">
        <v>36</v>
      </c>
      <c r="F288" t="s">
        <v>57</v>
      </c>
      <c r="G288" t="s">
        <v>37</v>
      </c>
      <c r="H288" t="s">
        <v>77</v>
      </c>
      <c r="I288">
        <v>1</v>
      </c>
      <c r="J288">
        <v>2745</v>
      </c>
      <c r="K288">
        <v>0.2</v>
      </c>
      <c r="L288" t="s">
        <v>58</v>
      </c>
      <c r="M288" t="s">
        <v>39</v>
      </c>
      <c r="N288" t="s">
        <v>59</v>
      </c>
      <c r="O288">
        <v>3.9</v>
      </c>
      <c r="P288">
        <v>2196</v>
      </c>
      <c r="Q288">
        <v>1500</v>
      </c>
      <c r="R288">
        <f>Table2_2[[#This Row],[cost]]*Table2_2[[#This Row],[Quantity]]</f>
        <v>1500</v>
      </c>
      <c r="S288">
        <f>Table2_2[[#This Row],[revenue]]-Table2_2[[#This Row],[total_cost]]</f>
        <v>696</v>
      </c>
    </row>
    <row r="289" spans="1:19" x14ac:dyDescent="0.3">
      <c r="A289" t="s">
        <v>1890</v>
      </c>
      <c r="B289" s="10">
        <v>45101</v>
      </c>
      <c r="C289" s="10">
        <v>45101</v>
      </c>
      <c r="D289" t="s">
        <v>91</v>
      </c>
      <c r="E289" t="s">
        <v>1193</v>
      </c>
      <c r="F289" t="s">
        <v>98</v>
      </c>
      <c r="G289" t="s">
        <v>37</v>
      </c>
      <c r="H289" t="s">
        <v>77</v>
      </c>
      <c r="I289">
        <v>3</v>
      </c>
      <c r="J289">
        <v>6795</v>
      </c>
      <c r="K289">
        <v>0</v>
      </c>
      <c r="L289" t="s">
        <v>31</v>
      </c>
      <c r="M289" t="s">
        <v>22</v>
      </c>
      <c r="N289" t="s">
        <v>59</v>
      </c>
      <c r="O289">
        <v>4.4000000000000004</v>
      </c>
      <c r="P289">
        <v>20385</v>
      </c>
      <c r="Q289">
        <v>900</v>
      </c>
      <c r="R289">
        <f>Table2_2[[#This Row],[cost]]*Table2_2[[#This Row],[Quantity]]</f>
        <v>2700</v>
      </c>
      <c r="S289">
        <f>Table2_2[[#This Row],[revenue]]-Table2_2[[#This Row],[total_cost]]</f>
        <v>17685</v>
      </c>
    </row>
    <row r="290" spans="1:19" x14ac:dyDescent="0.3">
      <c r="A290" t="s">
        <v>1754</v>
      </c>
      <c r="B290" s="10">
        <v>45613</v>
      </c>
      <c r="C290" s="10">
        <v>45613</v>
      </c>
      <c r="D290" t="s">
        <v>71</v>
      </c>
      <c r="E290" t="s">
        <v>758</v>
      </c>
      <c r="F290" t="s">
        <v>28</v>
      </c>
      <c r="G290" t="s">
        <v>29</v>
      </c>
      <c r="H290" t="s">
        <v>99</v>
      </c>
      <c r="I290">
        <v>3</v>
      </c>
      <c r="J290">
        <v>4522</v>
      </c>
      <c r="K290">
        <v>0.05</v>
      </c>
      <c r="L290" t="s">
        <v>31</v>
      </c>
      <c r="M290" t="s">
        <v>22</v>
      </c>
      <c r="N290" t="s">
        <v>59</v>
      </c>
      <c r="O290">
        <v>4.3</v>
      </c>
      <c r="P290">
        <v>12887.699999999999</v>
      </c>
      <c r="Q290">
        <v>1500</v>
      </c>
      <c r="R290">
        <f>Table2_2[[#This Row],[cost]]*Table2_2[[#This Row],[Quantity]]</f>
        <v>4500</v>
      </c>
      <c r="S290">
        <f>Table2_2[[#This Row],[revenue]]-Table2_2[[#This Row],[total_cost]]</f>
        <v>8387.6999999999989</v>
      </c>
    </row>
    <row r="291" spans="1:19" x14ac:dyDescent="0.3">
      <c r="A291" t="s">
        <v>1907</v>
      </c>
      <c r="B291" s="10">
        <v>45019</v>
      </c>
      <c r="C291" s="10">
        <v>45019</v>
      </c>
      <c r="D291" t="s">
        <v>96</v>
      </c>
      <c r="E291" t="s">
        <v>428</v>
      </c>
      <c r="F291" t="s">
        <v>18</v>
      </c>
      <c r="G291" t="s">
        <v>29</v>
      </c>
      <c r="H291" t="s">
        <v>30</v>
      </c>
      <c r="I291">
        <v>3</v>
      </c>
      <c r="J291">
        <v>1715</v>
      </c>
      <c r="K291">
        <v>0.1</v>
      </c>
      <c r="L291" t="s">
        <v>58</v>
      </c>
      <c r="M291" t="s">
        <v>22</v>
      </c>
      <c r="N291" t="s">
        <v>48</v>
      </c>
      <c r="O291">
        <v>3.7</v>
      </c>
      <c r="P291">
        <v>4630.5</v>
      </c>
      <c r="Q291">
        <v>500</v>
      </c>
      <c r="R291">
        <f>Table2_2[[#This Row],[cost]]*Table2_2[[#This Row],[Quantity]]</f>
        <v>1500</v>
      </c>
      <c r="S291">
        <f>Table2_2[[#This Row],[revenue]]-Table2_2[[#This Row],[total_cost]]</f>
        <v>3130.5</v>
      </c>
    </row>
    <row r="292" spans="1:19" x14ac:dyDescent="0.3">
      <c r="A292" t="s">
        <v>1911</v>
      </c>
      <c r="B292" s="10">
        <v>45083</v>
      </c>
      <c r="C292" s="10">
        <v>45083</v>
      </c>
      <c r="D292" t="s">
        <v>62</v>
      </c>
      <c r="E292" t="s">
        <v>1913</v>
      </c>
      <c r="F292" t="s">
        <v>18</v>
      </c>
      <c r="G292" t="s">
        <v>53</v>
      </c>
      <c r="H292" t="s">
        <v>99</v>
      </c>
      <c r="I292">
        <v>1</v>
      </c>
      <c r="J292">
        <v>3274</v>
      </c>
      <c r="K292">
        <v>0.2</v>
      </c>
      <c r="L292" t="s">
        <v>38</v>
      </c>
      <c r="M292" t="s">
        <v>22</v>
      </c>
      <c r="N292" t="s">
        <v>59</v>
      </c>
      <c r="O292">
        <v>3.3</v>
      </c>
      <c r="P292">
        <v>2619.2000000000003</v>
      </c>
      <c r="Q292">
        <v>1200</v>
      </c>
      <c r="R292">
        <f>Table2_2[[#This Row],[cost]]*Table2_2[[#This Row],[Quantity]]</f>
        <v>1200</v>
      </c>
      <c r="S292">
        <f>Table2_2[[#This Row],[revenue]]-Table2_2[[#This Row],[total_cost]]</f>
        <v>1419.2000000000003</v>
      </c>
    </row>
    <row r="293" spans="1:19" x14ac:dyDescent="0.3">
      <c r="A293" t="s">
        <v>1556</v>
      </c>
      <c r="B293" s="10">
        <v>45568</v>
      </c>
      <c r="C293" s="10">
        <v>45568</v>
      </c>
      <c r="D293" t="s">
        <v>46</v>
      </c>
      <c r="E293" t="s">
        <v>886</v>
      </c>
      <c r="F293" t="s">
        <v>64</v>
      </c>
      <c r="G293" t="s">
        <v>19</v>
      </c>
      <c r="H293" t="s">
        <v>30</v>
      </c>
      <c r="I293">
        <v>1</v>
      </c>
      <c r="J293">
        <v>2616</v>
      </c>
      <c r="K293">
        <v>0.05</v>
      </c>
      <c r="L293" t="s">
        <v>21</v>
      </c>
      <c r="M293" t="s">
        <v>22</v>
      </c>
      <c r="N293" t="s">
        <v>59</v>
      </c>
      <c r="O293">
        <v>3.5</v>
      </c>
      <c r="P293">
        <v>2485.1999999999998</v>
      </c>
      <c r="Q293">
        <v>1500</v>
      </c>
      <c r="R293">
        <f>Table2_2[[#This Row],[cost]]*Table2_2[[#This Row],[Quantity]]</f>
        <v>1500</v>
      </c>
      <c r="S293">
        <f>Table2_2[[#This Row],[revenue]]-Table2_2[[#This Row],[total_cost]]</f>
        <v>985.19999999999982</v>
      </c>
    </row>
    <row r="294" spans="1:19" x14ac:dyDescent="0.3">
      <c r="A294" t="s">
        <v>1932</v>
      </c>
      <c r="B294" s="10">
        <v>44931</v>
      </c>
      <c r="C294" s="10">
        <v>44931</v>
      </c>
      <c r="D294" t="s">
        <v>96</v>
      </c>
      <c r="E294" t="s">
        <v>758</v>
      </c>
      <c r="F294" t="s">
        <v>57</v>
      </c>
      <c r="G294" t="s">
        <v>37</v>
      </c>
      <c r="H294" t="s">
        <v>30</v>
      </c>
      <c r="I294">
        <v>1</v>
      </c>
      <c r="J294">
        <v>2456</v>
      </c>
      <c r="K294">
        <v>0.2</v>
      </c>
      <c r="L294" t="s">
        <v>31</v>
      </c>
      <c r="M294" t="s">
        <v>22</v>
      </c>
      <c r="N294" t="s">
        <v>32</v>
      </c>
      <c r="O294">
        <v>3.1</v>
      </c>
      <c r="P294">
        <v>1964.8000000000002</v>
      </c>
      <c r="Q294">
        <v>1500</v>
      </c>
      <c r="R294">
        <f>Table2_2[[#This Row],[cost]]*Table2_2[[#This Row],[Quantity]]</f>
        <v>1500</v>
      </c>
      <c r="S294">
        <f>Table2_2[[#This Row],[revenue]]-Table2_2[[#This Row],[total_cost]]</f>
        <v>464.80000000000018</v>
      </c>
    </row>
    <row r="295" spans="1:19" x14ac:dyDescent="0.3">
      <c r="A295" t="s">
        <v>1652</v>
      </c>
      <c r="B295" s="10">
        <v>45541</v>
      </c>
      <c r="C295" s="10">
        <v>45541</v>
      </c>
      <c r="D295" t="s">
        <v>114</v>
      </c>
      <c r="E295" t="s">
        <v>795</v>
      </c>
      <c r="F295" t="s">
        <v>73</v>
      </c>
      <c r="G295" t="s">
        <v>37</v>
      </c>
      <c r="H295" t="s">
        <v>99</v>
      </c>
      <c r="I295">
        <v>3</v>
      </c>
      <c r="J295">
        <v>6334</v>
      </c>
      <c r="K295">
        <v>0.1</v>
      </c>
      <c r="L295" t="s">
        <v>21</v>
      </c>
      <c r="M295" t="s">
        <v>22</v>
      </c>
      <c r="N295" t="s">
        <v>23</v>
      </c>
      <c r="O295">
        <v>3</v>
      </c>
      <c r="P295">
        <v>17101.8</v>
      </c>
      <c r="Q295">
        <v>1500</v>
      </c>
      <c r="R295">
        <f>Table2_2[[#This Row],[cost]]*Table2_2[[#This Row],[Quantity]]</f>
        <v>4500</v>
      </c>
      <c r="S295">
        <f>Table2_2[[#This Row],[revenue]]-Table2_2[[#This Row],[total_cost]]</f>
        <v>12601.8</v>
      </c>
    </row>
    <row r="296" spans="1:19" x14ac:dyDescent="0.3">
      <c r="A296" t="s">
        <v>987</v>
      </c>
      <c r="B296" s="10">
        <v>45141</v>
      </c>
      <c r="C296" s="10">
        <v>45141</v>
      </c>
      <c r="D296" t="s">
        <v>131</v>
      </c>
      <c r="E296" t="s">
        <v>1561</v>
      </c>
      <c r="F296" t="s">
        <v>98</v>
      </c>
      <c r="G296" t="s">
        <v>19</v>
      </c>
      <c r="H296" t="s">
        <v>30</v>
      </c>
      <c r="I296">
        <v>5</v>
      </c>
      <c r="J296">
        <v>3812</v>
      </c>
      <c r="K296">
        <v>0.05</v>
      </c>
      <c r="L296" t="s">
        <v>58</v>
      </c>
      <c r="M296" t="s">
        <v>22</v>
      </c>
      <c r="N296" t="s">
        <v>23</v>
      </c>
      <c r="O296">
        <v>4.3</v>
      </c>
      <c r="P296">
        <v>18107</v>
      </c>
      <c r="Q296">
        <v>900</v>
      </c>
      <c r="R296">
        <f>Table2_2[[#This Row],[cost]]*Table2_2[[#This Row],[Quantity]]</f>
        <v>4500</v>
      </c>
      <c r="S296">
        <f>Table2_2[[#This Row],[revenue]]-Table2_2[[#This Row],[total_cost]]</f>
        <v>13607</v>
      </c>
    </row>
    <row r="297" spans="1:19" x14ac:dyDescent="0.3">
      <c r="A297" t="s">
        <v>1935</v>
      </c>
      <c r="B297" s="10">
        <v>45425</v>
      </c>
      <c r="C297" s="10">
        <v>45425</v>
      </c>
      <c r="D297" t="s">
        <v>91</v>
      </c>
      <c r="E297" t="s">
        <v>97</v>
      </c>
      <c r="F297" t="s">
        <v>18</v>
      </c>
      <c r="G297" t="s">
        <v>29</v>
      </c>
      <c r="H297" t="s">
        <v>30</v>
      </c>
      <c r="I297">
        <v>3</v>
      </c>
      <c r="J297">
        <v>7124</v>
      </c>
      <c r="K297">
        <v>0.15</v>
      </c>
      <c r="L297" t="s">
        <v>58</v>
      </c>
      <c r="M297" t="s">
        <v>39</v>
      </c>
      <c r="N297" t="s">
        <v>23</v>
      </c>
      <c r="O297">
        <v>3.6</v>
      </c>
      <c r="P297">
        <v>18166.2</v>
      </c>
      <c r="Q297">
        <v>500</v>
      </c>
      <c r="R297">
        <f>Table2_2[[#This Row],[cost]]*Table2_2[[#This Row],[Quantity]]</f>
        <v>1500</v>
      </c>
      <c r="S297">
        <f>Table2_2[[#This Row],[revenue]]-Table2_2[[#This Row],[total_cost]]</f>
        <v>16666.2</v>
      </c>
    </row>
    <row r="298" spans="1:19" x14ac:dyDescent="0.3">
      <c r="A298" t="s">
        <v>1389</v>
      </c>
      <c r="B298" s="10">
        <v>45024</v>
      </c>
      <c r="C298" s="10">
        <v>45024</v>
      </c>
      <c r="D298" t="s">
        <v>91</v>
      </c>
      <c r="E298" t="s">
        <v>1245</v>
      </c>
      <c r="F298" t="s">
        <v>98</v>
      </c>
      <c r="G298" t="s">
        <v>19</v>
      </c>
      <c r="H298" t="s">
        <v>99</v>
      </c>
      <c r="I298">
        <v>2</v>
      </c>
      <c r="J298">
        <v>1880</v>
      </c>
      <c r="K298">
        <v>0.05</v>
      </c>
      <c r="L298" t="s">
        <v>21</v>
      </c>
      <c r="M298" t="s">
        <v>22</v>
      </c>
      <c r="N298" t="s">
        <v>48</v>
      </c>
      <c r="O298">
        <v>4.5</v>
      </c>
      <c r="P298">
        <v>3572</v>
      </c>
      <c r="Q298">
        <v>500</v>
      </c>
      <c r="R298">
        <f>Table2_2[[#This Row],[cost]]*Table2_2[[#This Row],[Quantity]]</f>
        <v>1000</v>
      </c>
      <c r="S298">
        <f>Table2_2[[#This Row],[revenue]]-Table2_2[[#This Row],[total_cost]]</f>
        <v>2572</v>
      </c>
    </row>
    <row r="299" spans="1:19" x14ac:dyDescent="0.3">
      <c r="A299" t="s">
        <v>1937</v>
      </c>
      <c r="B299" s="10">
        <v>45457</v>
      </c>
      <c r="C299" s="10">
        <v>45457</v>
      </c>
      <c r="D299" t="s">
        <v>46</v>
      </c>
      <c r="E299" t="s">
        <v>612</v>
      </c>
      <c r="F299" t="s">
        <v>28</v>
      </c>
      <c r="G299" t="s">
        <v>37</v>
      </c>
      <c r="H299" t="s">
        <v>99</v>
      </c>
      <c r="I299">
        <v>2</v>
      </c>
      <c r="J299">
        <v>5314</v>
      </c>
      <c r="K299">
        <v>0.1</v>
      </c>
      <c r="L299" t="s">
        <v>21</v>
      </c>
      <c r="M299" t="s">
        <v>39</v>
      </c>
      <c r="N299" t="s">
        <v>48</v>
      </c>
      <c r="O299">
        <v>4.7</v>
      </c>
      <c r="P299">
        <v>9565.2000000000007</v>
      </c>
      <c r="Q299">
        <v>1200</v>
      </c>
      <c r="R299">
        <f>Table2_2[[#This Row],[cost]]*Table2_2[[#This Row],[Quantity]]</f>
        <v>2400</v>
      </c>
      <c r="S299">
        <f>Table2_2[[#This Row],[revenue]]-Table2_2[[#This Row],[total_cost]]</f>
        <v>7165.2000000000007</v>
      </c>
    </row>
    <row r="300" spans="1:19" x14ac:dyDescent="0.3">
      <c r="A300" t="s">
        <v>1471</v>
      </c>
      <c r="B300" s="10">
        <v>44976</v>
      </c>
      <c r="C300" s="10">
        <v>44976</v>
      </c>
      <c r="D300" t="s">
        <v>114</v>
      </c>
      <c r="E300" t="s">
        <v>445</v>
      </c>
      <c r="F300" t="s">
        <v>43</v>
      </c>
      <c r="G300" t="s">
        <v>19</v>
      </c>
      <c r="H300" t="s">
        <v>30</v>
      </c>
      <c r="I300">
        <v>4</v>
      </c>
      <c r="J300">
        <v>2052</v>
      </c>
      <c r="K300">
        <v>0.2</v>
      </c>
      <c r="L300" t="s">
        <v>21</v>
      </c>
      <c r="M300" t="s">
        <v>39</v>
      </c>
      <c r="N300" t="s">
        <v>48</v>
      </c>
      <c r="O300">
        <v>3.7</v>
      </c>
      <c r="P300">
        <v>6566.4000000000005</v>
      </c>
      <c r="Q300">
        <v>1500</v>
      </c>
      <c r="R300">
        <f>Table2_2[[#This Row],[cost]]*Table2_2[[#This Row],[Quantity]]</f>
        <v>6000</v>
      </c>
      <c r="S300">
        <f>Table2_2[[#This Row],[revenue]]-Table2_2[[#This Row],[total_cost]]</f>
        <v>566.40000000000055</v>
      </c>
    </row>
    <row r="301" spans="1:19" x14ac:dyDescent="0.3">
      <c r="A301" t="s">
        <v>1959</v>
      </c>
      <c r="B301" s="10">
        <v>45171</v>
      </c>
      <c r="C301" s="10">
        <v>45171</v>
      </c>
      <c r="D301" t="s">
        <v>67</v>
      </c>
      <c r="E301" t="s">
        <v>17</v>
      </c>
      <c r="F301" t="s">
        <v>43</v>
      </c>
      <c r="G301" t="s">
        <v>19</v>
      </c>
      <c r="H301" t="s">
        <v>99</v>
      </c>
      <c r="I301">
        <v>2</v>
      </c>
      <c r="J301">
        <v>1519</v>
      </c>
      <c r="K301">
        <v>0</v>
      </c>
      <c r="L301" t="s">
        <v>38</v>
      </c>
      <c r="M301" t="s">
        <v>39</v>
      </c>
      <c r="N301" t="s">
        <v>32</v>
      </c>
      <c r="O301">
        <v>3.8</v>
      </c>
      <c r="P301">
        <v>3038</v>
      </c>
      <c r="Q301">
        <v>700</v>
      </c>
      <c r="R301">
        <f>Table2_2[[#This Row],[cost]]*Table2_2[[#This Row],[Quantity]]</f>
        <v>1400</v>
      </c>
      <c r="S301">
        <f>Table2_2[[#This Row],[revenue]]-Table2_2[[#This Row],[total_cost]]</f>
        <v>1638</v>
      </c>
    </row>
    <row r="302" spans="1:19" x14ac:dyDescent="0.3">
      <c r="A302" t="s">
        <v>1870</v>
      </c>
      <c r="B302" s="10">
        <v>44994</v>
      </c>
      <c r="C302" s="10">
        <v>44994</v>
      </c>
      <c r="D302" t="s">
        <v>71</v>
      </c>
      <c r="E302" t="s">
        <v>640</v>
      </c>
      <c r="F302" t="s">
        <v>43</v>
      </c>
      <c r="G302" t="s">
        <v>37</v>
      </c>
      <c r="H302" t="s">
        <v>20</v>
      </c>
      <c r="I302">
        <v>2</v>
      </c>
      <c r="J302">
        <v>4511</v>
      </c>
      <c r="K302">
        <v>0.05</v>
      </c>
      <c r="L302" t="s">
        <v>58</v>
      </c>
      <c r="M302" t="s">
        <v>39</v>
      </c>
      <c r="N302" t="s">
        <v>48</v>
      </c>
      <c r="O302">
        <v>3.4</v>
      </c>
      <c r="P302">
        <v>8570.9</v>
      </c>
      <c r="Q302">
        <v>900</v>
      </c>
      <c r="R302">
        <f>Table2_2[[#This Row],[cost]]*Table2_2[[#This Row],[Quantity]]</f>
        <v>1800</v>
      </c>
      <c r="S302">
        <f>Table2_2[[#This Row],[revenue]]-Table2_2[[#This Row],[total_cost]]</f>
        <v>6770.9</v>
      </c>
    </row>
    <row r="303" spans="1:19" x14ac:dyDescent="0.3">
      <c r="A303" t="s">
        <v>558</v>
      </c>
      <c r="B303" s="10">
        <v>45103</v>
      </c>
      <c r="C303" s="10">
        <v>45103</v>
      </c>
      <c r="D303" t="s">
        <v>67</v>
      </c>
      <c r="E303" t="s">
        <v>263</v>
      </c>
      <c r="F303" t="s">
        <v>64</v>
      </c>
      <c r="G303" t="s">
        <v>37</v>
      </c>
      <c r="H303" t="s">
        <v>20</v>
      </c>
      <c r="I303">
        <v>2</v>
      </c>
      <c r="J303">
        <v>9457</v>
      </c>
      <c r="K303">
        <v>0</v>
      </c>
      <c r="L303" t="s">
        <v>21</v>
      </c>
      <c r="M303" t="s">
        <v>22</v>
      </c>
      <c r="N303" t="s">
        <v>32</v>
      </c>
      <c r="O303">
        <v>4.4000000000000004</v>
      </c>
      <c r="P303">
        <v>18914</v>
      </c>
      <c r="Q303">
        <v>1500</v>
      </c>
      <c r="R303">
        <f>Table2_2[[#This Row],[cost]]*Table2_2[[#This Row],[Quantity]]</f>
        <v>3000</v>
      </c>
      <c r="S303">
        <f>Table2_2[[#This Row],[revenue]]-Table2_2[[#This Row],[total_cost]]</f>
        <v>15914</v>
      </c>
    </row>
    <row r="304" spans="1:19" x14ac:dyDescent="0.3">
      <c r="A304" t="s">
        <v>1972</v>
      </c>
      <c r="B304" s="10">
        <v>45330</v>
      </c>
      <c r="C304" s="10">
        <v>45330</v>
      </c>
      <c r="D304" t="s">
        <v>114</v>
      </c>
      <c r="E304" t="s">
        <v>1552</v>
      </c>
      <c r="F304" t="s">
        <v>43</v>
      </c>
      <c r="G304" t="s">
        <v>37</v>
      </c>
      <c r="H304" t="s">
        <v>20</v>
      </c>
      <c r="I304">
        <v>5</v>
      </c>
      <c r="J304">
        <v>8085</v>
      </c>
      <c r="K304">
        <v>0.05</v>
      </c>
      <c r="L304" t="s">
        <v>58</v>
      </c>
      <c r="M304" t="s">
        <v>22</v>
      </c>
      <c r="N304" t="s">
        <v>59</v>
      </c>
      <c r="O304">
        <v>3.4</v>
      </c>
      <c r="P304">
        <v>38403.75</v>
      </c>
      <c r="Q304">
        <v>1200</v>
      </c>
      <c r="R304">
        <f>Table2_2[[#This Row],[cost]]*Table2_2[[#This Row],[Quantity]]</f>
        <v>6000</v>
      </c>
      <c r="S304">
        <f>Table2_2[[#This Row],[revenue]]-Table2_2[[#This Row],[total_cost]]</f>
        <v>32403.75</v>
      </c>
    </row>
    <row r="305" spans="1:19" x14ac:dyDescent="0.3">
      <c r="A305" t="s">
        <v>1976</v>
      </c>
      <c r="B305" s="10">
        <v>45266</v>
      </c>
      <c r="C305" s="10">
        <v>45266</v>
      </c>
      <c r="D305" t="s">
        <v>80</v>
      </c>
      <c r="E305" t="s">
        <v>237</v>
      </c>
      <c r="F305" t="s">
        <v>73</v>
      </c>
      <c r="G305" t="s">
        <v>53</v>
      </c>
      <c r="H305" t="s">
        <v>77</v>
      </c>
      <c r="I305">
        <v>4</v>
      </c>
      <c r="J305">
        <v>7284</v>
      </c>
      <c r="K305">
        <v>0.1</v>
      </c>
      <c r="L305" t="s">
        <v>31</v>
      </c>
      <c r="M305" t="s">
        <v>22</v>
      </c>
      <c r="N305" t="s">
        <v>59</v>
      </c>
      <c r="O305">
        <v>3.8</v>
      </c>
      <c r="P305">
        <v>26222.400000000001</v>
      </c>
      <c r="Q305">
        <v>900</v>
      </c>
      <c r="R305">
        <f>Table2_2[[#This Row],[cost]]*Table2_2[[#This Row],[Quantity]]</f>
        <v>3600</v>
      </c>
      <c r="S305">
        <f>Table2_2[[#This Row],[revenue]]-Table2_2[[#This Row],[total_cost]]</f>
        <v>22622.400000000001</v>
      </c>
    </row>
    <row r="306" spans="1:19" x14ac:dyDescent="0.3">
      <c r="A306" t="s">
        <v>1979</v>
      </c>
      <c r="B306" s="10">
        <v>45178</v>
      </c>
      <c r="C306" s="10">
        <v>45178</v>
      </c>
      <c r="D306" t="s">
        <v>71</v>
      </c>
      <c r="E306" t="s">
        <v>471</v>
      </c>
      <c r="F306" t="s">
        <v>64</v>
      </c>
      <c r="G306" t="s">
        <v>53</v>
      </c>
      <c r="H306" t="s">
        <v>99</v>
      </c>
      <c r="I306">
        <v>5</v>
      </c>
      <c r="J306">
        <v>2897</v>
      </c>
      <c r="K306">
        <v>0.05</v>
      </c>
      <c r="L306" t="s">
        <v>38</v>
      </c>
      <c r="M306" t="s">
        <v>39</v>
      </c>
      <c r="N306" t="s">
        <v>59</v>
      </c>
      <c r="O306">
        <v>3.3</v>
      </c>
      <c r="P306">
        <v>13760.75</v>
      </c>
      <c r="Q306">
        <v>700</v>
      </c>
      <c r="R306">
        <f>Table2_2[[#This Row],[cost]]*Table2_2[[#This Row],[Quantity]]</f>
        <v>3500</v>
      </c>
      <c r="S306">
        <f>Table2_2[[#This Row],[revenue]]-Table2_2[[#This Row],[total_cost]]</f>
        <v>10260.75</v>
      </c>
    </row>
    <row r="307" spans="1:19" x14ac:dyDescent="0.3">
      <c r="A307" t="s">
        <v>1981</v>
      </c>
      <c r="B307" s="10">
        <v>45644</v>
      </c>
      <c r="C307" s="10">
        <v>45644</v>
      </c>
      <c r="D307" t="s">
        <v>71</v>
      </c>
      <c r="E307" t="s">
        <v>550</v>
      </c>
      <c r="F307" t="s">
        <v>57</v>
      </c>
      <c r="G307" t="s">
        <v>29</v>
      </c>
      <c r="H307" t="s">
        <v>20</v>
      </c>
      <c r="I307">
        <v>4</v>
      </c>
      <c r="J307">
        <v>1008</v>
      </c>
      <c r="K307">
        <v>0.2</v>
      </c>
      <c r="L307" t="s">
        <v>21</v>
      </c>
      <c r="M307" t="s">
        <v>22</v>
      </c>
      <c r="N307" t="s">
        <v>59</v>
      </c>
      <c r="O307">
        <v>3.3</v>
      </c>
      <c r="P307">
        <v>3225.6000000000004</v>
      </c>
      <c r="Q307">
        <v>700</v>
      </c>
      <c r="R307">
        <f>Table2_2[[#This Row],[cost]]*Table2_2[[#This Row],[Quantity]]</f>
        <v>2800</v>
      </c>
      <c r="S307">
        <f>Table2_2[[#This Row],[revenue]]-Table2_2[[#This Row],[total_cost]]</f>
        <v>425.60000000000036</v>
      </c>
    </row>
    <row r="308" spans="1:19" x14ac:dyDescent="0.3">
      <c r="A308" t="s">
        <v>1990</v>
      </c>
      <c r="B308" s="10">
        <v>45321</v>
      </c>
      <c r="C308" s="10">
        <v>45321</v>
      </c>
      <c r="D308" t="s">
        <v>91</v>
      </c>
      <c r="E308" t="s">
        <v>1782</v>
      </c>
      <c r="F308" t="s">
        <v>64</v>
      </c>
      <c r="G308" t="s">
        <v>19</v>
      </c>
      <c r="H308" t="s">
        <v>20</v>
      </c>
      <c r="I308">
        <v>2</v>
      </c>
      <c r="J308">
        <v>4274</v>
      </c>
      <c r="K308">
        <v>0.15</v>
      </c>
      <c r="L308" t="s">
        <v>31</v>
      </c>
      <c r="M308" t="s">
        <v>39</v>
      </c>
      <c r="N308" t="s">
        <v>59</v>
      </c>
      <c r="O308">
        <v>4.4000000000000004</v>
      </c>
      <c r="P308">
        <v>7265.8</v>
      </c>
      <c r="Q308">
        <v>1500</v>
      </c>
      <c r="R308">
        <f>Table2_2[[#This Row],[cost]]*Table2_2[[#This Row],[Quantity]]</f>
        <v>3000</v>
      </c>
      <c r="S308">
        <f>Table2_2[[#This Row],[revenue]]-Table2_2[[#This Row],[total_cost]]</f>
        <v>4265.8</v>
      </c>
    </row>
    <row r="309" spans="1:19" x14ac:dyDescent="0.3">
      <c r="A309" t="s">
        <v>553</v>
      </c>
      <c r="B309" s="10">
        <v>45402</v>
      </c>
      <c r="C309" s="10">
        <v>45402</v>
      </c>
      <c r="D309" t="s">
        <v>26</v>
      </c>
      <c r="E309" t="s">
        <v>597</v>
      </c>
      <c r="F309" t="s">
        <v>73</v>
      </c>
      <c r="G309" t="s">
        <v>53</v>
      </c>
      <c r="H309" t="s">
        <v>30</v>
      </c>
      <c r="I309">
        <v>4</v>
      </c>
      <c r="J309">
        <v>4832</v>
      </c>
      <c r="K309">
        <v>0.15</v>
      </c>
      <c r="L309" t="s">
        <v>58</v>
      </c>
      <c r="M309" t="s">
        <v>22</v>
      </c>
      <c r="N309" t="s">
        <v>23</v>
      </c>
      <c r="O309">
        <v>4.5999999999999996</v>
      </c>
      <c r="P309">
        <v>16428.8</v>
      </c>
      <c r="Q309">
        <v>1500</v>
      </c>
      <c r="R309">
        <f>Table2_2[[#This Row],[cost]]*Table2_2[[#This Row],[Quantity]]</f>
        <v>6000</v>
      </c>
      <c r="S309">
        <f>Table2_2[[#This Row],[revenue]]-Table2_2[[#This Row],[total_cost]]</f>
        <v>10428.799999999999</v>
      </c>
    </row>
    <row r="310" spans="1:19" x14ac:dyDescent="0.3">
      <c r="A310" t="s">
        <v>1717</v>
      </c>
      <c r="B310" s="10">
        <v>45559</v>
      </c>
      <c r="C310" s="10">
        <v>45559</v>
      </c>
      <c r="D310" t="s">
        <v>91</v>
      </c>
      <c r="E310" t="s">
        <v>550</v>
      </c>
      <c r="F310" t="s">
        <v>18</v>
      </c>
      <c r="G310" t="s">
        <v>37</v>
      </c>
      <c r="H310" t="s">
        <v>30</v>
      </c>
      <c r="I310">
        <v>1</v>
      </c>
      <c r="J310">
        <v>4016</v>
      </c>
      <c r="K310">
        <v>0.05</v>
      </c>
      <c r="L310" t="s">
        <v>58</v>
      </c>
      <c r="M310" t="s">
        <v>39</v>
      </c>
      <c r="N310" t="s">
        <v>48</v>
      </c>
      <c r="O310">
        <v>4.0999999999999996</v>
      </c>
      <c r="P310">
        <v>3815.2</v>
      </c>
      <c r="Q310">
        <v>700</v>
      </c>
      <c r="R310">
        <f>Table2_2[[#This Row],[cost]]*Table2_2[[#This Row],[Quantity]]</f>
        <v>700</v>
      </c>
      <c r="S310">
        <f>Table2_2[[#This Row],[revenue]]-Table2_2[[#This Row],[total_cost]]</f>
        <v>3115.2</v>
      </c>
    </row>
    <row r="311" spans="1:19" x14ac:dyDescent="0.3">
      <c r="A311" t="s">
        <v>1997</v>
      </c>
      <c r="B311" s="10">
        <v>45523</v>
      </c>
      <c r="C311" s="10">
        <v>45523</v>
      </c>
      <c r="D311" t="s">
        <v>131</v>
      </c>
      <c r="E311" t="s">
        <v>52</v>
      </c>
      <c r="F311" t="s">
        <v>64</v>
      </c>
      <c r="G311" t="s">
        <v>19</v>
      </c>
      <c r="H311" t="s">
        <v>30</v>
      </c>
      <c r="I311">
        <v>1</v>
      </c>
      <c r="J311">
        <v>3522</v>
      </c>
      <c r="K311">
        <v>0.1</v>
      </c>
      <c r="L311" t="s">
        <v>31</v>
      </c>
      <c r="M311" t="s">
        <v>39</v>
      </c>
      <c r="N311" t="s">
        <v>23</v>
      </c>
      <c r="O311">
        <v>3.8</v>
      </c>
      <c r="P311">
        <v>3169.8</v>
      </c>
      <c r="Q311">
        <v>1500</v>
      </c>
      <c r="R311">
        <f>Table2_2[[#This Row],[cost]]*Table2_2[[#This Row],[Quantity]]</f>
        <v>1500</v>
      </c>
      <c r="S311">
        <f>Table2_2[[#This Row],[revenue]]-Table2_2[[#This Row],[total_cost]]</f>
        <v>1669.8000000000002</v>
      </c>
    </row>
    <row r="312" spans="1:19" x14ac:dyDescent="0.3">
      <c r="A312" t="s">
        <v>1999</v>
      </c>
      <c r="B312" s="10">
        <v>45203</v>
      </c>
      <c r="C312" s="10">
        <v>45203</v>
      </c>
      <c r="D312" t="s">
        <v>131</v>
      </c>
      <c r="E312" t="s">
        <v>1066</v>
      </c>
      <c r="F312" t="s">
        <v>57</v>
      </c>
      <c r="G312" t="s">
        <v>53</v>
      </c>
      <c r="H312" t="s">
        <v>99</v>
      </c>
      <c r="I312">
        <v>4</v>
      </c>
      <c r="J312">
        <v>9652</v>
      </c>
      <c r="K312">
        <v>0</v>
      </c>
      <c r="L312" t="s">
        <v>58</v>
      </c>
      <c r="M312" t="s">
        <v>39</v>
      </c>
      <c r="N312" t="s">
        <v>48</v>
      </c>
      <c r="O312">
        <v>4.7</v>
      </c>
      <c r="P312">
        <v>38608</v>
      </c>
      <c r="Q312">
        <v>700</v>
      </c>
      <c r="R312">
        <f>Table2_2[[#This Row],[cost]]*Table2_2[[#This Row],[Quantity]]</f>
        <v>2800</v>
      </c>
      <c r="S312">
        <f>Table2_2[[#This Row],[revenue]]-Table2_2[[#This Row],[total_cost]]</f>
        <v>35808</v>
      </c>
    </row>
    <row r="313" spans="1:19" x14ac:dyDescent="0.3">
      <c r="A313" t="s">
        <v>729</v>
      </c>
      <c r="B313" s="10">
        <v>45262</v>
      </c>
      <c r="C313" s="10">
        <v>45262</v>
      </c>
      <c r="D313" t="s">
        <v>26</v>
      </c>
      <c r="E313" t="s">
        <v>36</v>
      </c>
      <c r="F313" t="s">
        <v>43</v>
      </c>
      <c r="G313" t="s">
        <v>37</v>
      </c>
      <c r="H313" t="s">
        <v>20</v>
      </c>
      <c r="I313">
        <v>3</v>
      </c>
      <c r="J313">
        <v>8826</v>
      </c>
      <c r="K313">
        <v>0.15</v>
      </c>
      <c r="L313" t="s">
        <v>21</v>
      </c>
      <c r="M313" t="s">
        <v>22</v>
      </c>
      <c r="N313" t="s">
        <v>23</v>
      </c>
      <c r="O313">
        <v>4</v>
      </c>
      <c r="P313">
        <v>22506.3</v>
      </c>
      <c r="Q313">
        <v>1500</v>
      </c>
      <c r="R313">
        <f>Table2_2[[#This Row],[cost]]*Table2_2[[#This Row],[Quantity]]</f>
        <v>4500</v>
      </c>
      <c r="S313">
        <f>Table2_2[[#This Row],[revenue]]-Table2_2[[#This Row],[total_cost]]</f>
        <v>18006.3</v>
      </c>
    </row>
    <row r="314" spans="1:19" x14ac:dyDescent="0.3">
      <c r="A314" t="s">
        <v>2001</v>
      </c>
      <c r="B314" s="10">
        <v>45089</v>
      </c>
      <c r="C314" s="10">
        <v>45089</v>
      </c>
      <c r="D314" t="s">
        <v>71</v>
      </c>
      <c r="E314" t="s">
        <v>118</v>
      </c>
      <c r="F314" t="s">
        <v>18</v>
      </c>
      <c r="G314" t="s">
        <v>19</v>
      </c>
      <c r="H314" t="s">
        <v>77</v>
      </c>
      <c r="I314">
        <v>2</v>
      </c>
      <c r="J314">
        <v>8771</v>
      </c>
      <c r="K314">
        <v>0.15</v>
      </c>
      <c r="L314" t="s">
        <v>21</v>
      </c>
      <c r="M314" t="s">
        <v>22</v>
      </c>
      <c r="N314" t="s">
        <v>59</v>
      </c>
      <c r="O314">
        <v>4.7</v>
      </c>
      <c r="P314">
        <v>14910.699999999999</v>
      </c>
      <c r="Q314">
        <v>700</v>
      </c>
      <c r="R314">
        <f>Table2_2[[#This Row],[cost]]*Table2_2[[#This Row],[Quantity]]</f>
        <v>1400</v>
      </c>
      <c r="S314">
        <f>Table2_2[[#This Row],[revenue]]-Table2_2[[#This Row],[total_cost]]</f>
        <v>13510.699999999999</v>
      </c>
    </row>
    <row r="315" spans="1:19" x14ac:dyDescent="0.3">
      <c r="A315" t="s">
        <v>1408</v>
      </c>
      <c r="B315" s="10">
        <v>45442</v>
      </c>
      <c r="C315" s="10">
        <v>45442</v>
      </c>
      <c r="D315" t="s">
        <v>46</v>
      </c>
      <c r="E315" t="s">
        <v>452</v>
      </c>
      <c r="F315" t="s">
        <v>98</v>
      </c>
      <c r="G315" t="s">
        <v>53</v>
      </c>
      <c r="H315" t="s">
        <v>30</v>
      </c>
      <c r="I315">
        <v>1</v>
      </c>
      <c r="J315">
        <v>7138</v>
      </c>
      <c r="K315">
        <v>0.2</v>
      </c>
      <c r="L315" t="s">
        <v>31</v>
      </c>
      <c r="M315" t="s">
        <v>22</v>
      </c>
      <c r="N315" t="s">
        <v>59</v>
      </c>
      <c r="O315">
        <v>4.5</v>
      </c>
      <c r="P315">
        <v>5710.4000000000005</v>
      </c>
      <c r="Q315">
        <v>1200</v>
      </c>
      <c r="R315">
        <f>Table2_2[[#This Row],[cost]]*Table2_2[[#This Row],[Quantity]]</f>
        <v>1200</v>
      </c>
      <c r="S315">
        <f>Table2_2[[#This Row],[revenue]]-Table2_2[[#This Row],[total_cost]]</f>
        <v>4510.4000000000005</v>
      </c>
    </row>
    <row r="316" spans="1:19" x14ac:dyDescent="0.3">
      <c r="A316" t="s">
        <v>2007</v>
      </c>
      <c r="B316" s="10">
        <v>45315</v>
      </c>
      <c r="C316" s="10">
        <v>45315</v>
      </c>
      <c r="D316" t="s">
        <v>35</v>
      </c>
      <c r="E316" t="s">
        <v>247</v>
      </c>
      <c r="F316" t="s">
        <v>73</v>
      </c>
      <c r="G316" t="s">
        <v>37</v>
      </c>
      <c r="H316" t="s">
        <v>20</v>
      </c>
      <c r="I316">
        <v>5</v>
      </c>
      <c r="J316">
        <v>4168</v>
      </c>
      <c r="K316">
        <v>0.2</v>
      </c>
      <c r="L316" t="s">
        <v>38</v>
      </c>
      <c r="M316" t="s">
        <v>39</v>
      </c>
      <c r="N316" t="s">
        <v>32</v>
      </c>
      <c r="O316">
        <v>3.2</v>
      </c>
      <c r="P316">
        <v>16672</v>
      </c>
      <c r="Q316">
        <v>1500</v>
      </c>
      <c r="R316">
        <f>Table2_2[[#This Row],[cost]]*Table2_2[[#This Row],[Quantity]]</f>
        <v>7500</v>
      </c>
      <c r="S316">
        <f>Table2_2[[#This Row],[revenue]]-Table2_2[[#This Row],[total_cost]]</f>
        <v>9172</v>
      </c>
    </row>
    <row r="317" spans="1:19" x14ac:dyDescent="0.3">
      <c r="A317" t="s">
        <v>2011</v>
      </c>
      <c r="B317" s="10">
        <v>45104</v>
      </c>
      <c r="C317" s="10">
        <v>45104</v>
      </c>
      <c r="D317" t="s">
        <v>67</v>
      </c>
      <c r="E317" t="s">
        <v>800</v>
      </c>
      <c r="F317" t="s">
        <v>57</v>
      </c>
      <c r="G317" t="s">
        <v>37</v>
      </c>
      <c r="H317" t="s">
        <v>99</v>
      </c>
      <c r="I317">
        <v>1</v>
      </c>
      <c r="J317">
        <v>4317</v>
      </c>
      <c r="K317">
        <v>0.05</v>
      </c>
      <c r="L317" t="s">
        <v>21</v>
      </c>
      <c r="M317" t="s">
        <v>22</v>
      </c>
      <c r="N317" t="s">
        <v>59</v>
      </c>
      <c r="O317">
        <v>5</v>
      </c>
      <c r="P317">
        <v>4101.1499999999996</v>
      </c>
      <c r="Q317">
        <v>1200</v>
      </c>
      <c r="R317">
        <f>Table2_2[[#This Row],[cost]]*Table2_2[[#This Row],[Quantity]]</f>
        <v>1200</v>
      </c>
      <c r="S317">
        <f>Table2_2[[#This Row],[revenue]]-Table2_2[[#This Row],[total_cost]]</f>
        <v>2901.1499999999996</v>
      </c>
    </row>
    <row r="318" spans="1:19" x14ac:dyDescent="0.3">
      <c r="A318" t="s">
        <v>2013</v>
      </c>
      <c r="B318" s="10">
        <v>45592</v>
      </c>
      <c r="C318" s="10">
        <v>45592</v>
      </c>
      <c r="D318" t="s">
        <v>46</v>
      </c>
      <c r="E318" t="s">
        <v>149</v>
      </c>
      <c r="F318" t="s">
        <v>43</v>
      </c>
      <c r="G318" t="s">
        <v>37</v>
      </c>
      <c r="H318" t="s">
        <v>99</v>
      </c>
      <c r="I318">
        <v>5</v>
      </c>
      <c r="J318">
        <v>6859</v>
      </c>
      <c r="K318">
        <v>0.2</v>
      </c>
      <c r="L318" t="s">
        <v>58</v>
      </c>
      <c r="M318" t="s">
        <v>39</v>
      </c>
      <c r="N318" t="s">
        <v>59</v>
      </c>
      <c r="O318">
        <v>4.5</v>
      </c>
      <c r="P318">
        <v>27436</v>
      </c>
      <c r="Q318">
        <v>500</v>
      </c>
      <c r="R318">
        <f>Table2_2[[#This Row],[cost]]*Table2_2[[#This Row],[Quantity]]</f>
        <v>2500</v>
      </c>
      <c r="S318">
        <f>Table2_2[[#This Row],[revenue]]-Table2_2[[#This Row],[total_cost]]</f>
        <v>24936</v>
      </c>
    </row>
    <row r="319" spans="1:19" x14ac:dyDescent="0.3">
      <c r="A319" t="s">
        <v>2015</v>
      </c>
      <c r="B319" s="10">
        <v>45379</v>
      </c>
      <c r="C319" s="10">
        <v>45379</v>
      </c>
      <c r="D319" t="s">
        <v>84</v>
      </c>
      <c r="E319" t="s">
        <v>97</v>
      </c>
      <c r="F319" t="s">
        <v>57</v>
      </c>
      <c r="G319" t="s">
        <v>37</v>
      </c>
      <c r="H319" t="s">
        <v>30</v>
      </c>
      <c r="I319">
        <v>4</v>
      </c>
      <c r="J319">
        <v>4462</v>
      </c>
      <c r="K319">
        <v>0</v>
      </c>
      <c r="L319" t="s">
        <v>21</v>
      </c>
      <c r="M319" t="s">
        <v>39</v>
      </c>
      <c r="N319" t="s">
        <v>23</v>
      </c>
      <c r="O319">
        <v>4.3</v>
      </c>
      <c r="P319">
        <v>17848</v>
      </c>
      <c r="Q319">
        <v>500</v>
      </c>
      <c r="R319">
        <f>Table2_2[[#This Row],[cost]]*Table2_2[[#This Row],[Quantity]]</f>
        <v>2000</v>
      </c>
      <c r="S319">
        <f>Table2_2[[#This Row],[revenue]]-Table2_2[[#This Row],[total_cost]]</f>
        <v>15848</v>
      </c>
    </row>
    <row r="320" spans="1:19" x14ac:dyDescent="0.3">
      <c r="A320" t="s">
        <v>241</v>
      </c>
      <c r="B320" s="10">
        <v>45641</v>
      </c>
      <c r="C320" s="10">
        <v>45641</v>
      </c>
      <c r="D320" t="s">
        <v>91</v>
      </c>
      <c r="E320" t="s">
        <v>1043</v>
      </c>
      <c r="F320" t="s">
        <v>57</v>
      </c>
      <c r="G320" t="s">
        <v>29</v>
      </c>
      <c r="H320" t="s">
        <v>99</v>
      </c>
      <c r="I320">
        <v>4</v>
      </c>
      <c r="J320">
        <v>7616</v>
      </c>
      <c r="K320">
        <v>0.2</v>
      </c>
      <c r="L320" t="s">
        <v>58</v>
      </c>
      <c r="M320" t="s">
        <v>39</v>
      </c>
      <c r="N320" t="s">
        <v>59</v>
      </c>
      <c r="O320">
        <v>3.4</v>
      </c>
      <c r="P320">
        <v>24371.200000000001</v>
      </c>
      <c r="Q320">
        <v>1500</v>
      </c>
      <c r="R320">
        <f>Table2_2[[#This Row],[cost]]*Table2_2[[#This Row],[Quantity]]</f>
        <v>6000</v>
      </c>
      <c r="S320">
        <f>Table2_2[[#This Row],[revenue]]-Table2_2[[#This Row],[total_cost]]</f>
        <v>18371.2</v>
      </c>
    </row>
    <row r="321" spans="1:19" x14ac:dyDescent="0.3">
      <c r="A321" t="s">
        <v>2026</v>
      </c>
      <c r="B321" s="10">
        <v>45149</v>
      </c>
      <c r="C321" s="10">
        <v>45149</v>
      </c>
      <c r="D321" t="s">
        <v>67</v>
      </c>
      <c r="E321" t="s">
        <v>1710</v>
      </c>
      <c r="F321" t="s">
        <v>28</v>
      </c>
      <c r="G321" t="s">
        <v>37</v>
      </c>
      <c r="H321" t="s">
        <v>99</v>
      </c>
      <c r="I321">
        <v>5</v>
      </c>
      <c r="J321">
        <v>3365</v>
      </c>
      <c r="K321">
        <v>0.15</v>
      </c>
      <c r="L321" t="s">
        <v>58</v>
      </c>
      <c r="M321" t="s">
        <v>22</v>
      </c>
      <c r="N321" t="s">
        <v>59</v>
      </c>
      <c r="O321">
        <v>4.7</v>
      </c>
      <c r="P321">
        <v>14301.25</v>
      </c>
      <c r="Q321">
        <v>1500</v>
      </c>
      <c r="R321">
        <f>Table2_2[[#This Row],[cost]]*Table2_2[[#This Row],[Quantity]]</f>
        <v>7500</v>
      </c>
      <c r="S321">
        <f>Table2_2[[#This Row],[revenue]]-Table2_2[[#This Row],[total_cost]]</f>
        <v>6801.25</v>
      </c>
    </row>
    <row r="322" spans="1:19" x14ac:dyDescent="0.3">
      <c r="A322" t="s">
        <v>510</v>
      </c>
      <c r="B322" s="10">
        <v>45182</v>
      </c>
      <c r="C322" s="10">
        <v>45182</v>
      </c>
      <c r="D322" t="s">
        <v>127</v>
      </c>
      <c r="E322" t="s">
        <v>2033</v>
      </c>
      <c r="F322" t="s">
        <v>43</v>
      </c>
      <c r="G322" t="s">
        <v>29</v>
      </c>
      <c r="H322" t="s">
        <v>77</v>
      </c>
      <c r="I322">
        <v>3</v>
      </c>
      <c r="J322">
        <v>8915</v>
      </c>
      <c r="K322">
        <v>0</v>
      </c>
      <c r="L322" t="s">
        <v>38</v>
      </c>
      <c r="M322" t="s">
        <v>22</v>
      </c>
      <c r="N322" t="s">
        <v>32</v>
      </c>
      <c r="O322">
        <v>3.5</v>
      </c>
      <c r="P322">
        <v>26745</v>
      </c>
      <c r="Q322">
        <v>1200</v>
      </c>
      <c r="R322">
        <f>Table2_2[[#This Row],[cost]]*Table2_2[[#This Row],[Quantity]]</f>
        <v>3600</v>
      </c>
      <c r="S322">
        <f>Table2_2[[#This Row],[revenue]]-Table2_2[[#This Row],[total_cost]]</f>
        <v>23145</v>
      </c>
    </row>
    <row r="323" spans="1:19" x14ac:dyDescent="0.3">
      <c r="A323" t="s">
        <v>2039</v>
      </c>
      <c r="B323" s="10">
        <v>45062</v>
      </c>
      <c r="C323" s="10">
        <v>45062</v>
      </c>
      <c r="D323" t="s">
        <v>26</v>
      </c>
      <c r="E323" t="s">
        <v>2040</v>
      </c>
      <c r="F323" t="s">
        <v>57</v>
      </c>
      <c r="G323" t="s">
        <v>53</v>
      </c>
      <c r="H323" t="s">
        <v>30</v>
      </c>
      <c r="I323">
        <v>3</v>
      </c>
      <c r="J323">
        <v>7289</v>
      </c>
      <c r="K323">
        <v>0.05</v>
      </c>
      <c r="L323" t="s">
        <v>38</v>
      </c>
      <c r="M323" t="s">
        <v>39</v>
      </c>
      <c r="N323" t="s">
        <v>32</v>
      </c>
      <c r="O323">
        <v>3.9</v>
      </c>
      <c r="P323">
        <v>20773.649999999998</v>
      </c>
      <c r="Q323">
        <v>700</v>
      </c>
      <c r="R323">
        <f>Table2_2[[#This Row],[cost]]*Table2_2[[#This Row],[Quantity]]</f>
        <v>2100</v>
      </c>
      <c r="S323">
        <f>Table2_2[[#This Row],[revenue]]-Table2_2[[#This Row],[total_cost]]</f>
        <v>18673.649999999998</v>
      </c>
    </row>
    <row r="324" spans="1:19" x14ac:dyDescent="0.3">
      <c r="A324" t="s">
        <v>2044</v>
      </c>
      <c r="B324" s="10">
        <v>45358</v>
      </c>
      <c r="C324" s="10">
        <v>45358</v>
      </c>
      <c r="D324" t="s">
        <v>67</v>
      </c>
      <c r="E324" t="s">
        <v>128</v>
      </c>
      <c r="F324" t="s">
        <v>18</v>
      </c>
      <c r="G324" t="s">
        <v>19</v>
      </c>
      <c r="H324" t="s">
        <v>99</v>
      </c>
      <c r="I324">
        <v>3</v>
      </c>
      <c r="J324">
        <v>5462</v>
      </c>
      <c r="K324">
        <v>0.2</v>
      </c>
      <c r="L324" t="s">
        <v>38</v>
      </c>
      <c r="M324" t="s">
        <v>22</v>
      </c>
      <c r="N324" t="s">
        <v>32</v>
      </c>
      <c r="O324">
        <v>4.5999999999999996</v>
      </c>
      <c r="P324">
        <v>13108.800000000001</v>
      </c>
      <c r="Q324">
        <v>500</v>
      </c>
      <c r="R324">
        <f>Table2_2[[#This Row],[cost]]*Table2_2[[#This Row],[Quantity]]</f>
        <v>1500</v>
      </c>
      <c r="S324">
        <f>Table2_2[[#This Row],[revenue]]-Table2_2[[#This Row],[total_cost]]</f>
        <v>11608.800000000001</v>
      </c>
    </row>
    <row r="325" spans="1:19" x14ac:dyDescent="0.3">
      <c r="A325" t="s">
        <v>2045</v>
      </c>
      <c r="B325" s="10">
        <v>44928</v>
      </c>
      <c r="C325" s="10">
        <v>44928</v>
      </c>
      <c r="D325" t="s">
        <v>80</v>
      </c>
      <c r="E325" t="s">
        <v>115</v>
      </c>
      <c r="F325" t="s">
        <v>64</v>
      </c>
      <c r="G325" t="s">
        <v>53</v>
      </c>
      <c r="H325" t="s">
        <v>77</v>
      </c>
      <c r="I325">
        <v>3</v>
      </c>
      <c r="J325">
        <v>5961</v>
      </c>
      <c r="K325">
        <v>0.1</v>
      </c>
      <c r="L325" t="s">
        <v>58</v>
      </c>
      <c r="M325" t="s">
        <v>39</v>
      </c>
      <c r="N325" t="s">
        <v>23</v>
      </c>
      <c r="O325">
        <v>3.8</v>
      </c>
      <c r="P325">
        <v>16094.7</v>
      </c>
      <c r="Q325">
        <v>900</v>
      </c>
      <c r="R325">
        <f>Table2_2[[#This Row],[cost]]*Table2_2[[#This Row],[Quantity]]</f>
        <v>2700</v>
      </c>
      <c r="S325">
        <f>Table2_2[[#This Row],[revenue]]-Table2_2[[#This Row],[total_cost]]</f>
        <v>13394.7</v>
      </c>
    </row>
    <row r="326" spans="1:19" x14ac:dyDescent="0.3">
      <c r="A326" t="s">
        <v>2051</v>
      </c>
      <c r="B326" s="10">
        <v>44981</v>
      </c>
      <c r="C326" s="10">
        <v>44981</v>
      </c>
      <c r="D326" t="s">
        <v>131</v>
      </c>
      <c r="E326" t="s">
        <v>620</v>
      </c>
      <c r="F326" t="s">
        <v>28</v>
      </c>
      <c r="G326" t="s">
        <v>19</v>
      </c>
      <c r="H326" t="s">
        <v>77</v>
      </c>
      <c r="I326">
        <v>1</v>
      </c>
      <c r="J326">
        <v>2810</v>
      </c>
      <c r="K326">
        <v>0</v>
      </c>
      <c r="L326" t="s">
        <v>38</v>
      </c>
      <c r="M326" t="s">
        <v>22</v>
      </c>
      <c r="N326" t="s">
        <v>59</v>
      </c>
      <c r="O326">
        <v>3.5</v>
      </c>
      <c r="P326">
        <v>2810</v>
      </c>
      <c r="Q326">
        <v>900</v>
      </c>
      <c r="R326">
        <f>Table2_2[[#This Row],[cost]]*Table2_2[[#This Row],[Quantity]]</f>
        <v>900</v>
      </c>
      <c r="S326">
        <f>Table2_2[[#This Row],[revenue]]-Table2_2[[#This Row],[total_cost]]</f>
        <v>1910</v>
      </c>
    </row>
    <row r="327" spans="1:19" x14ac:dyDescent="0.3">
      <c r="A327" t="s">
        <v>2060</v>
      </c>
      <c r="B327" s="10">
        <v>45225</v>
      </c>
      <c r="C327" s="10">
        <v>45225</v>
      </c>
      <c r="D327" t="s">
        <v>16</v>
      </c>
      <c r="E327" t="s">
        <v>420</v>
      </c>
      <c r="F327" t="s">
        <v>73</v>
      </c>
      <c r="G327" t="s">
        <v>37</v>
      </c>
      <c r="H327" t="s">
        <v>20</v>
      </c>
      <c r="I327">
        <v>3</v>
      </c>
      <c r="J327">
        <v>1395</v>
      </c>
      <c r="K327">
        <v>0.1</v>
      </c>
      <c r="L327" t="s">
        <v>58</v>
      </c>
      <c r="M327" t="s">
        <v>39</v>
      </c>
      <c r="N327" t="s">
        <v>32</v>
      </c>
      <c r="O327">
        <v>4.5</v>
      </c>
      <c r="P327">
        <v>3766.5</v>
      </c>
      <c r="Q327">
        <v>500</v>
      </c>
      <c r="R327">
        <f>Table2_2[[#This Row],[cost]]*Table2_2[[#This Row],[Quantity]]</f>
        <v>1500</v>
      </c>
      <c r="S327">
        <f>Table2_2[[#This Row],[revenue]]-Table2_2[[#This Row],[total_cost]]</f>
        <v>2266.5</v>
      </c>
    </row>
    <row r="328" spans="1:19" x14ac:dyDescent="0.3">
      <c r="A328" t="s">
        <v>2063</v>
      </c>
      <c r="B328" s="10">
        <v>45516</v>
      </c>
      <c r="C328" s="10">
        <v>45516</v>
      </c>
      <c r="D328" t="s">
        <v>62</v>
      </c>
      <c r="E328" t="s">
        <v>1215</v>
      </c>
      <c r="F328" t="s">
        <v>18</v>
      </c>
      <c r="G328" t="s">
        <v>29</v>
      </c>
      <c r="H328" t="s">
        <v>77</v>
      </c>
      <c r="I328">
        <v>5</v>
      </c>
      <c r="J328">
        <v>3161</v>
      </c>
      <c r="K328">
        <v>0.1</v>
      </c>
      <c r="L328" t="s">
        <v>38</v>
      </c>
      <c r="M328" t="s">
        <v>39</v>
      </c>
      <c r="N328" t="s">
        <v>32</v>
      </c>
      <c r="O328">
        <v>3.8</v>
      </c>
      <c r="P328">
        <v>14224.5</v>
      </c>
      <c r="Q328">
        <v>700</v>
      </c>
      <c r="R328">
        <f>Table2_2[[#This Row],[cost]]*Table2_2[[#This Row],[Quantity]]</f>
        <v>3500</v>
      </c>
      <c r="S328">
        <f>Table2_2[[#This Row],[revenue]]-Table2_2[[#This Row],[total_cost]]</f>
        <v>10724.5</v>
      </c>
    </row>
    <row r="329" spans="1:19" x14ac:dyDescent="0.3">
      <c r="A329" t="s">
        <v>547</v>
      </c>
      <c r="B329" s="10">
        <v>45636</v>
      </c>
      <c r="C329" s="10">
        <v>45636</v>
      </c>
      <c r="D329" t="s">
        <v>84</v>
      </c>
      <c r="E329" t="s">
        <v>226</v>
      </c>
      <c r="F329" t="s">
        <v>64</v>
      </c>
      <c r="G329" t="s">
        <v>19</v>
      </c>
      <c r="H329" t="s">
        <v>77</v>
      </c>
      <c r="I329">
        <v>3</v>
      </c>
      <c r="J329">
        <v>7288</v>
      </c>
      <c r="K329">
        <v>0</v>
      </c>
      <c r="L329" t="s">
        <v>31</v>
      </c>
      <c r="M329" t="s">
        <v>22</v>
      </c>
      <c r="N329" t="s">
        <v>23</v>
      </c>
      <c r="O329">
        <v>4.5</v>
      </c>
      <c r="P329">
        <v>21864</v>
      </c>
      <c r="Q329">
        <v>700</v>
      </c>
      <c r="R329">
        <f>Table2_2[[#This Row],[cost]]*Table2_2[[#This Row],[Quantity]]</f>
        <v>2100</v>
      </c>
      <c r="S329">
        <f>Table2_2[[#This Row],[revenue]]-Table2_2[[#This Row],[total_cost]]</f>
        <v>19764</v>
      </c>
    </row>
    <row r="330" spans="1:19" x14ac:dyDescent="0.3">
      <c r="A330" t="s">
        <v>480</v>
      </c>
      <c r="B330" s="10">
        <v>45075</v>
      </c>
      <c r="C330" s="10">
        <v>45075</v>
      </c>
      <c r="D330" t="s">
        <v>16</v>
      </c>
      <c r="E330" t="s">
        <v>550</v>
      </c>
      <c r="F330" t="s">
        <v>43</v>
      </c>
      <c r="G330" t="s">
        <v>29</v>
      </c>
      <c r="H330" t="s">
        <v>30</v>
      </c>
      <c r="I330">
        <v>2</v>
      </c>
      <c r="J330">
        <v>2802</v>
      </c>
      <c r="K330">
        <v>0.05</v>
      </c>
      <c r="L330" t="s">
        <v>21</v>
      </c>
      <c r="M330" t="s">
        <v>22</v>
      </c>
      <c r="N330" t="s">
        <v>23</v>
      </c>
      <c r="O330">
        <v>3</v>
      </c>
      <c r="P330">
        <v>5323.8</v>
      </c>
      <c r="Q330">
        <v>700</v>
      </c>
      <c r="R330">
        <f>Table2_2[[#This Row],[cost]]*Table2_2[[#This Row],[Quantity]]</f>
        <v>1400</v>
      </c>
      <c r="S330">
        <f>Table2_2[[#This Row],[revenue]]-Table2_2[[#This Row],[total_cost]]</f>
        <v>3923.8</v>
      </c>
    </row>
    <row r="331" spans="1:19" x14ac:dyDescent="0.3">
      <c r="A331" t="s">
        <v>2070</v>
      </c>
      <c r="B331" s="10">
        <v>45507</v>
      </c>
      <c r="C331" s="10">
        <v>45507</v>
      </c>
      <c r="D331" t="s">
        <v>91</v>
      </c>
      <c r="E331" t="s">
        <v>56</v>
      </c>
      <c r="F331" t="s">
        <v>73</v>
      </c>
      <c r="G331" t="s">
        <v>37</v>
      </c>
      <c r="H331" t="s">
        <v>77</v>
      </c>
      <c r="I331">
        <v>3</v>
      </c>
      <c r="J331">
        <v>8035</v>
      </c>
      <c r="K331">
        <v>0.1</v>
      </c>
      <c r="L331" t="s">
        <v>21</v>
      </c>
      <c r="M331" t="s">
        <v>22</v>
      </c>
      <c r="N331" t="s">
        <v>32</v>
      </c>
      <c r="O331">
        <v>4.9000000000000004</v>
      </c>
      <c r="P331">
        <v>21694.5</v>
      </c>
      <c r="Q331">
        <v>700</v>
      </c>
      <c r="R331">
        <f>Table2_2[[#This Row],[cost]]*Table2_2[[#This Row],[Quantity]]</f>
        <v>2100</v>
      </c>
      <c r="S331">
        <f>Table2_2[[#This Row],[revenue]]-Table2_2[[#This Row],[total_cost]]</f>
        <v>19594.5</v>
      </c>
    </row>
    <row r="332" spans="1:19" x14ac:dyDescent="0.3">
      <c r="A332" t="s">
        <v>932</v>
      </c>
      <c r="B332" s="10">
        <v>45018</v>
      </c>
      <c r="C332" s="10">
        <v>45018</v>
      </c>
      <c r="D332" t="s">
        <v>62</v>
      </c>
      <c r="E332" t="s">
        <v>1651</v>
      </c>
      <c r="F332" t="s">
        <v>98</v>
      </c>
      <c r="G332" t="s">
        <v>37</v>
      </c>
      <c r="H332" t="s">
        <v>99</v>
      </c>
      <c r="I332">
        <v>2</v>
      </c>
      <c r="J332">
        <v>7460</v>
      </c>
      <c r="K332">
        <v>0.1</v>
      </c>
      <c r="L332" t="s">
        <v>21</v>
      </c>
      <c r="M332" t="s">
        <v>39</v>
      </c>
      <c r="N332" t="s">
        <v>23</v>
      </c>
      <c r="O332">
        <v>3</v>
      </c>
      <c r="P332">
        <v>13428</v>
      </c>
      <c r="Q332">
        <v>500</v>
      </c>
      <c r="R332">
        <f>Table2_2[[#This Row],[cost]]*Table2_2[[#This Row],[Quantity]]</f>
        <v>1000</v>
      </c>
      <c r="S332">
        <f>Table2_2[[#This Row],[revenue]]-Table2_2[[#This Row],[total_cost]]</f>
        <v>12428</v>
      </c>
    </row>
    <row r="333" spans="1:19" x14ac:dyDescent="0.3">
      <c r="A333" t="s">
        <v>2081</v>
      </c>
      <c r="B333" s="10">
        <v>45282</v>
      </c>
      <c r="C333" s="10">
        <v>45282</v>
      </c>
      <c r="D333" t="s">
        <v>127</v>
      </c>
      <c r="E333" t="s">
        <v>620</v>
      </c>
      <c r="F333" t="s">
        <v>98</v>
      </c>
      <c r="G333" t="s">
        <v>19</v>
      </c>
      <c r="H333" t="s">
        <v>20</v>
      </c>
      <c r="I333">
        <v>4</v>
      </c>
      <c r="J333">
        <v>7449</v>
      </c>
      <c r="K333">
        <v>0.2</v>
      </c>
      <c r="L333" t="s">
        <v>21</v>
      </c>
      <c r="M333" t="s">
        <v>22</v>
      </c>
      <c r="N333" t="s">
        <v>32</v>
      </c>
      <c r="O333">
        <v>4.2</v>
      </c>
      <c r="P333">
        <v>23836.800000000003</v>
      </c>
      <c r="Q333">
        <v>900</v>
      </c>
      <c r="R333">
        <f>Table2_2[[#This Row],[cost]]*Table2_2[[#This Row],[Quantity]]</f>
        <v>3600</v>
      </c>
      <c r="S333">
        <f>Table2_2[[#This Row],[revenue]]-Table2_2[[#This Row],[total_cost]]</f>
        <v>20236.800000000003</v>
      </c>
    </row>
    <row r="334" spans="1:19" x14ac:dyDescent="0.3">
      <c r="A334" t="s">
        <v>179</v>
      </c>
      <c r="B334" s="10">
        <v>45646</v>
      </c>
      <c r="C334" s="10">
        <v>45646</v>
      </c>
      <c r="D334" t="s">
        <v>26</v>
      </c>
      <c r="E334" t="s">
        <v>1493</v>
      </c>
      <c r="F334" t="s">
        <v>64</v>
      </c>
      <c r="G334" t="s">
        <v>37</v>
      </c>
      <c r="H334" t="s">
        <v>99</v>
      </c>
      <c r="I334">
        <v>5</v>
      </c>
      <c r="J334">
        <v>9742</v>
      </c>
      <c r="K334">
        <v>0</v>
      </c>
      <c r="L334" t="s">
        <v>38</v>
      </c>
      <c r="M334" t="s">
        <v>22</v>
      </c>
      <c r="N334" t="s">
        <v>23</v>
      </c>
      <c r="O334">
        <v>3</v>
      </c>
      <c r="P334">
        <v>48710</v>
      </c>
      <c r="Q334">
        <v>700</v>
      </c>
      <c r="R334">
        <f>Table2_2[[#This Row],[cost]]*Table2_2[[#This Row],[Quantity]]</f>
        <v>3500</v>
      </c>
      <c r="S334">
        <f>Table2_2[[#This Row],[revenue]]-Table2_2[[#This Row],[total_cost]]</f>
        <v>45210</v>
      </c>
    </row>
    <row r="335" spans="1:19" x14ac:dyDescent="0.3">
      <c r="A335" t="s">
        <v>2090</v>
      </c>
      <c r="B335" s="10">
        <v>45331</v>
      </c>
      <c r="C335" s="10">
        <v>45331</v>
      </c>
      <c r="D335" t="s">
        <v>35</v>
      </c>
      <c r="E335" t="s">
        <v>1215</v>
      </c>
      <c r="F335" t="s">
        <v>57</v>
      </c>
      <c r="G335" t="s">
        <v>53</v>
      </c>
      <c r="H335" t="s">
        <v>30</v>
      </c>
      <c r="I335">
        <v>1</v>
      </c>
      <c r="J335">
        <v>4171</v>
      </c>
      <c r="K335">
        <v>0</v>
      </c>
      <c r="L335" t="s">
        <v>21</v>
      </c>
      <c r="M335" t="s">
        <v>22</v>
      </c>
      <c r="N335" t="s">
        <v>32</v>
      </c>
      <c r="O335">
        <v>5</v>
      </c>
      <c r="P335">
        <v>4171</v>
      </c>
      <c r="Q335">
        <v>700</v>
      </c>
      <c r="R335">
        <f>Table2_2[[#This Row],[cost]]*Table2_2[[#This Row],[Quantity]]</f>
        <v>700</v>
      </c>
      <c r="S335">
        <f>Table2_2[[#This Row],[revenue]]-Table2_2[[#This Row],[total_cost]]</f>
        <v>3471</v>
      </c>
    </row>
    <row r="336" spans="1:19" x14ac:dyDescent="0.3">
      <c r="A336" t="s">
        <v>2096</v>
      </c>
      <c r="B336" s="10">
        <v>45165</v>
      </c>
      <c r="C336" s="10">
        <v>45165</v>
      </c>
      <c r="D336" t="s">
        <v>46</v>
      </c>
      <c r="E336" t="s">
        <v>17</v>
      </c>
      <c r="F336" t="s">
        <v>73</v>
      </c>
      <c r="G336" t="s">
        <v>29</v>
      </c>
      <c r="H336" t="s">
        <v>30</v>
      </c>
      <c r="I336">
        <v>5</v>
      </c>
      <c r="J336">
        <v>6753</v>
      </c>
      <c r="K336">
        <v>0.2</v>
      </c>
      <c r="L336" t="s">
        <v>21</v>
      </c>
      <c r="M336" t="s">
        <v>39</v>
      </c>
      <c r="N336" t="s">
        <v>59</v>
      </c>
      <c r="O336">
        <v>3.4</v>
      </c>
      <c r="P336">
        <v>27012</v>
      </c>
      <c r="Q336">
        <v>700</v>
      </c>
      <c r="R336">
        <f>Table2_2[[#This Row],[cost]]*Table2_2[[#This Row],[Quantity]]</f>
        <v>3500</v>
      </c>
      <c r="S336">
        <f>Table2_2[[#This Row],[revenue]]-Table2_2[[#This Row],[total_cost]]</f>
        <v>23512</v>
      </c>
    </row>
    <row r="337" spans="1:19" x14ac:dyDescent="0.3">
      <c r="A337" t="s">
        <v>641</v>
      </c>
      <c r="B337" s="10">
        <v>45309</v>
      </c>
      <c r="C337" s="10">
        <v>45309</v>
      </c>
      <c r="D337" t="s">
        <v>131</v>
      </c>
      <c r="E337" t="s">
        <v>76</v>
      </c>
      <c r="F337" t="s">
        <v>18</v>
      </c>
      <c r="G337" t="s">
        <v>53</v>
      </c>
      <c r="H337" t="s">
        <v>20</v>
      </c>
      <c r="I337">
        <v>4</v>
      </c>
      <c r="J337">
        <v>4632</v>
      </c>
      <c r="K337">
        <v>0</v>
      </c>
      <c r="L337" t="s">
        <v>58</v>
      </c>
      <c r="M337" t="s">
        <v>22</v>
      </c>
      <c r="N337" t="s">
        <v>59</v>
      </c>
      <c r="O337">
        <v>3</v>
      </c>
      <c r="P337">
        <v>18528</v>
      </c>
      <c r="Q337">
        <v>1500</v>
      </c>
      <c r="R337">
        <f>Table2_2[[#This Row],[cost]]*Table2_2[[#This Row],[Quantity]]</f>
        <v>6000</v>
      </c>
      <c r="S337">
        <f>Table2_2[[#This Row],[revenue]]-Table2_2[[#This Row],[total_cost]]</f>
        <v>12528</v>
      </c>
    </row>
    <row r="338" spans="1:19" x14ac:dyDescent="0.3">
      <c r="A338" t="s">
        <v>1640</v>
      </c>
      <c r="B338" s="10">
        <v>45393</v>
      </c>
      <c r="C338" s="10">
        <v>45393</v>
      </c>
      <c r="D338" t="s">
        <v>96</v>
      </c>
      <c r="E338" t="s">
        <v>400</v>
      </c>
      <c r="F338" t="s">
        <v>18</v>
      </c>
      <c r="G338" t="s">
        <v>53</v>
      </c>
      <c r="H338" t="s">
        <v>20</v>
      </c>
      <c r="I338">
        <v>1</v>
      </c>
      <c r="J338">
        <v>7552</v>
      </c>
      <c r="K338">
        <v>0.05</v>
      </c>
      <c r="L338" t="s">
        <v>31</v>
      </c>
      <c r="M338" t="s">
        <v>39</v>
      </c>
      <c r="N338" t="s">
        <v>59</v>
      </c>
      <c r="O338">
        <v>3.3</v>
      </c>
      <c r="P338">
        <v>7174.4</v>
      </c>
      <c r="Q338">
        <v>700</v>
      </c>
      <c r="R338">
        <f>Table2_2[[#This Row],[cost]]*Table2_2[[#This Row],[Quantity]]</f>
        <v>700</v>
      </c>
      <c r="S338">
        <f>Table2_2[[#This Row],[revenue]]-Table2_2[[#This Row],[total_cost]]</f>
        <v>6474.4</v>
      </c>
    </row>
    <row r="339" spans="1:19" x14ac:dyDescent="0.3">
      <c r="A339" t="s">
        <v>2116</v>
      </c>
      <c r="B339" s="10">
        <v>44943</v>
      </c>
      <c r="C339" s="10">
        <v>44943</v>
      </c>
      <c r="D339" t="s">
        <v>46</v>
      </c>
      <c r="E339" t="s">
        <v>1882</v>
      </c>
      <c r="F339" t="s">
        <v>98</v>
      </c>
      <c r="G339" t="s">
        <v>29</v>
      </c>
      <c r="H339" t="s">
        <v>99</v>
      </c>
      <c r="I339">
        <v>2</v>
      </c>
      <c r="J339">
        <v>5196</v>
      </c>
      <c r="K339">
        <v>0.1</v>
      </c>
      <c r="L339" t="s">
        <v>31</v>
      </c>
      <c r="M339" t="s">
        <v>39</v>
      </c>
      <c r="N339" t="s">
        <v>48</v>
      </c>
      <c r="O339">
        <v>4.4000000000000004</v>
      </c>
      <c r="P339">
        <v>9352.8000000000011</v>
      </c>
      <c r="Q339">
        <v>1500</v>
      </c>
      <c r="R339">
        <f>Table2_2[[#This Row],[cost]]*Table2_2[[#This Row],[Quantity]]</f>
        <v>3000</v>
      </c>
      <c r="S339">
        <f>Table2_2[[#This Row],[revenue]]-Table2_2[[#This Row],[total_cost]]</f>
        <v>6352.8000000000011</v>
      </c>
    </row>
    <row r="340" spans="1:19" x14ac:dyDescent="0.3">
      <c r="A340" t="s">
        <v>2123</v>
      </c>
      <c r="B340" s="10">
        <v>45236</v>
      </c>
      <c r="C340" s="10">
        <v>45236</v>
      </c>
      <c r="D340" t="s">
        <v>114</v>
      </c>
      <c r="E340" t="s">
        <v>384</v>
      </c>
      <c r="F340" t="s">
        <v>18</v>
      </c>
      <c r="G340" t="s">
        <v>37</v>
      </c>
      <c r="H340" t="s">
        <v>30</v>
      </c>
      <c r="I340">
        <v>2</v>
      </c>
      <c r="J340">
        <v>3972</v>
      </c>
      <c r="K340">
        <v>0.1</v>
      </c>
      <c r="L340" t="s">
        <v>31</v>
      </c>
      <c r="M340" t="s">
        <v>22</v>
      </c>
      <c r="N340" t="s">
        <v>59</v>
      </c>
      <c r="O340">
        <v>4</v>
      </c>
      <c r="P340">
        <v>7149.6</v>
      </c>
      <c r="Q340">
        <v>1500</v>
      </c>
      <c r="R340">
        <f>Table2_2[[#This Row],[cost]]*Table2_2[[#This Row],[Quantity]]</f>
        <v>3000</v>
      </c>
      <c r="S340">
        <f>Table2_2[[#This Row],[revenue]]-Table2_2[[#This Row],[total_cost]]</f>
        <v>4149.6000000000004</v>
      </c>
    </row>
    <row r="341" spans="1:19" x14ac:dyDescent="0.3">
      <c r="A341" t="s">
        <v>1837</v>
      </c>
      <c r="B341" s="10">
        <v>45412</v>
      </c>
      <c r="C341" s="10">
        <v>45412</v>
      </c>
      <c r="D341" t="s">
        <v>84</v>
      </c>
      <c r="E341" t="s">
        <v>281</v>
      </c>
      <c r="F341" t="s">
        <v>98</v>
      </c>
      <c r="G341" t="s">
        <v>19</v>
      </c>
      <c r="H341" t="s">
        <v>99</v>
      </c>
      <c r="I341">
        <v>1</v>
      </c>
      <c r="J341">
        <v>8589</v>
      </c>
      <c r="K341">
        <v>0.05</v>
      </c>
      <c r="L341" t="s">
        <v>38</v>
      </c>
      <c r="M341" t="s">
        <v>39</v>
      </c>
      <c r="N341" t="s">
        <v>48</v>
      </c>
      <c r="O341">
        <v>3.2</v>
      </c>
      <c r="P341">
        <v>8159.5499999999993</v>
      </c>
      <c r="Q341">
        <v>1200</v>
      </c>
      <c r="R341">
        <f>Table2_2[[#This Row],[cost]]*Table2_2[[#This Row],[Quantity]]</f>
        <v>1200</v>
      </c>
      <c r="S341">
        <f>Table2_2[[#This Row],[revenue]]-Table2_2[[#This Row],[total_cost]]</f>
        <v>6959.5499999999993</v>
      </c>
    </row>
    <row r="342" spans="1:19" x14ac:dyDescent="0.3">
      <c r="A342" t="s">
        <v>1302</v>
      </c>
      <c r="B342" s="10">
        <v>45181</v>
      </c>
      <c r="C342" s="10">
        <v>45181</v>
      </c>
      <c r="D342" t="s">
        <v>84</v>
      </c>
      <c r="E342" t="s">
        <v>550</v>
      </c>
      <c r="F342" t="s">
        <v>98</v>
      </c>
      <c r="G342" t="s">
        <v>53</v>
      </c>
      <c r="H342" t="s">
        <v>99</v>
      </c>
      <c r="I342">
        <v>5</v>
      </c>
      <c r="J342">
        <v>5761</v>
      </c>
      <c r="K342">
        <v>0.15</v>
      </c>
      <c r="L342" t="s">
        <v>38</v>
      </c>
      <c r="M342" t="s">
        <v>22</v>
      </c>
      <c r="N342" t="s">
        <v>23</v>
      </c>
      <c r="O342">
        <v>3.9</v>
      </c>
      <c r="P342">
        <v>24484.25</v>
      </c>
      <c r="Q342">
        <v>700</v>
      </c>
      <c r="R342">
        <f>Table2_2[[#This Row],[cost]]*Table2_2[[#This Row],[Quantity]]</f>
        <v>3500</v>
      </c>
      <c r="S342">
        <f>Table2_2[[#This Row],[revenue]]-Table2_2[[#This Row],[total_cost]]</f>
        <v>20984.25</v>
      </c>
    </row>
    <row r="343" spans="1:19" x14ac:dyDescent="0.3">
      <c r="A343" t="s">
        <v>2127</v>
      </c>
      <c r="B343" s="10">
        <v>45266</v>
      </c>
      <c r="C343" s="10">
        <v>45266</v>
      </c>
      <c r="D343" t="s">
        <v>67</v>
      </c>
      <c r="E343" t="s">
        <v>237</v>
      </c>
      <c r="F343" t="s">
        <v>64</v>
      </c>
      <c r="G343" t="s">
        <v>53</v>
      </c>
      <c r="H343" t="s">
        <v>77</v>
      </c>
      <c r="I343">
        <v>2</v>
      </c>
      <c r="J343">
        <v>6019</v>
      </c>
      <c r="K343">
        <v>0.15</v>
      </c>
      <c r="L343" t="s">
        <v>38</v>
      </c>
      <c r="M343" t="s">
        <v>22</v>
      </c>
      <c r="N343" t="s">
        <v>23</v>
      </c>
      <c r="O343">
        <v>3.9</v>
      </c>
      <c r="P343">
        <v>10232.299999999999</v>
      </c>
      <c r="Q343">
        <v>900</v>
      </c>
      <c r="R343">
        <f>Table2_2[[#This Row],[cost]]*Table2_2[[#This Row],[Quantity]]</f>
        <v>1800</v>
      </c>
      <c r="S343">
        <f>Table2_2[[#This Row],[revenue]]-Table2_2[[#This Row],[total_cost]]</f>
        <v>8432.2999999999993</v>
      </c>
    </row>
    <row r="344" spans="1:19" x14ac:dyDescent="0.3">
      <c r="A344" t="s">
        <v>1433</v>
      </c>
      <c r="B344" s="10">
        <v>45017</v>
      </c>
      <c r="C344" s="10">
        <v>45017</v>
      </c>
      <c r="D344" t="s">
        <v>114</v>
      </c>
      <c r="E344" t="s">
        <v>643</v>
      </c>
      <c r="F344" t="s">
        <v>18</v>
      </c>
      <c r="G344" t="s">
        <v>19</v>
      </c>
      <c r="H344" t="s">
        <v>99</v>
      </c>
      <c r="I344">
        <v>5</v>
      </c>
      <c r="J344">
        <v>1739</v>
      </c>
      <c r="K344">
        <v>0</v>
      </c>
      <c r="L344" t="s">
        <v>38</v>
      </c>
      <c r="M344" t="s">
        <v>22</v>
      </c>
      <c r="N344" t="s">
        <v>59</v>
      </c>
      <c r="O344">
        <v>4.4000000000000004</v>
      </c>
      <c r="P344">
        <v>8695</v>
      </c>
      <c r="Q344">
        <v>1200</v>
      </c>
      <c r="R344">
        <f>Table2_2[[#This Row],[cost]]*Table2_2[[#This Row],[Quantity]]</f>
        <v>6000</v>
      </c>
      <c r="S344">
        <f>Table2_2[[#This Row],[revenue]]-Table2_2[[#This Row],[total_cost]]</f>
        <v>2695</v>
      </c>
    </row>
    <row r="345" spans="1:19" x14ac:dyDescent="0.3">
      <c r="A345" t="s">
        <v>2132</v>
      </c>
      <c r="B345" s="10">
        <v>45080</v>
      </c>
      <c r="C345" s="10">
        <v>45080</v>
      </c>
      <c r="D345" t="s">
        <v>16</v>
      </c>
      <c r="E345" t="s">
        <v>903</v>
      </c>
      <c r="F345" t="s">
        <v>98</v>
      </c>
      <c r="G345" t="s">
        <v>37</v>
      </c>
      <c r="H345" t="s">
        <v>30</v>
      </c>
      <c r="I345">
        <v>1</v>
      </c>
      <c r="J345">
        <v>5477</v>
      </c>
      <c r="K345">
        <v>0</v>
      </c>
      <c r="L345" t="s">
        <v>58</v>
      </c>
      <c r="M345" t="s">
        <v>39</v>
      </c>
      <c r="N345" t="s">
        <v>32</v>
      </c>
      <c r="O345">
        <v>3.4</v>
      </c>
      <c r="P345">
        <v>5477</v>
      </c>
      <c r="Q345">
        <v>1500</v>
      </c>
      <c r="R345">
        <f>Table2_2[[#This Row],[cost]]*Table2_2[[#This Row],[Quantity]]</f>
        <v>1500</v>
      </c>
      <c r="S345">
        <f>Table2_2[[#This Row],[revenue]]-Table2_2[[#This Row],[total_cost]]</f>
        <v>3977</v>
      </c>
    </row>
    <row r="346" spans="1:19" x14ac:dyDescent="0.3">
      <c r="A346" t="s">
        <v>1158</v>
      </c>
      <c r="B346" s="10">
        <v>45346</v>
      </c>
      <c r="C346" s="10">
        <v>45346</v>
      </c>
      <c r="D346" t="s">
        <v>114</v>
      </c>
      <c r="E346" t="s">
        <v>403</v>
      </c>
      <c r="F346" t="s">
        <v>98</v>
      </c>
      <c r="G346" t="s">
        <v>53</v>
      </c>
      <c r="H346" t="s">
        <v>30</v>
      </c>
      <c r="I346">
        <v>5</v>
      </c>
      <c r="J346">
        <v>5296</v>
      </c>
      <c r="K346">
        <v>0</v>
      </c>
      <c r="L346" t="s">
        <v>31</v>
      </c>
      <c r="M346" t="s">
        <v>22</v>
      </c>
      <c r="N346" t="s">
        <v>32</v>
      </c>
      <c r="O346">
        <v>3.2</v>
      </c>
      <c r="P346">
        <v>26480</v>
      </c>
      <c r="Q346">
        <v>1200</v>
      </c>
      <c r="R346">
        <f>Table2_2[[#This Row],[cost]]*Table2_2[[#This Row],[Quantity]]</f>
        <v>6000</v>
      </c>
      <c r="S346">
        <f>Table2_2[[#This Row],[revenue]]-Table2_2[[#This Row],[total_cost]]</f>
        <v>20480</v>
      </c>
    </row>
    <row r="347" spans="1:19" x14ac:dyDescent="0.3">
      <c r="A347" t="s">
        <v>2135</v>
      </c>
      <c r="B347" s="10">
        <v>44988</v>
      </c>
      <c r="C347" s="10">
        <v>44988</v>
      </c>
      <c r="D347" t="s">
        <v>96</v>
      </c>
      <c r="E347" t="s">
        <v>118</v>
      </c>
      <c r="F347" t="s">
        <v>98</v>
      </c>
      <c r="G347" t="s">
        <v>29</v>
      </c>
      <c r="H347" t="s">
        <v>20</v>
      </c>
      <c r="I347">
        <v>3</v>
      </c>
      <c r="J347">
        <v>9701</v>
      </c>
      <c r="K347">
        <v>0.2</v>
      </c>
      <c r="L347" t="s">
        <v>21</v>
      </c>
      <c r="M347" t="s">
        <v>22</v>
      </c>
      <c r="N347" t="s">
        <v>32</v>
      </c>
      <c r="O347">
        <v>4.5999999999999996</v>
      </c>
      <c r="P347">
        <v>23282.400000000001</v>
      </c>
      <c r="Q347">
        <v>700</v>
      </c>
      <c r="R347">
        <f>Table2_2[[#This Row],[cost]]*Table2_2[[#This Row],[Quantity]]</f>
        <v>2100</v>
      </c>
      <c r="S347">
        <f>Table2_2[[#This Row],[revenue]]-Table2_2[[#This Row],[total_cost]]</f>
        <v>21182.400000000001</v>
      </c>
    </row>
    <row r="348" spans="1:19" x14ac:dyDescent="0.3">
      <c r="A348" t="s">
        <v>2137</v>
      </c>
      <c r="B348" s="10">
        <v>45629</v>
      </c>
      <c r="C348" s="10">
        <v>45629</v>
      </c>
      <c r="D348" t="s">
        <v>131</v>
      </c>
      <c r="E348" t="s">
        <v>368</v>
      </c>
      <c r="F348" t="s">
        <v>18</v>
      </c>
      <c r="G348" t="s">
        <v>29</v>
      </c>
      <c r="H348" t="s">
        <v>99</v>
      </c>
      <c r="I348">
        <v>3</v>
      </c>
      <c r="J348">
        <v>3963</v>
      </c>
      <c r="K348">
        <v>0</v>
      </c>
      <c r="L348" t="s">
        <v>21</v>
      </c>
      <c r="M348" t="s">
        <v>39</v>
      </c>
      <c r="N348" t="s">
        <v>59</v>
      </c>
      <c r="O348">
        <v>4</v>
      </c>
      <c r="P348">
        <v>11889</v>
      </c>
      <c r="Q348">
        <v>1500</v>
      </c>
      <c r="R348">
        <f>Table2_2[[#This Row],[cost]]*Table2_2[[#This Row],[Quantity]]</f>
        <v>4500</v>
      </c>
      <c r="S348">
        <f>Table2_2[[#This Row],[revenue]]-Table2_2[[#This Row],[total_cost]]</f>
        <v>7389</v>
      </c>
    </row>
    <row r="349" spans="1:19" x14ac:dyDescent="0.3">
      <c r="A349" t="s">
        <v>2140</v>
      </c>
      <c r="B349" s="10">
        <v>45417</v>
      </c>
      <c r="C349" s="10">
        <v>45417</v>
      </c>
      <c r="D349" t="s">
        <v>91</v>
      </c>
      <c r="E349" t="s">
        <v>936</v>
      </c>
      <c r="F349" t="s">
        <v>57</v>
      </c>
      <c r="G349" t="s">
        <v>19</v>
      </c>
      <c r="H349" t="s">
        <v>30</v>
      </c>
      <c r="I349">
        <v>4</v>
      </c>
      <c r="J349">
        <v>7323</v>
      </c>
      <c r="K349">
        <v>0.05</v>
      </c>
      <c r="L349" t="s">
        <v>38</v>
      </c>
      <c r="M349" t="s">
        <v>22</v>
      </c>
      <c r="N349" t="s">
        <v>32</v>
      </c>
      <c r="O349">
        <v>3.5</v>
      </c>
      <c r="P349">
        <v>27827.399999999998</v>
      </c>
      <c r="Q349">
        <v>1200</v>
      </c>
      <c r="R349">
        <f>Table2_2[[#This Row],[cost]]*Table2_2[[#This Row],[Quantity]]</f>
        <v>4800</v>
      </c>
      <c r="S349">
        <f>Table2_2[[#This Row],[revenue]]-Table2_2[[#This Row],[total_cost]]</f>
        <v>23027.399999999998</v>
      </c>
    </row>
    <row r="350" spans="1:19" x14ac:dyDescent="0.3">
      <c r="A350" t="s">
        <v>100</v>
      </c>
      <c r="B350" s="10">
        <v>45413</v>
      </c>
      <c r="C350" s="10">
        <v>45413</v>
      </c>
      <c r="D350" t="s">
        <v>80</v>
      </c>
      <c r="E350" t="s">
        <v>175</v>
      </c>
      <c r="F350" t="s">
        <v>43</v>
      </c>
      <c r="G350" t="s">
        <v>29</v>
      </c>
      <c r="H350" t="s">
        <v>99</v>
      </c>
      <c r="I350">
        <v>1</v>
      </c>
      <c r="J350">
        <v>2636</v>
      </c>
      <c r="K350">
        <v>0.1</v>
      </c>
      <c r="L350" t="s">
        <v>21</v>
      </c>
      <c r="M350" t="s">
        <v>22</v>
      </c>
      <c r="N350" t="s">
        <v>59</v>
      </c>
      <c r="O350">
        <v>3.2</v>
      </c>
      <c r="P350">
        <v>2372.4</v>
      </c>
      <c r="Q350">
        <v>1500</v>
      </c>
      <c r="R350">
        <f>Table2_2[[#This Row],[cost]]*Table2_2[[#This Row],[Quantity]]</f>
        <v>1500</v>
      </c>
      <c r="S350">
        <f>Table2_2[[#This Row],[revenue]]-Table2_2[[#This Row],[total_cost]]</f>
        <v>872.40000000000009</v>
      </c>
    </row>
    <row r="351" spans="1:19" x14ac:dyDescent="0.3">
      <c r="A351" t="s">
        <v>2165</v>
      </c>
      <c r="B351" s="10">
        <v>45257</v>
      </c>
      <c r="C351" s="10">
        <v>45257</v>
      </c>
      <c r="D351" t="s">
        <v>16</v>
      </c>
      <c r="E351" t="s">
        <v>816</v>
      </c>
      <c r="F351" t="s">
        <v>18</v>
      </c>
      <c r="G351" t="s">
        <v>37</v>
      </c>
      <c r="H351" t="s">
        <v>20</v>
      </c>
      <c r="I351">
        <v>4</v>
      </c>
      <c r="J351">
        <v>8899</v>
      </c>
      <c r="K351">
        <v>0.15</v>
      </c>
      <c r="L351" t="s">
        <v>58</v>
      </c>
      <c r="M351" t="s">
        <v>22</v>
      </c>
      <c r="N351" t="s">
        <v>59</v>
      </c>
      <c r="O351">
        <v>3.3</v>
      </c>
      <c r="P351">
        <v>30256.6</v>
      </c>
      <c r="Q351">
        <v>1200</v>
      </c>
      <c r="R351">
        <f>Table2_2[[#This Row],[cost]]*Table2_2[[#This Row],[Quantity]]</f>
        <v>4800</v>
      </c>
      <c r="S351">
        <f>Table2_2[[#This Row],[revenue]]-Table2_2[[#This Row],[total_cost]]</f>
        <v>25456.6</v>
      </c>
    </row>
    <row r="352" spans="1:19" x14ac:dyDescent="0.3">
      <c r="A352" t="s">
        <v>1638</v>
      </c>
      <c r="B352" s="10">
        <v>45241</v>
      </c>
      <c r="C352" s="10">
        <v>45241</v>
      </c>
      <c r="D352" t="s">
        <v>71</v>
      </c>
      <c r="E352" t="s">
        <v>384</v>
      </c>
      <c r="F352" t="s">
        <v>64</v>
      </c>
      <c r="G352" t="s">
        <v>53</v>
      </c>
      <c r="H352" t="s">
        <v>77</v>
      </c>
      <c r="I352">
        <v>1</v>
      </c>
      <c r="J352">
        <v>5130</v>
      </c>
      <c r="K352">
        <v>0.2</v>
      </c>
      <c r="L352" t="s">
        <v>21</v>
      </c>
      <c r="M352" t="s">
        <v>39</v>
      </c>
      <c r="N352" t="s">
        <v>59</v>
      </c>
      <c r="O352">
        <v>4.5</v>
      </c>
      <c r="P352">
        <v>4104</v>
      </c>
      <c r="Q352">
        <v>1500</v>
      </c>
      <c r="R352">
        <f>Table2_2[[#This Row],[cost]]*Table2_2[[#This Row],[Quantity]]</f>
        <v>1500</v>
      </c>
      <c r="S352">
        <f>Table2_2[[#This Row],[revenue]]-Table2_2[[#This Row],[total_cost]]</f>
        <v>2604</v>
      </c>
    </row>
    <row r="353" spans="1:19" x14ac:dyDescent="0.3">
      <c r="A353" t="s">
        <v>2168</v>
      </c>
      <c r="B353" s="10">
        <v>45138</v>
      </c>
      <c r="C353" s="10">
        <v>45138</v>
      </c>
      <c r="D353" t="s">
        <v>62</v>
      </c>
      <c r="E353" t="s">
        <v>445</v>
      </c>
      <c r="F353" t="s">
        <v>28</v>
      </c>
      <c r="G353" t="s">
        <v>53</v>
      </c>
      <c r="H353" t="s">
        <v>30</v>
      </c>
      <c r="I353">
        <v>1</v>
      </c>
      <c r="J353">
        <v>4866</v>
      </c>
      <c r="K353">
        <v>0.05</v>
      </c>
      <c r="L353" t="s">
        <v>38</v>
      </c>
      <c r="M353" t="s">
        <v>39</v>
      </c>
      <c r="N353" t="s">
        <v>59</v>
      </c>
      <c r="O353">
        <v>3</v>
      </c>
      <c r="P353">
        <v>4622.7</v>
      </c>
      <c r="Q353">
        <v>1500</v>
      </c>
      <c r="R353">
        <f>Table2_2[[#This Row],[cost]]*Table2_2[[#This Row],[Quantity]]</f>
        <v>1500</v>
      </c>
      <c r="S353">
        <f>Table2_2[[#This Row],[revenue]]-Table2_2[[#This Row],[total_cost]]</f>
        <v>3122.7</v>
      </c>
    </row>
    <row r="354" spans="1:19" x14ac:dyDescent="0.3">
      <c r="A354" t="s">
        <v>2169</v>
      </c>
      <c r="B354" s="10">
        <v>45122</v>
      </c>
      <c r="C354" s="10">
        <v>45122</v>
      </c>
      <c r="D354" t="s">
        <v>46</v>
      </c>
      <c r="E354" t="s">
        <v>854</v>
      </c>
      <c r="F354" t="s">
        <v>18</v>
      </c>
      <c r="G354" t="s">
        <v>29</v>
      </c>
      <c r="H354" t="s">
        <v>99</v>
      </c>
      <c r="I354">
        <v>4</v>
      </c>
      <c r="J354">
        <v>7530</v>
      </c>
      <c r="K354">
        <v>0.1</v>
      </c>
      <c r="L354" t="s">
        <v>58</v>
      </c>
      <c r="M354" t="s">
        <v>39</v>
      </c>
      <c r="N354" t="s">
        <v>23</v>
      </c>
      <c r="O354">
        <v>3.7</v>
      </c>
      <c r="P354">
        <v>27108</v>
      </c>
      <c r="Q354">
        <v>1200</v>
      </c>
      <c r="R354">
        <f>Table2_2[[#This Row],[cost]]*Table2_2[[#This Row],[Quantity]]</f>
        <v>4800</v>
      </c>
      <c r="S354">
        <f>Table2_2[[#This Row],[revenue]]-Table2_2[[#This Row],[total_cost]]</f>
        <v>22308</v>
      </c>
    </row>
    <row r="355" spans="1:19" x14ac:dyDescent="0.3">
      <c r="A355" t="s">
        <v>1689</v>
      </c>
      <c r="B355" s="10">
        <v>45547</v>
      </c>
      <c r="C355" s="10">
        <v>45547</v>
      </c>
      <c r="D355" t="s">
        <v>51</v>
      </c>
      <c r="E355" t="s">
        <v>319</v>
      </c>
      <c r="F355" t="s">
        <v>98</v>
      </c>
      <c r="G355" t="s">
        <v>53</v>
      </c>
      <c r="H355" t="s">
        <v>30</v>
      </c>
      <c r="I355">
        <v>5</v>
      </c>
      <c r="J355">
        <v>5361</v>
      </c>
      <c r="K355">
        <v>0.1</v>
      </c>
      <c r="L355" t="s">
        <v>31</v>
      </c>
      <c r="M355" t="s">
        <v>39</v>
      </c>
      <c r="N355" t="s">
        <v>23</v>
      </c>
      <c r="O355">
        <v>3.7</v>
      </c>
      <c r="P355">
        <v>24124.5</v>
      </c>
      <c r="Q355">
        <v>1200</v>
      </c>
      <c r="R355">
        <f>Table2_2[[#This Row],[cost]]*Table2_2[[#This Row],[Quantity]]</f>
        <v>6000</v>
      </c>
      <c r="S355">
        <f>Table2_2[[#This Row],[revenue]]-Table2_2[[#This Row],[total_cost]]</f>
        <v>18124.5</v>
      </c>
    </row>
    <row r="356" spans="1:19" x14ac:dyDescent="0.3">
      <c r="A356" t="s">
        <v>2177</v>
      </c>
      <c r="B356" s="10">
        <v>45324</v>
      </c>
      <c r="C356" s="10">
        <v>45324</v>
      </c>
      <c r="D356" t="s">
        <v>71</v>
      </c>
      <c r="E356" t="s">
        <v>635</v>
      </c>
      <c r="F356" t="s">
        <v>73</v>
      </c>
      <c r="G356" t="s">
        <v>29</v>
      </c>
      <c r="H356" t="s">
        <v>30</v>
      </c>
      <c r="I356">
        <v>5</v>
      </c>
      <c r="J356">
        <v>7827</v>
      </c>
      <c r="K356">
        <v>0.2</v>
      </c>
      <c r="L356" t="s">
        <v>31</v>
      </c>
      <c r="M356" t="s">
        <v>22</v>
      </c>
      <c r="N356" t="s">
        <v>48</v>
      </c>
      <c r="O356">
        <v>4.4000000000000004</v>
      </c>
      <c r="P356">
        <v>31308</v>
      </c>
      <c r="Q356">
        <v>900</v>
      </c>
      <c r="R356">
        <f>Table2_2[[#This Row],[cost]]*Table2_2[[#This Row],[Quantity]]</f>
        <v>4500</v>
      </c>
      <c r="S356">
        <f>Table2_2[[#This Row],[revenue]]-Table2_2[[#This Row],[total_cost]]</f>
        <v>26808</v>
      </c>
    </row>
    <row r="357" spans="1:19" x14ac:dyDescent="0.3">
      <c r="A357" t="s">
        <v>2191</v>
      </c>
      <c r="B357" s="10">
        <v>45572</v>
      </c>
      <c r="C357" s="10">
        <v>45572</v>
      </c>
      <c r="D357" t="s">
        <v>16</v>
      </c>
      <c r="E357" t="s">
        <v>1110</v>
      </c>
      <c r="F357" t="s">
        <v>43</v>
      </c>
      <c r="G357" t="s">
        <v>19</v>
      </c>
      <c r="H357" t="s">
        <v>30</v>
      </c>
      <c r="I357">
        <v>1</v>
      </c>
      <c r="J357">
        <v>3150</v>
      </c>
      <c r="K357">
        <v>0.1</v>
      </c>
      <c r="L357" t="s">
        <v>31</v>
      </c>
      <c r="M357" t="s">
        <v>22</v>
      </c>
      <c r="N357" t="s">
        <v>48</v>
      </c>
      <c r="O357">
        <v>3.3</v>
      </c>
      <c r="P357">
        <v>2835</v>
      </c>
      <c r="Q357">
        <v>900</v>
      </c>
      <c r="R357">
        <f>Table2_2[[#This Row],[cost]]*Table2_2[[#This Row],[Quantity]]</f>
        <v>900</v>
      </c>
      <c r="S357">
        <f>Table2_2[[#This Row],[revenue]]-Table2_2[[#This Row],[total_cost]]</f>
        <v>1935</v>
      </c>
    </row>
    <row r="358" spans="1:19" x14ac:dyDescent="0.3">
      <c r="A358" t="s">
        <v>2193</v>
      </c>
      <c r="B358" s="10">
        <v>44973</v>
      </c>
      <c r="C358" s="10">
        <v>44973</v>
      </c>
      <c r="D358" t="s">
        <v>46</v>
      </c>
      <c r="E358" t="s">
        <v>1316</v>
      </c>
      <c r="F358" t="s">
        <v>64</v>
      </c>
      <c r="G358" t="s">
        <v>37</v>
      </c>
      <c r="H358" t="s">
        <v>20</v>
      </c>
      <c r="I358">
        <v>5</v>
      </c>
      <c r="J358">
        <v>4522</v>
      </c>
      <c r="K358">
        <v>0.05</v>
      </c>
      <c r="L358" t="s">
        <v>21</v>
      </c>
      <c r="M358" t="s">
        <v>22</v>
      </c>
      <c r="N358" t="s">
        <v>59</v>
      </c>
      <c r="O358">
        <v>4.9000000000000004</v>
      </c>
      <c r="P358">
        <v>21479.5</v>
      </c>
      <c r="Q358">
        <v>1500</v>
      </c>
      <c r="R358">
        <f>Table2_2[[#This Row],[cost]]*Table2_2[[#This Row],[Quantity]]</f>
        <v>7500</v>
      </c>
      <c r="S358">
        <f>Table2_2[[#This Row],[revenue]]-Table2_2[[#This Row],[total_cost]]</f>
        <v>13979.5</v>
      </c>
    </row>
    <row r="359" spans="1:19" x14ac:dyDescent="0.3">
      <c r="A359" t="s">
        <v>1792</v>
      </c>
      <c r="B359" s="10">
        <v>45140</v>
      </c>
      <c r="C359" s="10">
        <v>45140</v>
      </c>
      <c r="D359" t="s">
        <v>131</v>
      </c>
      <c r="E359" t="s">
        <v>560</v>
      </c>
      <c r="F359" t="s">
        <v>98</v>
      </c>
      <c r="G359" t="s">
        <v>29</v>
      </c>
      <c r="H359" t="s">
        <v>77</v>
      </c>
      <c r="I359">
        <v>5</v>
      </c>
      <c r="J359">
        <v>7328</v>
      </c>
      <c r="K359">
        <v>0.2</v>
      </c>
      <c r="L359" t="s">
        <v>38</v>
      </c>
      <c r="M359" t="s">
        <v>22</v>
      </c>
      <c r="N359" t="s">
        <v>48</v>
      </c>
      <c r="O359">
        <v>4.7</v>
      </c>
      <c r="P359">
        <v>29312</v>
      </c>
      <c r="Q359">
        <v>500</v>
      </c>
      <c r="R359">
        <f>Table2_2[[#This Row],[cost]]*Table2_2[[#This Row],[Quantity]]</f>
        <v>2500</v>
      </c>
      <c r="S359">
        <f>Table2_2[[#This Row],[revenue]]-Table2_2[[#This Row],[total_cost]]</f>
        <v>26812</v>
      </c>
    </row>
    <row r="360" spans="1:19" x14ac:dyDescent="0.3">
      <c r="A360" t="s">
        <v>2203</v>
      </c>
      <c r="B360" s="10">
        <v>45120</v>
      </c>
      <c r="C360" s="10">
        <v>45120</v>
      </c>
      <c r="D360" t="s">
        <v>80</v>
      </c>
      <c r="E360" t="s">
        <v>880</v>
      </c>
      <c r="F360" t="s">
        <v>57</v>
      </c>
      <c r="G360" t="s">
        <v>53</v>
      </c>
      <c r="H360" t="s">
        <v>77</v>
      </c>
      <c r="I360">
        <v>3</v>
      </c>
      <c r="J360">
        <v>2218</v>
      </c>
      <c r="K360">
        <v>0</v>
      </c>
      <c r="L360" t="s">
        <v>38</v>
      </c>
      <c r="M360" t="s">
        <v>39</v>
      </c>
      <c r="N360" t="s">
        <v>59</v>
      </c>
      <c r="O360">
        <v>3.6</v>
      </c>
      <c r="P360">
        <v>6654</v>
      </c>
      <c r="Q360">
        <v>1200</v>
      </c>
      <c r="R360">
        <f>Table2_2[[#This Row],[cost]]*Table2_2[[#This Row],[Quantity]]</f>
        <v>3600</v>
      </c>
      <c r="S360">
        <f>Table2_2[[#This Row],[revenue]]-Table2_2[[#This Row],[total_cost]]</f>
        <v>3054</v>
      </c>
    </row>
    <row r="361" spans="1:19" x14ac:dyDescent="0.3">
      <c r="A361" t="s">
        <v>2211</v>
      </c>
      <c r="B361" s="10">
        <v>45482</v>
      </c>
      <c r="C361" s="10">
        <v>45482</v>
      </c>
      <c r="D361" t="s">
        <v>71</v>
      </c>
      <c r="E361" t="s">
        <v>56</v>
      </c>
      <c r="F361" t="s">
        <v>57</v>
      </c>
      <c r="G361" t="s">
        <v>53</v>
      </c>
      <c r="H361" t="s">
        <v>30</v>
      </c>
      <c r="I361">
        <v>1</v>
      </c>
      <c r="J361">
        <v>1245</v>
      </c>
      <c r="K361">
        <v>0.15</v>
      </c>
      <c r="L361" t="s">
        <v>38</v>
      </c>
      <c r="M361" t="s">
        <v>39</v>
      </c>
      <c r="N361" t="s">
        <v>32</v>
      </c>
      <c r="O361">
        <v>4.7</v>
      </c>
      <c r="P361">
        <v>1058.25</v>
      </c>
      <c r="Q361">
        <v>700</v>
      </c>
      <c r="R361">
        <f>Table2_2[[#This Row],[cost]]*Table2_2[[#This Row],[Quantity]]</f>
        <v>700</v>
      </c>
      <c r="S361">
        <f>Table2_2[[#This Row],[revenue]]-Table2_2[[#This Row],[total_cost]]</f>
        <v>358.25</v>
      </c>
    </row>
    <row r="362" spans="1:19" x14ac:dyDescent="0.3">
      <c r="A362" t="s">
        <v>2220</v>
      </c>
      <c r="B362" s="10">
        <v>45236</v>
      </c>
      <c r="C362" s="10">
        <v>45236</v>
      </c>
      <c r="D362" t="s">
        <v>114</v>
      </c>
      <c r="E362" t="s">
        <v>914</v>
      </c>
      <c r="F362" t="s">
        <v>64</v>
      </c>
      <c r="G362" t="s">
        <v>29</v>
      </c>
      <c r="H362" t="s">
        <v>99</v>
      </c>
      <c r="I362">
        <v>1</v>
      </c>
      <c r="J362">
        <v>4123</v>
      </c>
      <c r="K362">
        <v>0.2</v>
      </c>
      <c r="L362" t="s">
        <v>31</v>
      </c>
      <c r="M362" t="s">
        <v>39</v>
      </c>
      <c r="N362" t="s">
        <v>48</v>
      </c>
      <c r="O362">
        <v>3.7</v>
      </c>
      <c r="P362">
        <v>3298.4</v>
      </c>
      <c r="Q362">
        <v>700</v>
      </c>
      <c r="R362">
        <f>Table2_2[[#This Row],[cost]]*Table2_2[[#This Row],[Quantity]]</f>
        <v>700</v>
      </c>
      <c r="S362">
        <f>Table2_2[[#This Row],[revenue]]-Table2_2[[#This Row],[total_cost]]</f>
        <v>2598.4</v>
      </c>
    </row>
    <row r="363" spans="1:19" x14ac:dyDescent="0.3">
      <c r="A363" t="s">
        <v>2222</v>
      </c>
      <c r="B363" s="10">
        <v>45656</v>
      </c>
      <c r="C363" s="10">
        <v>45656</v>
      </c>
      <c r="D363" t="s">
        <v>46</v>
      </c>
      <c r="E363" t="s">
        <v>1151</v>
      </c>
      <c r="F363" t="s">
        <v>73</v>
      </c>
      <c r="G363" t="s">
        <v>37</v>
      </c>
      <c r="H363" t="s">
        <v>30</v>
      </c>
      <c r="I363">
        <v>4</v>
      </c>
      <c r="J363">
        <v>3436</v>
      </c>
      <c r="K363">
        <v>0.15</v>
      </c>
      <c r="L363" t="s">
        <v>38</v>
      </c>
      <c r="M363" t="s">
        <v>22</v>
      </c>
      <c r="N363" t="s">
        <v>48</v>
      </c>
      <c r="O363">
        <v>3.9</v>
      </c>
      <c r="P363">
        <v>11682.4</v>
      </c>
      <c r="Q363">
        <v>700</v>
      </c>
      <c r="R363">
        <f>Table2_2[[#This Row],[cost]]*Table2_2[[#This Row],[Quantity]]</f>
        <v>2800</v>
      </c>
      <c r="S363">
        <f>Table2_2[[#This Row],[revenue]]-Table2_2[[#This Row],[total_cost]]</f>
        <v>8882.4</v>
      </c>
    </row>
    <row r="364" spans="1:19" x14ac:dyDescent="0.3">
      <c r="A364" t="s">
        <v>2224</v>
      </c>
      <c r="B364" s="10">
        <v>45217</v>
      </c>
      <c r="C364" s="10">
        <v>45217</v>
      </c>
      <c r="D364" t="s">
        <v>26</v>
      </c>
      <c r="E364" t="s">
        <v>958</v>
      </c>
      <c r="F364" t="s">
        <v>73</v>
      </c>
      <c r="G364" t="s">
        <v>19</v>
      </c>
      <c r="H364" t="s">
        <v>77</v>
      </c>
      <c r="I364">
        <v>2</v>
      </c>
      <c r="J364">
        <v>8236</v>
      </c>
      <c r="K364">
        <v>0.05</v>
      </c>
      <c r="L364" t="s">
        <v>21</v>
      </c>
      <c r="M364" t="s">
        <v>39</v>
      </c>
      <c r="N364" t="s">
        <v>59</v>
      </c>
      <c r="O364">
        <v>4.5</v>
      </c>
      <c r="P364">
        <v>15648.4</v>
      </c>
      <c r="Q364">
        <v>500</v>
      </c>
      <c r="R364">
        <f>Table2_2[[#This Row],[cost]]*Table2_2[[#This Row],[Quantity]]</f>
        <v>1000</v>
      </c>
      <c r="S364">
        <f>Table2_2[[#This Row],[revenue]]-Table2_2[[#This Row],[total_cost]]</f>
        <v>14648.4</v>
      </c>
    </row>
    <row r="365" spans="1:19" x14ac:dyDescent="0.3">
      <c r="A365" t="s">
        <v>2235</v>
      </c>
      <c r="B365" s="10">
        <v>45350</v>
      </c>
      <c r="C365" s="10">
        <v>45350</v>
      </c>
      <c r="D365" t="s">
        <v>71</v>
      </c>
      <c r="E365" t="s">
        <v>582</v>
      </c>
      <c r="F365" t="s">
        <v>73</v>
      </c>
      <c r="G365" t="s">
        <v>37</v>
      </c>
      <c r="H365" t="s">
        <v>20</v>
      </c>
      <c r="I365">
        <v>4</v>
      </c>
      <c r="J365">
        <v>8022</v>
      </c>
      <c r="K365">
        <v>0</v>
      </c>
      <c r="L365" t="s">
        <v>58</v>
      </c>
      <c r="M365" t="s">
        <v>39</v>
      </c>
      <c r="N365" t="s">
        <v>48</v>
      </c>
      <c r="O365">
        <v>3.9</v>
      </c>
      <c r="P365">
        <v>32088</v>
      </c>
      <c r="Q365">
        <v>900</v>
      </c>
      <c r="R365">
        <f>Table2_2[[#This Row],[cost]]*Table2_2[[#This Row],[Quantity]]</f>
        <v>3600</v>
      </c>
      <c r="S365">
        <f>Table2_2[[#This Row],[revenue]]-Table2_2[[#This Row],[total_cost]]</f>
        <v>28488</v>
      </c>
    </row>
    <row r="366" spans="1:19" x14ac:dyDescent="0.3">
      <c r="A366" t="s">
        <v>2237</v>
      </c>
      <c r="B366" s="10">
        <v>45227</v>
      </c>
      <c r="C366" s="10">
        <v>45227</v>
      </c>
      <c r="D366" t="s">
        <v>91</v>
      </c>
      <c r="E366" t="s">
        <v>512</v>
      </c>
      <c r="F366" t="s">
        <v>73</v>
      </c>
      <c r="G366" t="s">
        <v>29</v>
      </c>
      <c r="H366" t="s">
        <v>77</v>
      </c>
      <c r="I366">
        <v>1</v>
      </c>
      <c r="J366">
        <v>4391</v>
      </c>
      <c r="K366">
        <v>0.05</v>
      </c>
      <c r="L366" t="s">
        <v>38</v>
      </c>
      <c r="M366" t="s">
        <v>39</v>
      </c>
      <c r="N366" t="s">
        <v>32</v>
      </c>
      <c r="O366">
        <v>3.9</v>
      </c>
      <c r="P366">
        <v>4171.45</v>
      </c>
      <c r="Q366">
        <v>500</v>
      </c>
      <c r="R366">
        <f>Table2_2[[#This Row],[cost]]*Table2_2[[#This Row],[Quantity]]</f>
        <v>500</v>
      </c>
      <c r="S366">
        <f>Table2_2[[#This Row],[revenue]]-Table2_2[[#This Row],[total_cost]]</f>
        <v>3671.45</v>
      </c>
    </row>
    <row r="367" spans="1:19" x14ac:dyDescent="0.3">
      <c r="A367" t="s">
        <v>2245</v>
      </c>
      <c r="B367" s="10">
        <v>45046</v>
      </c>
      <c r="C367" s="10">
        <v>45046</v>
      </c>
      <c r="D367" t="s">
        <v>67</v>
      </c>
      <c r="E367" t="s">
        <v>635</v>
      </c>
      <c r="F367" t="s">
        <v>64</v>
      </c>
      <c r="G367" t="s">
        <v>29</v>
      </c>
      <c r="H367" t="s">
        <v>30</v>
      </c>
      <c r="I367">
        <v>3</v>
      </c>
      <c r="J367">
        <v>1608</v>
      </c>
      <c r="K367">
        <v>0.05</v>
      </c>
      <c r="L367" t="s">
        <v>58</v>
      </c>
      <c r="M367" t="s">
        <v>22</v>
      </c>
      <c r="N367" t="s">
        <v>48</v>
      </c>
      <c r="O367">
        <v>4.0999999999999996</v>
      </c>
      <c r="P367">
        <v>4582.8</v>
      </c>
      <c r="Q367">
        <v>900</v>
      </c>
      <c r="R367">
        <f>Table2_2[[#This Row],[cost]]*Table2_2[[#This Row],[Quantity]]</f>
        <v>2700</v>
      </c>
      <c r="S367">
        <f>Table2_2[[#This Row],[revenue]]-Table2_2[[#This Row],[total_cost]]</f>
        <v>1882.8000000000002</v>
      </c>
    </row>
    <row r="368" spans="1:19" x14ac:dyDescent="0.3">
      <c r="A368" t="s">
        <v>2248</v>
      </c>
      <c r="B368" s="10">
        <v>45450</v>
      </c>
      <c r="C368" s="10">
        <v>45450</v>
      </c>
      <c r="D368" t="s">
        <v>51</v>
      </c>
      <c r="E368" t="s">
        <v>577</v>
      </c>
      <c r="F368" t="s">
        <v>18</v>
      </c>
      <c r="G368" t="s">
        <v>37</v>
      </c>
      <c r="H368" t="s">
        <v>77</v>
      </c>
      <c r="I368">
        <v>4</v>
      </c>
      <c r="J368">
        <v>3566</v>
      </c>
      <c r="K368">
        <v>0.2</v>
      </c>
      <c r="L368" t="s">
        <v>38</v>
      </c>
      <c r="M368" t="s">
        <v>39</v>
      </c>
      <c r="N368" t="s">
        <v>59</v>
      </c>
      <c r="O368">
        <v>4.2</v>
      </c>
      <c r="P368">
        <v>11411.2</v>
      </c>
      <c r="Q368">
        <v>900</v>
      </c>
      <c r="R368">
        <f>Table2_2[[#This Row],[cost]]*Table2_2[[#This Row],[Quantity]]</f>
        <v>3600</v>
      </c>
      <c r="S368">
        <f>Table2_2[[#This Row],[revenue]]-Table2_2[[#This Row],[total_cost]]</f>
        <v>7811.2000000000007</v>
      </c>
    </row>
    <row r="369" spans="1:19" x14ac:dyDescent="0.3">
      <c r="A369" t="s">
        <v>2249</v>
      </c>
      <c r="B369" s="10">
        <v>44998</v>
      </c>
      <c r="C369" s="10">
        <v>44998</v>
      </c>
      <c r="D369" t="s">
        <v>35</v>
      </c>
      <c r="E369" t="s">
        <v>1066</v>
      </c>
      <c r="F369" t="s">
        <v>28</v>
      </c>
      <c r="G369" t="s">
        <v>29</v>
      </c>
      <c r="H369" t="s">
        <v>20</v>
      </c>
      <c r="I369">
        <v>1</v>
      </c>
      <c r="J369">
        <v>9537</v>
      </c>
      <c r="K369">
        <v>0.05</v>
      </c>
      <c r="L369" t="s">
        <v>38</v>
      </c>
      <c r="M369" t="s">
        <v>22</v>
      </c>
      <c r="N369" t="s">
        <v>32</v>
      </c>
      <c r="O369">
        <v>3.7</v>
      </c>
      <c r="P369">
        <v>9060.15</v>
      </c>
      <c r="Q369">
        <v>700</v>
      </c>
      <c r="R369">
        <f>Table2_2[[#This Row],[cost]]*Table2_2[[#This Row],[Quantity]]</f>
        <v>700</v>
      </c>
      <c r="S369">
        <f>Table2_2[[#This Row],[revenue]]-Table2_2[[#This Row],[total_cost]]</f>
        <v>8360.15</v>
      </c>
    </row>
    <row r="370" spans="1:19" x14ac:dyDescent="0.3">
      <c r="A370" t="s">
        <v>2016</v>
      </c>
      <c r="B370" s="10">
        <v>45654</v>
      </c>
      <c r="C370" s="10">
        <v>45654</v>
      </c>
      <c r="D370" t="s">
        <v>80</v>
      </c>
      <c r="E370" t="s">
        <v>540</v>
      </c>
      <c r="F370" t="s">
        <v>28</v>
      </c>
      <c r="G370" t="s">
        <v>37</v>
      </c>
      <c r="H370" t="s">
        <v>30</v>
      </c>
      <c r="I370">
        <v>3</v>
      </c>
      <c r="J370">
        <v>1560</v>
      </c>
      <c r="K370">
        <v>0.1</v>
      </c>
      <c r="L370" t="s">
        <v>58</v>
      </c>
      <c r="M370" t="s">
        <v>39</v>
      </c>
      <c r="N370" t="s">
        <v>59</v>
      </c>
      <c r="O370">
        <v>4.5</v>
      </c>
      <c r="P370">
        <v>4212</v>
      </c>
      <c r="Q370">
        <v>1500</v>
      </c>
      <c r="R370">
        <f>Table2_2[[#This Row],[cost]]*Table2_2[[#This Row],[Quantity]]</f>
        <v>4500</v>
      </c>
      <c r="S370">
        <f>Table2_2[[#This Row],[revenue]]-Table2_2[[#This Row],[total_cost]]</f>
        <v>-288</v>
      </c>
    </row>
    <row r="371" spans="1:19" x14ac:dyDescent="0.3">
      <c r="A371" t="s">
        <v>1808</v>
      </c>
      <c r="B371" s="10">
        <v>45146</v>
      </c>
      <c r="C371" s="10">
        <v>45146</v>
      </c>
      <c r="D371" t="s">
        <v>16</v>
      </c>
      <c r="E371" t="s">
        <v>207</v>
      </c>
      <c r="F371" t="s">
        <v>73</v>
      </c>
      <c r="G371" t="s">
        <v>29</v>
      </c>
      <c r="H371" t="s">
        <v>20</v>
      </c>
      <c r="I371">
        <v>3</v>
      </c>
      <c r="J371">
        <v>3034</v>
      </c>
      <c r="K371">
        <v>0</v>
      </c>
      <c r="L371" t="s">
        <v>31</v>
      </c>
      <c r="M371" t="s">
        <v>22</v>
      </c>
      <c r="N371" t="s">
        <v>48</v>
      </c>
      <c r="O371">
        <v>4.3</v>
      </c>
      <c r="P371">
        <v>9102</v>
      </c>
      <c r="Q371">
        <v>1500</v>
      </c>
      <c r="R371">
        <f>Table2_2[[#This Row],[cost]]*Table2_2[[#This Row],[Quantity]]</f>
        <v>4500</v>
      </c>
      <c r="S371">
        <f>Table2_2[[#This Row],[revenue]]-Table2_2[[#This Row],[total_cost]]</f>
        <v>4602</v>
      </c>
    </row>
    <row r="372" spans="1:19" x14ac:dyDescent="0.3">
      <c r="A372" t="s">
        <v>2259</v>
      </c>
      <c r="B372" s="10">
        <v>45244</v>
      </c>
      <c r="C372" s="10">
        <v>45244</v>
      </c>
      <c r="D372" t="s">
        <v>96</v>
      </c>
      <c r="E372" t="s">
        <v>36</v>
      </c>
      <c r="F372" t="s">
        <v>98</v>
      </c>
      <c r="G372" t="s">
        <v>53</v>
      </c>
      <c r="H372" t="s">
        <v>99</v>
      </c>
      <c r="I372">
        <v>3</v>
      </c>
      <c r="J372">
        <v>7428</v>
      </c>
      <c r="K372">
        <v>0.2</v>
      </c>
      <c r="L372" t="s">
        <v>38</v>
      </c>
      <c r="M372" t="s">
        <v>22</v>
      </c>
      <c r="N372" t="s">
        <v>48</v>
      </c>
      <c r="O372">
        <v>3.4</v>
      </c>
      <c r="P372">
        <v>17827.2</v>
      </c>
      <c r="Q372">
        <v>1500</v>
      </c>
      <c r="R372">
        <f>Table2_2[[#This Row],[cost]]*Table2_2[[#This Row],[Quantity]]</f>
        <v>4500</v>
      </c>
      <c r="S372">
        <f>Table2_2[[#This Row],[revenue]]-Table2_2[[#This Row],[total_cost]]</f>
        <v>13327.2</v>
      </c>
    </row>
    <row r="373" spans="1:19" x14ac:dyDescent="0.3">
      <c r="A373" t="s">
        <v>2262</v>
      </c>
      <c r="B373" s="10">
        <v>45471</v>
      </c>
      <c r="C373" s="10">
        <v>45471</v>
      </c>
      <c r="D373" t="s">
        <v>127</v>
      </c>
      <c r="E373" t="s">
        <v>210</v>
      </c>
      <c r="F373" t="s">
        <v>64</v>
      </c>
      <c r="G373" t="s">
        <v>53</v>
      </c>
      <c r="H373" t="s">
        <v>77</v>
      </c>
      <c r="I373">
        <v>3</v>
      </c>
      <c r="J373">
        <v>3820</v>
      </c>
      <c r="K373">
        <v>0.15</v>
      </c>
      <c r="L373" t="s">
        <v>21</v>
      </c>
      <c r="M373" t="s">
        <v>39</v>
      </c>
      <c r="N373" t="s">
        <v>59</v>
      </c>
      <c r="O373">
        <v>4.2</v>
      </c>
      <c r="P373">
        <v>9741</v>
      </c>
      <c r="Q373">
        <v>700</v>
      </c>
      <c r="R373">
        <f>Table2_2[[#This Row],[cost]]*Table2_2[[#This Row],[Quantity]]</f>
        <v>2100</v>
      </c>
      <c r="S373">
        <f>Table2_2[[#This Row],[revenue]]-Table2_2[[#This Row],[total_cost]]</f>
        <v>7641</v>
      </c>
    </row>
    <row r="374" spans="1:19" x14ac:dyDescent="0.3">
      <c r="A374" t="s">
        <v>1149</v>
      </c>
      <c r="B374" s="10">
        <v>45316</v>
      </c>
      <c r="C374" s="10">
        <v>45316</v>
      </c>
      <c r="D374" t="s">
        <v>84</v>
      </c>
      <c r="E374" t="s">
        <v>27</v>
      </c>
      <c r="F374" t="s">
        <v>57</v>
      </c>
      <c r="G374" t="s">
        <v>19</v>
      </c>
      <c r="H374" t="s">
        <v>99</v>
      </c>
      <c r="I374">
        <v>2</v>
      </c>
      <c r="J374">
        <v>4398</v>
      </c>
      <c r="K374">
        <v>0</v>
      </c>
      <c r="L374" t="s">
        <v>58</v>
      </c>
      <c r="M374" t="s">
        <v>39</v>
      </c>
      <c r="N374" t="s">
        <v>59</v>
      </c>
      <c r="O374">
        <v>3.6</v>
      </c>
      <c r="P374">
        <v>8796</v>
      </c>
      <c r="Q374">
        <v>900</v>
      </c>
      <c r="R374">
        <f>Table2_2[[#This Row],[cost]]*Table2_2[[#This Row],[Quantity]]</f>
        <v>1800</v>
      </c>
      <c r="S374">
        <f>Table2_2[[#This Row],[revenue]]-Table2_2[[#This Row],[total_cost]]</f>
        <v>6996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D8CC-48F4-4BBC-8713-60F5A7D4FFE9}">
  <dimension ref="A1:K334"/>
  <sheetViews>
    <sheetView topLeftCell="A2" workbookViewId="0">
      <selection activeCell="J4" sqref="J4"/>
    </sheetView>
  </sheetViews>
  <sheetFormatPr defaultRowHeight="14.4" x14ac:dyDescent="0.3"/>
  <cols>
    <col min="1" max="1" width="12.6640625" bestFit="1" customWidth="1"/>
    <col min="2" max="2" width="22.109375" bestFit="1" customWidth="1"/>
    <col min="3" max="3" width="10.77734375" bestFit="1" customWidth="1"/>
    <col min="4" max="4" width="15" bestFit="1" customWidth="1"/>
    <col min="5" max="5" width="9.33203125" bestFit="1" customWidth="1"/>
    <col min="6" max="6" width="14" bestFit="1" customWidth="1"/>
    <col min="7" max="7" width="15.21875" bestFit="1" customWidth="1"/>
    <col min="8" max="8" width="12" bestFit="1" customWidth="1"/>
    <col min="9" max="9" width="16.6640625" bestFit="1" customWidth="1"/>
  </cols>
  <sheetData>
    <row r="1" spans="1:11" x14ac:dyDescent="0.3">
      <c r="A1" t="s">
        <v>3</v>
      </c>
      <c r="B1" t="s">
        <v>4</v>
      </c>
      <c r="C1" t="s">
        <v>5</v>
      </c>
      <c r="D1" t="s">
        <v>2270</v>
      </c>
      <c r="E1" t="s">
        <v>2271</v>
      </c>
      <c r="F1" t="s">
        <v>2272</v>
      </c>
      <c r="G1" t="s">
        <v>2273</v>
      </c>
      <c r="H1" t="s">
        <v>2274</v>
      </c>
      <c r="I1" t="s">
        <v>2275</v>
      </c>
      <c r="J1" t="s">
        <v>2998</v>
      </c>
      <c r="K1" t="s">
        <v>3003</v>
      </c>
    </row>
    <row r="2" spans="1:11" x14ac:dyDescent="0.3">
      <c r="A2" t="s">
        <v>163</v>
      </c>
      <c r="B2" t="s">
        <v>73</v>
      </c>
      <c r="C2" t="s">
        <v>2276</v>
      </c>
      <c r="D2" t="s">
        <v>2277</v>
      </c>
      <c r="E2" t="s">
        <v>2278</v>
      </c>
      <c r="F2">
        <v>2024</v>
      </c>
      <c r="G2" t="s">
        <v>2279</v>
      </c>
      <c r="H2">
        <v>500</v>
      </c>
      <c r="I2">
        <v>293</v>
      </c>
      <c r="J2" cm="1">
        <f t="array" aca="1" ref="J2" ca="1">_xlfn.UNIQUE(Table1_1[#All],2,FALSE)</f>
        <v>0</v>
      </c>
    </row>
    <row r="3" spans="1:11" x14ac:dyDescent="0.3">
      <c r="A3" t="s">
        <v>1226</v>
      </c>
      <c r="B3" t="s">
        <v>98</v>
      </c>
      <c r="C3" t="s">
        <v>2280</v>
      </c>
      <c r="D3" t="s">
        <v>2281</v>
      </c>
      <c r="E3" t="s">
        <v>2282</v>
      </c>
      <c r="F3">
        <v>2024</v>
      </c>
      <c r="G3" t="s">
        <v>2283</v>
      </c>
      <c r="H3">
        <v>700</v>
      </c>
      <c r="I3">
        <v>171</v>
      </c>
      <c r="J3" cm="1">
        <f t="array" aca="1" ref="J3" ca="1">_xlfn.UNIQUE(Table1_1[#All],2,FALSE)</f>
        <v>0</v>
      </c>
    </row>
    <row r="4" spans="1:11" x14ac:dyDescent="0.3">
      <c r="A4" t="s">
        <v>1066</v>
      </c>
      <c r="B4" t="s">
        <v>98</v>
      </c>
      <c r="C4" t="s">
        <v>2276</v>
      </c>
      <c r="D4" t="s">
        <v>2284</v>
      </c>
      <c r="E4" t="s">
        <v>2278</v>
      </c>
      <c r="F4">
        <v>2022</v>
      </c>
      <c r="G4" t="s">
        <v>2285</v>
      </c>
      <c r="H4">
        <v>700</v>
      </c>
      <c r="I4">
        <v>187</v>
      </c>
      <c r="J4" cm="1">
        <f t="array" aca="1" ref="J4" ca="1">_xlfn.UNIQUE(Table1_1[#All],2,FALSE)</f>
        <v>0</v>
      </c>
    </row>
    <row r="5" spans="1:11" x14ac:dyDescent="0.3">
      <c r="A5" t="s">
        <v>1913</v>
      </c>
      <c r="B5" t="s">
        <v>57</v>
      </c>
      <c r="C5" t="s">
        <v>37</v>
      </c>
      <c r="D5" t="s">
        <v>2286</v>
      </c>
      <c r="E5" t="s">
        <v>2287</v>
      </c>
      <c r="F5">
        <v>2022</v>
      </c>
      <c r="G5" t="s">
        <v>2285</v>
      </c>
      <c r="H5">
        <v>1200</v>
      </c>
      <c r="I5">
        <v>162</v>
      </c>
      <c r="J5" cm="1">
        <f t="array" aca="1" ref="J5" ca="1">_xlfn.UNIQUE(Table1_1[#All],2,FALSE)</f>
        <v>0</v>
      </c>
    </row>
    <row r="6" spans="1:11" x14ac:dyDescent="0.3">
      <c r="A6" t="s">
        <v>76</v>
      </c>
      <c r="B6" t="s">
        <v>28</v>
      </c>
      <c r="C6" t="s">
        <v>2288</v>
      </c>
      <c r="D6" t="s">
        <v>2286</v>
      </c>
      <c r="E6" t="s">
        <v>2278</v>
      </c>
      <c r="F6">
        <v>2023</v>
      </c>
      <c r="G6" t="s">
        <v>2283</v>
      </c>
      <c r="H6">
        <v>1500</v>
      </c>
      <c r="I6">
        <v>190</v>
      </c>
      <c r="J6" cm="1">
        <f t="array" aca="1" ref="J6" ca="1">_xlfn.UNIQUE(Table1_1[#All],2,FALSE)</f>
        <v>0</v>
      </c>
    </row>
    <row r="7" spans="1:11" x14ac:dyDescent="0.3">
      <c r="A7" t="s">
        <v>854</v>
      </c>
      <c r="B7" t="s">
        <v>64</v>
      </c>
      <c r="C7" t="s">
        <v>2276</v>
      </c>
      <c r="D7" t="s">
        <v>2281</v>
      </c>
      <c r="E7" t="s">
        <v>2278</v>
      </c>
      <c r="F7">
        <v>2023</v>
      </c>
      <c r="G7" t="s">
        <v>2289</v>
      </c>
      <c r="H7">
        <v>1200</v>
      </c>
      <c r="I7">
        <v>218</v>
      </c>
      <c r="J7" cm="1">
        <f t="array" aca="1" ref="J7" ca="1">_xlfn.UNIQUE(Table1_1[#All],2,FALSE)</f>
        <v>0</v>
      </c>
    </row>
    <row r="8" spans="1:11" x14ac:dyDescent="0.3">
      <c r="A8" t="s">
        <v>701</v>
      </c>
      <c r="B8" t="s">
        <v>73</v>
      </c>
      <c r="C8" t="s">
        <v>2276</v>
      </c>
      <c r="D8" t="s">
        <v>2286</v>
      </c>
      <c r="E8" t="s">
        <v>2278</v>
      </c>
      <c r="F8">
        <v>2022</v>
      </c>
      <c r="G8" t="s">
        <v>2289</v>
      </c>
      <c r="H8">
        <v>1200</v>
      </c>
      <c r="I8">
        <v>156</v>
      </c>
      <c r="J8" cm="1">
        <f t="array" aca="1" ref="J8" ca="1">_xlfn.UNIQUE(Table1_1[#All],2,FALSE)</f>
        <v>0</v>
      </c>
    </row>
    <row r="9" spans="1:11" x14ac:dyDescent="0.3">
      <c r="A9" t="s">
        <v>834</v>
      </c>
      <c r="B9" t="s">
        <v>73</v>
      </c>
      <c r="C9" t="s">
        <v>19</v>
      </c>
      <c r="D9" t="s">
        <v>2277</v>
      </c>
      <c r="E9" t="s">
        <v>2278</v>
      </c>
      <c r="F9">
        <v>2024</v>
      </c>
      <c r="G9" t="s">
        <v>2285</v>
      </c>
      <c r="H9">
        <v>500</v>
      </c>
      <c r="I9">
        <v>123</v>
      </c>
      <c r="J9" cm="1">
        <f t="array" aca="1" ref="J9" ca="1">_xlfn.UNIQUE(Table1_1[#All],2,FALSE)</f>
        <v>0</v>
      </c>
    </row>
    <row r="10" spans="1:11" x14ac:dyDescent="0.3">
      <c r="A10" t="s">
        <v>526</v>
      </c>
      <c r="B10" t="s">
        <v>57</v>
      </c>
      <c r="C10" t="s">
        <v>2276</v>
      </c>
      <c r="D10" t="s">
        <v>29</v>
      </c>
      <c r="E10" t="s">
        <v>2282</v>
      </c>
      <c r="F10">
        <v>2024</v>
      </c>
      <c r="G10" t="s">
        <v>2279</v>
      </c>
      <c r="H10">
        <v>1200</v>
      </c>
      <c r="I10">
        <v>36</v>
      </c>
      <c r="J10" cm="1">
        <f t="array" aca="1" ref="J10" ca="1">_xlfn.UNIQUE(Table1_1[#All],2,FALSE)</f>
        <v>0</v>
      </c>
    </row>
    <row r="11" spans="1:11" x14ac:dyDescent="0.3">
      <c r="A11" t="s">
        <v>600</v>
      </c>
      <c r="B11" t="s">
        <v>57</v>
      </c>
      <c r="C11" t="s">
        <v>2280</v>
      </c>
      <c r="D11" t="s">
        <v>2281</v>
      </c>
      <c r="E11" t="s">
        <v>2278</v>
      </c>
      <c r="F11">
        <v>2021</v>
      </c>
      <c r="G11" t="s">
        <v>2283</v>
      </c>
      <c r="H11">
        <v>1200</v>
      </c>
      <c r="I11">
        <v>183</v>
      </c>
      <c r="J11" cm="1">
        <f t="array" aca="1" ref="J11" ca="1">_xlfn.UNIQUE(Table1_1[#All],2,FALSE)</f>
        <v>0</v>
      </c>
    </row>
    <row r="12" spans="1:11" x14ac:dyDescent="0.3">
      <c r="A12" t="s">
        <v>1324</v>
      </c>
      <c r="B12" t="s">
        <v>73</v>
      </c>
      <c r="C12" t="s">
        <v>2288</v>
      </c>
      <c r="D12" t="s">
        <v>2286</v>
      </c>
      <c r="E12" t="s">
        <v>2278</v>
      </c>
      <c r="F12">
        <v>2022</v>
      </c>
      <c r="G12" t="s">
        <v>2283</v>
      </c>
      <c r="H12">
        <v>1500</v>
      </c>
      <c r="I12">
        <v>265</v>
      </c>
      <c r="J12" cm="1">
        <f t="array" aca="1" ref="J12" ca="1">_xlfn.UNIQUE(Table1_1[#All],2,FALSE)</f>
        <v>0</v>
      </c>
    </row>
    <row r="13" spans="1:11" x14ac:dyDescent="0.3">
      <c r="A13" t="s">
        <v>768</v>
      </c>
      <c r="B13" t="s">
        <v>73</v>
      </c>
      <c r="C13" t="s">
        <v>2280</v>
      </c>
      <c r="D13" t="s">
        <v>2286</v>
      </c>
      <c r="E13" t="s">
        <v>2282</v>
      </c>
      <c r="F13">
        <v>2021</v>
      </c>
      <c r="G13" t="s">
        <v>2283</v>
      </c>
      <c r="H13">
        <v>900</v>
      </c>
      <c r="I13">
        <v>285</v>
      </c>
      <c r="J13" cm="1">
        <f t="array" aca="1" ref="J13" ca="1">_xlfn.UNIQUE(Table1_1[#All],2,FALSE)</f>
        <v>0</v>
      </c>
    </row>
    <row r="14" spans="1:11" x14ac:dyDescent="0.3">
      <c r="A14" t="s">
        <v>445</v>
      </c>
      <c r="B14" t="s">
        <v>64</v>
      </c>
      <c r="C14" t="s">
        <v>37</v>
      </c>
      <c r="D14" t="s">
        <v>29</v>
      </c>
      <c r="E14" t="s">
        <v>2287</v>
      </c>
      <c r="F14">
        <v>2021</v>
      </c>
      <c r="G14" t="s">
        <v>2285</v>
      </c>
      <c r="H14">
        <v>1500</v>
      </c>
      <c r="I14">
        <v>92</v>
      </c>
      <c r="J14" cm="1">
        <f t="array" aca="1" ref="J14" ca="1">_xlfn.UNIQUE(Table1_1[#All],2,FALSE)</f>
        <v>0</v>
      </c>
    </row>
    <row r="15" spans="1:11" x14ac:dyDescent="0.3">
      <c r="A15" t="s">
        <v>328</v>
      </c>
      <c r="B15" t="s">
        <v>64</v>
      </c>
      <c r="C15" t="s">
        <v>2288</v>
      </c>
      <c r="D15" t="s">
        <v>2284</v>
      </c>
      <c r="E15" t="s">
        <v>2282</v>
      </c>
      <c r="F15">
        <v>2022</v>
      </c>
      <c r="G15" t="s">
        <v>2279</v>
      </c>
      <c r="H15">
        <v>900</v>
      </c>
      <c r="I15">
        <v>139</v>
      </c>
      <c r="J15" cm="1">
        <f t="array" aca="1" ref="J15" ca="1">_xlfn.UNIQUE(Table1_1[#All],2,FALSE)</f>
        <v>0</v>
      </c>
    </row>
    <row r="16" spans="1:11" x14ac:dyDescent="0.3">
      <c r="A16" t="s">
        <v>1635</v>
      </c>
      <c r="B16" t="s">
        <v>28</v>
      </c>
      <c r="C16" t="s">
        <v>2280</v>
      </c>
      <c r="D16" t="s">
        <v>29</v>
      </c>
      <c r="E16" t="s">
        <v>2282</v>
      </c>
      <c r="F16">
        <v>2023</v>
      </c>
      <c r="G16" t="s">
        <v>2283</v>
      </c>
      <c r="H16">
        <v>500</v>
      </c>
      <c r="I16">
        <v>219</v>
      </c>
      <c r="J16" cm="1">
        <f t="array" aca="1" ref="J16" ca="1">_xlfn.UNIQUE(Table1_1[#All],2,FALSE)</f>
        <v>0</v>
      </c>
    </row>
    <row r="17" spans="1:10" x14ac:dyDescent="0.3">
      <c r="A17" t="s">
        <v>172</v>
      </c>
      <c r="B17" t="s">
        <v>98</v>
      </c>
      <c r="C17" t="s">
        <v>19</v>
      </c>
      <c r="D17" t="s">
        <v>2286</v>
      </c>
      <c r="E17" t="s">
        <v>2287</v>
      </c>
      <c r="F17">
        <v>2021</v>
      </c>
      <c r="G17" t="s">
        <v>2285</v>
      </c>
      <c r="H17">
        <v>1200</v>
      </c>
      <c r="I17">
        <v>216</v>
      </c>
      <c r="J17" cm="1">
        <f t="array" aca="1" ref="J17" ca="1">_xlfn.UNIQUE(Table1_1[#All],2,FALSE)</f>
        <v>0</v>
      </c>
    </row>
    <row r="18" spans="1:10" x14ac:dyDescent="0.3">
      <c r="A18" t="s">
        <v>108</v>
      </c>
      <c r="B18" t="s">
        <v>98</v>
      </c>
      <c r="C18" t="s">
        <v>2280</v>
      </c>
      <c r="D18" t="s">
        <v>2277</v>
      </c>
      <c r="E18" t="s">
        <v>2278</v>
      </c>
      <c r="F18">
        <v>2024</v>
      </c>
      <c r="G18" t="s">
        <v>2285</v>
      </c>
      <c r="H18">
        <v>500</v>
      </c>
      <c r="I18">
        <v>55</v>
      </c>
      <c r="J18" cm="1">
        <f t="array" aca="1" ref="J18" ca="1">_xlfn.UNIQUE(Table1_1[#All],2,FALSE)</f>
        <v>0</v>
      </c>
    </row>
    <row r="19" spans="1:10" x14ac:dyDescent="0.3">
      <c r="A19" t="s">
        <v>1121</v>
      </c>
      <c r="B19" t="s">
        <v>73</v>
      </c>
      <c r="C19" t="s">
        <v>37</v>
      </c>
      <c r="D19" t="s">
        <v>2281</v>
      </c>
      <c r="E19" t="s">
        <v>2282</v>
      </c>
      <c r="F19">
        <v>2024</v>
      </c>
      <c r="G19" t="s">
        <v>2283</v>
      </c>
      <c r="H19">
        <v>1500</v>
      </c>
      <c r="I19">
        <v>225</v>
      </c>
      <c r="J19" cm="1">
        <f t="array" aca="1" ref="J19" ca="1">_xlfn.UNIQUE(Table1_1[#All],2,FALSE)</f>
        <v>0</v>
      </c>
    </row>
    <row r="20" spans="1:10" x14ac:dyDescent="0.3">
      <c r="A20" t="s">
        <v>569</v>
      </c>
      <c r="B20" t="s">
        <v>64</v>
      </c>
      <c r="C20" t="s">
        <v>19</v>
      </c>
      <c r="D20" t="s">
        <v>29</v>
      </c>
      <c r="E20" t="s">
        <v>2287</v>
      </c>
      <c r="F20">
        <v>2024</v>
      </c>
      <c r="G20" t="s">
        <v>2289</v>
      </c>
      <c r="H20">
        <v>1500</v>
      </c>
      <c r="I20">
        <v>235</v>
      </c>
      <c r="J20" cm="1">
        <f t="array" aca="1" ref="J20" ca="1">_xlfn.UNIQUE(Table1_1[#All],2,FALSE)</f>
        <v>0</v>
      </c>
    </row>
    <row r="21" spans="1:10" x14ac:dyDescent="0.3">
      <c r="A21" t="s">
        <v>851</v>
      </c>
      <c r="B21" t="s">
        <v>28</v>
      </c>
      <c r="C21" t="s">
        <v>2280</v>
      </c>
      <c r="D21" t="s">
        <v>2286</v>
      </c>
      <c r="E21" t="s">
        <v>2282</v>
      </c>
      <c r="F21">
        <v>2024</v>
      </c>
      <c r="G21" t="s">
        <v>2283</v>
      </c>
      <c r="H21">
        <v>700</v>
      </c>
      <c r="I21">
        <v>37</v>
      </c>
      <c r="J21" cm="1">
        <f t="array" aca="1" ref="J21" ca="1">_xlfn.UNIQUE(Table1_1[#All],2,FALSE)</f>
        <v>0</v>
      </c>
    </row>
    <row r="22" spans="1:10" x14ac:dyDescent="0.3">
      <c r="A22" t="s">
        <v>880</v>
      </c>
      <c r="B22" t="s">
        <v>98</v>
      </c>
      <c r="C22" t="s">
        <v>2276</v>
      </c>
      <c r="D22" t="s">
        <v>2286</v>
      </c>
      <c r="E22" t="s">
        <v>2287</v>
      </c>
      <c r="F22">
        <v>2024</v>
      </c>
      <c r="G22" t="s">
        <v>2279</v>
      </c>
      <c r="H22">
        <v>1200</v>
      </c>
      <c r="I22">
        <v>52</v>
      </c>
      <c r="J22" cm="1">
        <f t="array" aca="1" ref="J22" ca="1">_xlfn.UNIQUE(Table1_1[#All],2,FALSE)</f>
        <v>0</v>
      </c>
    </row>
    <row r="23" spans="1:10" x14ac:dyDescent="0.3">
      <c r="A23" t="s">
        <v>1001</v>
      </c>
      <c r="B23" t="s">
        <v>73</v>
      </c>
      <c r="C23" t="s">
        <v>37</v>
      </c>
      <c r="D23" t="s">
        <v>2281</v>
      </c>
      <c r="E23" t="s">
        <v>2282</v>
      </c>
      <c r="F23">
        <v>2024</v>
      </c>
      <c r="G23" t="s">
        <v>2283</v>
      </c>
      <c r="H23">
        <v>1500</v>
      </c>
      <c r="I23">
        <v>134</v>
      </c>
      <c r="J23" cm="1">
        <f t="array" aca="1" ref="J23" ca="1">_xlfn.UNIQUE(Table1_1[#All],2,FALSE)</f>
        <v>0</v>
      </c>
    </row>
    <row r="24" spans="1:10" x14ac:dyDescent="0.3">
      <c r="A24" t="s">
        <v>479</v>
      </c>
      <c r="B24" t="s">
        <v>73</v>
      </c>
      <c r="C24" t="s">
        <v>2280</v>
      </c>
      <c r="D24" t="s">
        <v>29</v>
      </c>
      <c r="E24" t="s">
        <v>2282</v>
      </c>
      <c r="F24">
        <v>2023</v>
      </c>
      <c r="G24" t="s">
        <v>2279</v>
      </c>
      <c r="H24">
        <v>1200</v>
      </c>
      <c r="I24">
        <v>166</v>
      </c>
      <c r="J24" cm="1">
        <f t="array" aca="1" ref="J24" ca="1">_xlfn.UNIQUE(Table1_1[#All],2,FALSE)</f>
        <v>0</v>
      </c>
    </row>
    <row r="25" spans="1:10" x14ac:dyDescent="0.3">
      <c r="A25" t="s">
        <v>724</v>
      </c>
      <c r="B25" t="s">
        <v>64</v>
      </c>
      <c r="C25" t="s">
        <v>2276</v>
      </c>
      <c r="D25" t="s">
        <v>2277</v>
      </c>
      <c r="E25" t="s">
        <v>2287</v>
      </c>
      <c r="F25">
        <v>2023</v>
      </c>
      <c r="G25" t="s">
        <v>2285</v>
      </c>
      <c r="H25">
        <v>900</v>
      </c>
      <c r="I25">
        <v>159</v>
      </c>
      <c r="J25" cm="1">
        <f t="array" aca="1" ref="J25" ca="1">_xlfn.UNIQUE(Table1_1[#All],2,FALSE)</f>
        <v>0</v>
      </c>
    </row>
    <row r="26" spans="1:10" x14ac:dyDescent="0.3">
      <c r="A26" t="s">
        <v>557</v>
      </c>
      <c r="B26" t="s">
        <v>64</v>
      </c>
      <c r="C26" t="s">
        <v>2288</v>
      </c>
      <c r="D26" t="s">
        <v>2286</v>
      </c>
      <c r="E26" t="s">
        <v>2278</v>
      </c>
      <c r="F26">
        <v>2021</v>
      </c>
      <c r="G26" t="s">
        <v>2283</v>
      </c>
      <c r="H26">
        <v>1500</v>
      </c>
      <c r="I26">
        <v>135</v>
      </c>
      <c r="J26" cm="1">
        <f t="array" aca="1" ref="J26" ca="1">_xlfn.UNIQUE(Table1_1[#All],2,FALSE)</f>
        <v>0</v>
      </c>
    </row>
    <row r="27" spans="1:10" x14ac:dyDescent="0.3">
      <c r="A27" t="s">
        <v>1007</v>
      </c>
      <c r="B27" t="s">
        <v>57</v>
      </c>
      <c r="C27" t="s">
        <v>2280</v>
      </c>
      <c r="D27" t="s">
        <v>2281</v>
      </c>
      <c r="E27" t="s">
        <v>2282</v>
      </c>
      <c r="F27">
        <v>2022</v>
      </c>
      <c r="G27" t="s">
        <v>2289</v>
      </c>
      <c r="H27">
        <v>1200</v>
      </c>
      <c r="I27">
        <v>53</v>
      </c>
      <c r="J27" cm="1">
        <f t="array" aca="1" ref="J27" ca="1">_xlfn.UNIQUE(Table1_1[#All],2,FALSE)</f>
        <v>0</v>
      </c>
    </row>
    <row r="28" spans="1:10" x14ac:dyDescent="0.3">
      <c r="A28" t="s">
        <v>365</v>
      </c>
      <c r="B28" t="s">
        <v>98</v>
      </c>
      <c r="C28" t="s">
        <v>37</v>
      </c>
      <c r="D28" t="s">
        <v>2277</v>
      </c>
      <c r="E28" t="s">
        <v>2278</v>
      </c>
      <c r="F28">
        <v>2024</v>
      </c>
      <c r="G28" t="s">
        <v>2289</v>
      </c>
      <c r="H28">
        <v>1500</v>
      </c>
      <c r="I28">
        <v>254</v>
      </c>
      <c r="J28" cm="1">
        <f t="array" aca="1" ref="J28" ca="1">_xlfn.UNIQUE(Table1_1[#All],2,FALSE)</f>
        <v>0</v>
      </c>
    </row>
    <row r="29" spans="1:10" x14ac:dyDescent="0.3">
      <c r="A29" t="s">
        <v>582</v>
      </c>
      <c r="B29" t="s">
        <v>28</v>
      </c>
      <c r="C29" t="s">
        <v>19</v>
      </c>
      <c r="D29" t="s">
        <v>2284</v>
      </c>
      <c r="E29" t="s">
        <v>2287</v>
      </c>
      <c r="F29">
        <v>2022</v>
      </c>
      <c r="G29" t="s">
        <v>2279</v>
      </c>
      <c r="H29">
        <v>900</v>
      </c>
      <c r="I29">
        <v>170</v>
      </c>
      <c r="J29" cm="1">
        <f t="array" aca="1" ref="J29" ca="1">_xlfn.UNIQUE(Table1_1[#All],2,FALSE)</f>
        <v>0</v>
      </c>
    </row>
    <row r="30" spans="1:10" x14ac:dyDescent="0.3">
      <c r="A30" t="s">
        <v>1805</v>
      </c>
      <c r="B30" t="s">
        <v>98</v>
      </c>
      <c r="C30" t="s">
        <v>2276</v>
      </c>
      <c r="D30" t="s">
        <v>2281</v>
      </c>
      <c r="E30" t="s">
        <v>2287</v>
      </c>
      <c r="F30">
        <v>2024</v>
      </c>
      <c r="G30" t="s">
        <v>2279</v>
      </c>
      <c r="H30">
        <v>900</v>
      </c>
      <c r="I30">
        <v>128</v>
      </c>
      <c r="J30" cm="1">
        <f t="array" aca="1" ref="J30" ca="1">_xlfn.UNIQUE(Table1_1[#All],2,FALSE)</f>
        <v>0</v>
      </c>
    </row>
    <row r="31" spans="1:10" x14ac:dyDescent="0.3">
      <c r="A31" t="s">
        <v>175</v>
      </c>
      <c r="B31" t="s">
        <v>28</v>
      </c>
      <c r="C31" t="s">
        <v>2276</v>
      </c>
      <c r="D31" t="s">
        <v>2286</v>
      </c>
      <c r="E31" t="s">
        <v>2282</v>
      </c>
      <c r="F31">
        <v>2024</v>
      </c>
      <c r="G31" t="s">
        <v>2283</v>
      </c>
      <c r="H31">
        <v>1500</v>
      </c>
      <c r="I31">
        <v>273</v>
      </c>
      <c r="J31" cm="1">
        <f t="array" aca="1" ref="J31" ca="1">_xlfn.UNIQUE(Table1_1[#All],2,FALSE)</f>
        <v>0</v>
      </c>
    </row>
    <row r="32" spans="1:10" x14ac:dyDescent="0.3">
      <c r="A32" t="s">
        <v>17</v>
      </c>
      <c r="B32" t="s">
        <v>57</v>
      </c>
      <c r="C32" t="s">
        <v>2276</v>
      </c>
      <c r="D32" t="s">
        <v>2284</v>
      </c>
      <c r="E32" t="s">
        <v>2282</v>
      </c>
      <c r="F32">
        <v>2021</v>
      </c>
      <c r="G32" t="s">
        <v>2285</v>
      </c>
      <c r="H32">
        <v>700</v>
      </c>
      <c r="I32">
        <v>281</v>
      </c>
      <c r="J32" cm="1">
        <f t="array" aca="1" ref="J32" ca="1">_xlfn.UNIQUE(Table1_1[#All],2,FALSE)</f>
        <v>0</v>
      </c>
    </row>
    <row r="33" spans="1:10" x14ac:dyDescent="0.3">
      <c r="A33" t="s">
        <v>1311</v>
      </c>
      <c r="B33" t="s">
        <v>28</v>
      </c>
      <c r="C33" t="s">
        <v>2288</v>
      </c>
      <c r="D33" t="s">
        <v>2284</v>
      </c>
      <c r="E33" t="s">
        <v>2287</v>
      </c>
      <c r="F33">
        <v>2022</v>
      </c>
      <c r="G33" t="s">
        <v>2279</v>
      </c>
      <c r="H33">
        <v>500</v>
      </c>
      <c r="I33">
        <v>70</v>
      </c>
      <c r="J33" cm="1">
        <f t="array" aca="1" ref="J33" ca="1">_xlfn.UNIQUE(Table1_1[#All],2,FALSE)</f>
        <v>0</v>
      </c>
    </row>
    <row r="34" spans="1:10" x14ac:dyDescent="0.3">
      <c r="A34" t="s">
        <v>1415</v>
      </c>
      <c r="B34" t="s">
        <v>57</v>
      </c>
      <c r="C34" t="s">
        <v>37</v>
      </c>
      <c r="D34" t="s">
        <v>2281</v>
      </c>
      <c r="E34" t="s">
        <v>2287</v>
      </c>
      <c r="F34">
        <v>2023</v>
      </c>
      <c r="G34" t="s">
        <v>2279</v>
      </c>
      <c r="H34">
        <v>1500</v>
      </c>
      <c r="I34">
        <v>232</v>
      </c>
      <c r="J34" cm="1">
        <f t="array" aca="1" ref="J34" ca="1">_xlfn.UNIQUE(Table1_1[#All],2,FALSE)</f>
        <v>0</v>
      </c>
    </row>
    <row r="35" spans="1:10" x14ac:dyDescent="0.3">
      <c r="A35" t="s">
        <v>345</v>
      </c>
      <c r="B35" t="s">
        <v>73</v>
      </c>
      <c r="C35" t="s">
        <v>2276</v>
      </c>
      <c r="D35" t="s">
        <v>2281</v>
      </c>
      <c r="E35" t="s">
        <v>2287</v>
      </c>
      <c r="F35">
        <v>2021</v>
      </c>
      <c r="G35" t="s">
        <v>2279</v>
      </c>
      <c r="H35">
        <v>1200</v>
      </c>
      <c r="I35">
        <v>212</v>
      </c>
      <c r="J35" cm="1">
        <f t="array" aca="1" ref="J35" ca="1">_xlfn.UNIQUE(Table1_1[#All],2,FALSE)</f>
        <v>0</v>
      </c>
    </row>
    <row r="36" spans="1:10" x14ac:dyDescent="0.3">
      <c r="A36" t="s">
        <v>1179</v>
      </c>
      <c r="B36" t="s">
        <v>64</v>
      </c>
      <c r="C36" t="s">
        <v>37</v>
      </c>
      <c r="D36" t="s">
        <v>2284</v>
      </c>
      <c r="E36" t="s">
        <v>2278</v>
      </c>
      <c r="F36">
        <v>2023</v>
      </c>
      <c r="G36" t="s">
        <v>2289</v>
      </c>
      <c r="H36">
        <v>1200</v>
      </c>
      <c r="I36">
        <v>191</v>
      </c>
      <c r="J36" cm="1">
        <f t="array" aca="1" ref="J36" ca="1">_xlfn.UNIQUE(Table1_1[#All],2,FALSE)</f>
        <v>0</v>
      </c>
    </row>
    <row r="37" spans="1:10" x14ac:dyDescent="0.3">
      <c r="A37" t="s">
        <v>300</v>
      </c>
      <c r="B37" t="s">
        <v>64</v>
      </c>
      <c r="C37" t="s">
        <v>2280</v>
      </c>
      <c r="D37" t="s">
        <v>2284</v>
      </c>
      <c r="E37" t="s">
        <v>2282</v>
      </c>
      <c r="F37">
        <v>2023</v>
      </c>
      <c r="G37" t="s">
        <v>2283</v>
      </c>
      <c r="H37">
        <v>500</v>
      </c>
      <c r="I37">
        <v>273</v>
      </c>
      <c r="J37" cm="1">
        <f t="array" aca="1" ref="J37" ca="1">_xlfn.UNIQUE(Table1_1[#All],2,FALSE)</f>
        <v>0</v>
      </c>
    </row>
    <row r="38" spans="1:10" x14ac:dyDescent="0.3">
      <c r="A38" t="s">
        <v>1552</v>
      </c>
      <c r="B38" t="s">
        <v>98</v>
      </c>
      <c r="C38" t="s">
        <v>19</v>
      </c>
      <c r="D38" t="s">
        <v>29</v>
      </c>
      <c r="E38" t="s">
        <v>2282</v>
      </c>
      <c r="F38">
        <v>2022</v>
      </c>
      <c r="G38" t="s">
        <v>2279</v>
      </c>
      <c r="H38">
        <v>1200</v>
      </c>
      <c r="I38">
        <v>153</v>
      </c>
      <c r="J38" cm="1">
        <f t="array" aca="1" ref="J38" ca="1">_xlfn.UNIQUE(Table1_1[#All],2,FALSE)</f>
        <v>0</v>
      </c>
    </row>
    <row r="39" spans="1:10" x14ac:dyDescent="0.3">
      <c r="A39" t="s">
        <v>1710</v>
      </c>
      <c r="B39" t="s">
        <v>98</v>
      </c>
      <c r="C39" t="s">
        <v>37</v>
      </c>
      <c r="D39" t="s">
        <v>2277</v>
      </c>
      <c r="E39" t="s">
        <v>2282</v>
      </c>
      <c r="F39">
        <v>2021</v>
      </c>
      <c r="G39" t="s">
        <v>2285</v>
      </c>
      <c r="H39">
        <v>1500</v>
      </c>
      <c r="I39">
        <v>100</v>
      </c>
      <c r="J39" cm="1">
        <f t="array" aca="1" ref="J39" ca="1">_xlfn.UNIQUE(Table1_1[#All],2,FALSE)</f>
        <v>0</v>
      </c>
    </row>
    <row r="40" spans="1:10" x14ac:dyDescent="0.3">
      <c r="A40" t="s">
        <v>143</v>
      </c>
      <c r="B40" t="s">
        <v>73</v>
      </c>
      <c r="C40" t="s">
        <v>2280</v>
      </c>
      <c r="D40" t="s">
        <v>2277</v>
      </c>
      <c r="E40" t="s">
        <v>2278</v>
      </c>
      <c r="F40">
        <v>2023</v>
      </c>
      <c r="G40" t="s">
        <v>2279</v>
      </c>
      <c r="H40">
        <v>500</v>
      </c>
      <c r="I40">
        <v>49</v>
      </c>
      <c r="J40" cm="1">
        <f t="array" aca="1" ref="J40" ca="1">_xlfn.UNIQUE(Table1_1[#All],2,FALSE)</f>
        <v>0</v>
      </c>
    </row>
    <row r="41" spans="1:10" x14ac:dyDescent="0.3">
      <c r="A41" t="s">
        <v>778</v>
      </c>
      <c r="B41" t="s">
        <v>98</v>
      </c>
      <c r="C41" t="s">
        <v>37</v>
      </c>
      <c r="D41" t="s">
        <v>2284</v>
      </c>
      <c r="E41" t="s">
        <v>2287</v>
      </c>
      <c r="F41">
        <v>2021</v>
      </c>
      <c r="G41" t="s">
        <v>2289</v>
      </c>
      <c r="H41">
        <v>900</v>
      </c>
      <c r="I41">
        <v>40</v>
      </c>
      <c r="J41" cm="1">
        <f t="array" aca="1" ref="J41" ca="1">_xlfn.UNIQUE(Table1_1[#All],2,FALSE)</f>
        <v>0</v>
      </c>
    </row>
    <row r="42" spans="1:10" x14ac:dyDescent="0.3">
      <c r="A42" t="s">
        <v>149</v>
      </c>
      <c r="B42" t="s">
        <v>57</v>
      </c>
      <c r="C42" t="s">
        <v>19</v>
      </c>
      <c r="D42" t="s">
        <v>2277</v>
      </c>
      <c r="E42" t="s">
        <v>2282</v>
      </c>
      <c r="F42">
        <v>2024</v>
      </c>
      <c r="G42" t="s">
        <v>2285</v>
      </c>
      <c r="H42">
        <v>500</v>
      </c>
      <c r="I42">
        <v>101</v>
      </c>
      <c r="J42" cm="1">
        <f t="array" aca="1" ref="J42" ca="1">_xlfn.UNIQUE(Table1_1[#All],2,FALSE)</f>
        <v>0</v>
      </c>
    </row>
    <row r="43" spans="1:10" x14ac:dyDescent="0.3">
      <c r="A43" t="s">
        <v>507</v>
      </c>
      <c r="B43" t="s">
        <v>28</v>
      </c>
      <c r="C43" t="s">
        <v>2276</v>
      </c>
      <c r="D43" t="s">
        <v>2284</v>
      </c>
      <c r="E43" t="s">
        <v>2278</v>
      </c>
      <c r="F43">
        <v>2023</v>
      </c>
      <c r="G43" t="s">
        <v>2279</v>
      </c>
      <c r="H43">
        <v>900</v>
      </c>
      <c r="I43">
        <v>241</v>
      </c>
      <c r="J43" cm="1">
        <f t="array" aca="1" ref="J43" ca="1">_xlfn.UNIQUE(Table1_1[#All],2,FALSE)</f>
        <v>0</v>
      </c>
    </row>
    <row r="44" spans="1:10" x14ac:dyDescent="0.3">
      <c r="A44" t="s">
        <v>709</v>
      </c>
      <c r="B44" t="s">
        <v>73</v>
      </c>
      <c r="C44" t="s">
        <v>19</v>
      </c>
      <c r="D44" t="s">
        <v>2286</v>
      </c>
      <c r="E44" t="s">
        <v>2278</v>
      </c>
      <c r="F44">
        <v>2023</v>
      </c>
      <c r="G44" t="s">
        <v>2289</v>
      </c>
      <c r="H44">
        <v>1500</v>
      </c>
      <c r="I44">
        <v>278</v>
      </c>
      <c r="J44" cm="1">
        <f t="array" aca="1" ref="J44" ca="1">_xlfn.UNIQUE(Table1_1[#All],2,FALSE)</f>
        <v>0</v>
      </c>
    </row>
    <row r="45" spans="1:10" x14ac:dyDescent="0.3">
      <c r="A45" t="s">
        <v>739</v>
      </c>
      <c r="B45" t="s">
        <v>57</v>
      </c>
      <c r="C45" t="s">
        <v>2280</v>
      </c>
      <c r="D45" t="s">
        <v>29</v>
      </c>
      <c r="E45" t="s">
        <v>2287</v>
      </c>
      <c r="F45">
        <v>2021</v>
      </c>
      <c r="G45" t="s">
        <v>2283</v>
      </c>
      <c r="H45">
        <v>1500</v>
      </c>
      <c r="I45">
        <v>282</v>
      </c>
      <c r="J45" cm="1">
        <f t="array" aca="1" ref="J45" ca="1">_xlfn.UNIQUE(Table1_1[#All],2,FALSE)</f>
        <v>0</v>
      </c>
    </row>
    <row r="46" spans="1:10" x14ac:dyDescent="0.3">
      <c r="A46" t="s">
        <v>1027</v>
      </c>
      <c r="B46" t="s">
        <v>64</v>
      </c>
      <c r="C46" t="s">
        <v>19</v>
      </c>
      <c r="D46" t="s">
        <v>2281</v>
      </c>
      <c r="E46" t="s">
        <v>2282</v>
      </c>
      <c r="F46">
        <v>2021</v>
      </c>
      <c r="G46" t="s">
        <v>2283</v>
      </c>
      <c r="H46">
        <v>1500</v>
      </c>
      <c r="I46">
        <v>123</v>
      </c>
      <c r="J46" cm="1">
        <f t="array" aca="1" ref="J46" ca="1">_xlfn.UNIQUE(Table1_1[#All],2,FALSE)</f>
        <v>0</v>
      </c>
    </row>
    <row r="47" spans="1:10" x14ac:dyDescent="0.3">
      <c r="A47" t="s">
        <v>278</v>
      </c>
      <c r="B47" t="s">
        <v>98</v>
      </c>
      <c r="C47" t="s">
        <v>2276</v>
      </c>
      <c r="D47" t="s">
        <v>29</v>
      </c>
      <c r="E47" t="s">
        <v>2278</v>
      </c>
      <c r="F47">
        <v>2022</v>
      </c>
      <c r="G47" t="s">
        <v>2285</v>
      </c>
      <c r="H47">
        <v>1200</v>
      </c>
      <c r="I47">
        <v>32</v>
      </c>
      <c r="J47" cm="1">
        <f t="array" aca="1" ref="J47" ca="1">_xlfn.UNIQUE(Table1_1[#All],2,FALSE)</f>
        <v>0</v>
      </c>
    </row>
    <row r="48" spans="1:10" x14ac:dyDescent="0.3">
      <c r="A48" t="s">
        <v>1316</v>
      </c>
      <c r="B48" t="s">
        <v>28</v>
      </c>
      <c r="C48" t="s">
        <v>2280</v>
      </c>
      <c r="D48" t="s">
        <v>2286</v>
      </c>
      <c r="E48" t="s">
        <v>2282</v>
      </c>
      <c r="F48">
        <v>2023</v>
      </c>
      <c r="G48" t="s">
        <v>2283</v>
      </c>
      <c r="H48">
        <v>1500</v>
      </c>
      <c r="I48">
        <v>292</v>
      </c>
      <c r="J48" cm="1">
        <f t="array" aca="1" ref="J48" ca="1">_xlfn.UNIQUE(Table1_1[#All],2,FALSE)</f>
        <v>0</v>
      </c>
    </row>
    <row r="49" spans="1:10" x14ac:dyDescent="0.3">
      <c r="A49" t="s">
        <v>635</v>
      </c>
      <c r="B49" t="s">
        <v>57</v>
      </c>
      <c r="C49" t="s">
        <v>19</v>
      </c>
      <c r="D49" t="s">
        <v>2281</v>
      </c>
      <c r="E49" t="s">
        <v>2278</v>
      </c>
      <c r="F49">
        <v>2022</v>
      </c>
      <c r="G49" t="s">
        <v>2285</v>
      </c>
      <c r="H49">
        <v>900</v>
      </c>
      <c r="I49">
        <v>263</v>
      </c>
      <c r="J49" cm="1">
        <f t="array" aca="1" ref="J49" ca="1">_xlfn.UNIQUE(Table1_1[#All],2,FALSE)</f>
        <v>0</v>
      </c>
    </row>
    <row r="50" spans="1:10" x14ac:dyDescent="0.3">
      <c r="A50" t="s">
        <v>27</v>
      </c>
      <c r="B50" t="s">
        <v>28</v>
      </c>
      <c r="C50" t="s">
        <v>2280</v>
      </c>
      <c r="D50" t="s">
        <v>29</v>
      </c>
      <c r="E50" t="s">
        <v>2278</v>
      </c>
      <c r="F50">
        <v>2021</v>
      </c>
      <c r="G50" t="s">
        <v>2285</v>
      </c>
      <c r="H50">
        <v>900</v>
      </c>
      <c r="I50">
        <v>30</v>
      </c>
      <c r="J50" cm="1">
        <f t="array" aca="1" ref="J50" ca="1">_xlfn.UNIQUE(Table1_1[#All],2,FALSE)</f>
        <v>0</v>
      </c>
    </row>
    <row r="51" spans="1:10" x14ac:dyDescent="0.3">
      <c r="A51" t="s">
        <v>615</v>
      </c>
      <c r="B51" t="s">
        <v>64</v>
      </c>
      <c r="C51" t="s">
        <v>2288</v>
      </c>
      <c r="D51" t="s">
        <v>2281</v>
      </c>
      <c r="E51" t="s">
        <v>2287</v>
      </c>
      <c r="F51">
        <v>2024</v>
      </c>
      <c r="G51" t="s">
        <v>2279</v>
      </c>
      <c r="H51">
        <v>1500</v>
      </c>
      <c r="I51">
        <v>98</v>
      </c>
      <c r="J51" cm="1">
        <f t="array" aca="1" ref="J51" ca="1">_xlfn.UNIQUE(Table1_1[#All],2,FALSE)</f>
        <v>0</v>
      </c>
    </row>
    <row r="52" spans="1:10" x14ac:dyDescent="0.3">
      <c r="A52" t="s">
        <v>540</v>
      </c>
      <c r="B52" t="s">
        <v>57</v>
      </c>
      <c r="C52" t="s">
        <v>2288</v>
      </c>
      <c r="D52" t="s">
        <v>2281</v>
      </c>
      <c r="E52" t="s">
        <v>2282</v>
      </c>
      <c r="F52">
        <v>2022</v>
      </c>
      <c r="G52" t="s">
        <v>2289</v>
      </c>
      <c r="H52">
        <v>1500</v>
      </c>
      <c r="I52">
        <v>104</v>
      </c>
      <c r="J52" cm="1">
        <f t="array" aca="1" ref="J52" ca="1">_xlfn.UNIQUE(Table1_1[#All],2,FALSE)</f>
        <v>0</v>
      </c>
    </row>
    <row r="53" spans="1:10" x14ac:dyDescent="0.3">
      <c r="A53" t="s">
        <v>281</v>
      </c>
      <c r="B53" t="s">
        <v>73</v>
      </c>
      <c r="C53" t="s">
        <v>2280</v>
      </c>
      <c r="D53" t="s">
        <v>2286</v>
      </c>
      <c r="E53" t="s">
        <v>2287</v>
      </c>
      <c r="F53">
        <v>2021</v>
      </c>
      <c r="G53" t="s">
        <v>2285</v>
      </c>
      <c r="H53">
        <v>1200</v>
      </c>
      <c r="I53">
        <v>101</v>
      </c>
      <c r="J53" cm="1">
        <f t="array" aca="1" ref="J53" ca="1">_xlfn.UNIQUE(Table1_1[#All],2,FALSE)</f>
        <v>0</v>
      </c>
    </row>
    <row r="54" spans="1:10" x14ac:dyDescent="0.3">
      <c r="A54" t="s">
        <v>674</v>
      </c>
      <c r="B54" t="s">
        <v>57</v>
      </c>
      <c r="C54" t="s">
        <v>19</v>
      </c>
      <c r="D54" t="s">
        <v>2286</v>
      </c>
      <c r="E54" t="s">
        <v>2282</v>
      </c>
      <c r="F54">
        <v>2024</v>
      </c>
      <c r="G54" t="s">
        <v>2283</v>
      </c>
      <c r="H54">
        <v>1200</v>
      </c>
      <c r="I54">
        <v>61</v>
      </c>
      <c r="J54" cm="1">
        <f t="array" aca="1" ref="J54" ca="1">_xlfn.UNIQUE(Table1_1[#All],2,FALSE)</f>
        <v>0</v>
      </c>
    </row>
    <row r="55" spans="1:10" x14ac:dyDescent="0.3">
      <c r="A55" t="s">
        <v>566</v>
      </c>
      <c r="B55" t="s">
        <v>64</v>
      </c>
      <c r="C55" t="s">
        <v>2288</v>
      </c>
      <c r="D55" t="s">
        <v>29</v>
      </c>
      <c r="E55" t="s">
        <v>2282</v>
      </c>
      <c r="F55">
        <v>2023</v>
      </c>
      <c r="G55" t="s">
        <v>2289</v>
      </c>
      <c r="H55">
        <v>900</v>
      </c>
      <c r="I55">
        <v>204</v>
      </c>
      <c r="J55" cm="1">
        <f t="array" aca="1" ref="J55" ca="1">_xlfn.UNIQUE(Table1_1[#All],2,FALSE)</f>
        <v>0</v>
      </c>
    </row>
    <row r="56" spans="1:10" x14ac:dyDescent="0.3">
      <c r="A56" t="s">
        <v>115</v>
      </c>
      <c r="B56" t="s">
        <v>57</v>
      </c>
      <c r="C56" t="s">
        <v>2276</v>
      </c>
      <c r="D56" t="s">
        <v>2286</v>
      </c>
      <c r="E56" t="s">
        <v>2278</v>
      </c>
      <c r="F56">
        <v>2022</v>
      </c>
      <c r="G56" t="s">
        <v>2285</v>
      </c>
      <c r="H56">
        <v>900</v>
      </c>
      <c r="I56">
        <v>71</v>
      </c>
      <c r="J56" cm="1">
        <f t="array" aca="1" ref="J56" ca="1">_xlfn.UNIQUE(Table1_1[#All],2,FALSE)</f>
        <v>0</v>
      </c>
    </row>
    <row r="57" spans="1:10" x14ac:dyDescent="0.3">
      <c r="A57" t="s">
        <v>400</v>
      </c>
      <c r="B57" t="s">
        <v>57</v>
      </c>
      <c r="C57" t="s">
        <v>2280</v>
      </c>
      <c r="D57" t="s">
        <v>2284</v>
      </c>
      <c r="E57" t="s">
        <v>2282</v>
      </c>
      <c r="F57">
        <v>2021</v>
      </c>
      <c r="G57" t="s">
        <v>2283</v>
      </c>
      <c r="H57">
        <v>700</v>
      </c>
      <c r="I57">
        <v>153</v>
      </c>
      <c r="J57" cm="1">
        <f t="array" aca="1" ref="J57" ca="1">_xlfn.UNIQUE(Table1_1[#All],2,FALSE)</f>
        <v>0</v>
      </c>
    </row>
    <row r="58" spans="1:10" x14ac:dyDescent="0.3">
      <c r="A58" t="s">
        <v>184</v>
      </c>
      <c r="B58" t="s">
        <v>98</v>
      </c>
      <c r="C58" t="s">
        <v>2288</v>
      </c>
      <c r="D58" t="s">
        <v>29</v>
      </c>
      <c r="E58" t="s">
        <v>2282</v>
      </c>
      <c r="F58">
        <v>2021</v>
      </c>
      <c r="G58" t="s">
        <v>2289</v>
      </c>
      <c r="H58">
        <v>900</v>
      </c>
      <c r="I58">
        <v>147</v>
      </c>
      <c r="J58" cm="1">
        <f t="array" aca="1" ref="J58" ca="1">_xlfn.UNIQUE(Table1_1[#All],2,FALSE)</f>
        <v>0</v>
      </c>
    </row>
    <row r="59" spans="1:10" x14ac:dyDescent="0.3">
      <c r="A59" t="s">
        <v>2033</v>
      </c>
      <c r="B59" t="s">
        <v>64</v>
      </c>
      <c r="C59" t="s">
        <v>2280</v>
      </c>
      <c r="D59" t="s">
        <v>2284</v>
      </c>
      <c r="E59" t="s">
        <v>2278</v>
      </c>
      <c r="F59">
        <v>2021</v>
      </c>
      <c r="G59" t="s">
        <v>2285</v>
      </c>
      <c r="H59">
        <v>1200</v>
      </c>
      <c r="I59">
        <v>39</v>
      </c>
      <c r="J59" cm="1">
        <f t="array" aca="1" ref="J59" ca="1">_xlfn.UNIQUE(Table1_1[#All],2,FALSE)</f>
        <v>0</v>
      </c>
    </row>
    <row r="60" spans="1:10" x14ac:dyDescent="0.3">
      <c r="A60" t="s">
        <v>154</v>
      </c>
      <c r="B60" t="s">
        <v>98</v>
      </c>
      <c r="C60" t="s">
        <v>37</v>
      </c>
      <c r="D60" t="s">
        <v>2277</v>
      </c>
      <c r="E60" t="s">
        <v>2282</v>
      </c>
      <c r="F60">
        <v>2023</v>
      </c>
      <c r="G60" t="s">
        <v>2285</v>
      </c>
      <c r="H60">
        <v>900</v>
      </c>
      <c r="I60">
        <v>90</v>
      </c>
      <c r="J60" cm="1">
        <f t="array" aca="1" ref="J60" ca="1">_xlfn.UNIQUE(Table1_1[#All],2,FALSE)</f>
        <v>0</v>
      </c>
    </row>
    <row r="61" spans="1:10" x14ac:dyDescent="0.3">
      <c r="A61" t="s">
        <v>178</v>
      </c>
      <c r="B61" t="s">
        <v>73</v>
      </c>
      <c r="C61" t="s">
        <v>37</v>
      </c>
      <c r="D61" t="s">
        <v>2284</v>
      </c>
      <c r="E61" t="s">
        <v>2282</v>
      </c>
      <c r="F61">
        <v>2022</v>
      </c>
      <c r="G61" t="s">
        <v>2289</v>
      </c>
      <c r="H61">
        <v>1200</v>
      </c>
      <c r="I61">
        <v>154</v>
      </c>
      <c r="J61" cm="1">
        <f t="array" aca="1" ref="J61" ca="1">_xlfn.UNIQUE(Table1_1[#All],2,FALSE)</f>
        <v>0</v>
      </c>
    </row>
    <row r="62" spans="1:10" x14ac:dyDescent="0.3">
      <c r="A62" t="s">
        <v>512</v>
      </c>
      <c r="B62" t="s">
        <v>98</v>
      </c>
      <c r="C62" t="s">
        <v>2280</v>
      </c>
      <c r="D62" t="s">
        <v>2286</v>
      </c>
      <c r="E62" t="s">
        <v>2282</v>
      </c>
      <c r="F62">
        <v>2024</v>
      </c>
      <c r="G62" t="s">
        <v>2289</v>
      </c>
      <c r="H62">
        <v>500</v>
      </c>
      <c r="I62">
        <v>80</v>
      </c>
      <c r="J62" cm="1">
        <f t="array" aca="1" ref="J62" ca="1">_xlfn.UNIQUE(Table1_1[#All],2,FALSE)</f>
        <v>0</v>
      </c>
    </row>
    <row r="63" spans="1:10" x14ac:dyDescent="0.3">
      <c r="A63" t="s">
        <v>431</v>
      </c>
      <c r="B63" t="s">
        <v>98</v>
      </c>
      <c r="C63" t="s">
        <v>2276</v>
      </c>
      <c r="D63" t="s">
        <v>29</v>
      </c>
      <c r="E63" t="s">
        <v>2278</v>
      </c>
      <c r="F63">
        <v>2022</v>
      </c>
      <c r="G63" t="s">
        <v>2285</v>
      </c>
      <c r="H63">
        <v>700</v>
      </c>
      <c r="I63">
        <v>68</v>
      </c>
      <c r="J63" cm="1">
        <f t="array" aca="1" ref="J63" ca="1">_xlfn.UNIQUE(Table1_1[#All],2,FALSE)</f>
        <v>0</v>
      </c>
    </row>
    <row r="64" spans="1:10" x14ac:dyDescent="0.3">
      <c r="A64" t="s">
        <v>795</v>
      </c>
      <c r="B64" t="s">
        <v>98</v>
      </c>
      <c r="C64" t="s">
        <v>37</v>
      </c>
      <c r="D64" t="s">
        <v>2286</v>
      </c>
      <c r="E64" t="s">
        <v>2287</v>
      </c>
      <c r="F64">
        <v>2024</v>
      </c>
      <c r="G64" t="s">
        <v>2289</v>
      </c>
      <c r="H64">
        <v>1500</v>
      </c>
      <c r="I64">
        <v>109</v>
      </c>
      <c r="J64" cm="1">
        <f t="array" aca="1" ref="J64" ca="1">_xlfn.UNIQUE(Table1_1[#All],2,FALSE)</f>
        <v>0</v>
      </c>
    </row>
    <row r="65" spans="1:10" x14ac:dyDescent="0.3">
      <c r="A65" t="s">
        <v>157</v>
      </c>
      <c r="B65" t="s">
        <v>28</v>
      </c>
      <c r="C65" t="s">
        <v>19</v>
      </c>
      <c r="D65" t="s">
        <v>29</v>
      </c>
      <c r="E65" t="s">
        <v>2282</v>
      </c>
      <c r="F65">
        <v>2021</v>
      </c>
      <c r="G65" t="s">
        <v>2285</v>
      </c>
      <c r="H65">
        <v>900</v>
      </c>
      <c r="I65">
        <v>220</v>
      </c>
      <c r="J65" cm="1">
        <f t="array" aca="1" ref="J65" ca="1">_xlfn.UNIQUE(Table1_1[#All],2,FALSE)</f>
        <v>0</v>
      </c>
    </row>
    <row r="66" spans="1:10" x14ac:dyDescent="0.3">
      <c r="A66" t="s">
        <v>629</v>
      </c>
      <c r="B66" t="s">
        <v>64</v>
      </c>
      <c r="C66" t="s">
        <v>2288</v>
      </c>
      <c r="D66" t="s">
        <v>2284</v>
      </c>
      <c r="E66" t="s">
        <v>2287</v>
      </c>
      <c r="F66">
        <v>2021</v>
      </c>
      <c r="G66" t="s">
        <v>2283</v>
      </c>
      <c r="H66">
        <v>900</v>
      </c>
      <c r="I66">
        <v>191</v>
      </c>
      <c r="J66" cm="1">
        <f t="array" aca="1" ref="J66" ca="1">_xlfn.UNIQUE(Table1_1[#All],2,FALSE)</f>
        <v>0</v>
      </c>
    </row>
    <row r="67" spans="1:10" x14ac:dyDescent="0.3">
      <c r="A67" t="s">
        <v>1662</v>
      </c>
      <c r="B67" t="s">
        <v>28</v>
      </c>
      <c r="C67" t="s">
        <v>2276</v>
      </c>
      <c r="D67" t="s">
        <v>2286</v>
      </c>
      <c r="E67" t="s">
        <v>2287</v>
      </c>
      <c r="F67">
        <v>2024</v>
      </c>
      <c r="G67" t="s">
        <v>2289</v>
      </c>
      <c r="H67">
        <v>1500</v>
      </c>
      <c r="I67">
        <v>42</v>
      </c>
      <c r="J67" cm="1">
        <f t="array" aca="1" ref="J67" ca="1">_xlfn.UNIQUE(Table1_1[#All],2,FALSE)</f>
        <v>0</v>
      </c>
    </row>
    <row r="68" spans="1:10" x14ac:dyDescent="0.3">
      <c r="A68" t="s">
        <v>392</v>
      </c>
      <c r="B68" t="s">
        <v>28</v>
      </c>
      <c r="C68" t="s">
        <v>37</v>
      </c>
      <c r="D68" t="s">
        <v>29</v>
      </c>
      <c r="E68" t="s">
        <v>2278</v>
      </c>
      <c r="F68">
        <v>2023</v>
      </c>
      <c r="G68" t="s">
        <v>2285</v>
      </c>
      <c r="H68">
        <v>700</v>
      </c>
      <c r="I68">
        <v>253</v>
      </c>
      <c r="J68" cm="1">
        <f t="array" aca="1" ref="J68" ca="1">_xlfn.UNIQUE(Table1_1[#All],2,FALSE)</f>
        <v>0</v>
      </c>
    </row>
    <row r="69" spans="1:10" x14ac:dyDescent="0.3">
      <c r="A69" t="s">
        <v>518</v>
      </c>
      <c r="B69" t="s">
        <v>64</v>
      </c>
      <c r="C69" t="s">
        <v>2288</v>
      </c>
      <c r="D69" t="s">
        <v>2284</v>
      </c>
      <c r="E69" t="s">
        <v>2278</v>
      </c>
      <c r="F69">
        <v>2022</v>
      </c>
      <c r="G69" t="s">
        <v>2279</v>
      </c>
      <c r="H69">
        <v>1200</v>
      </c>
      <c r="I69">
        <v>107</v>
      </c>
      <c r="J69" cm="1">
        <f t="array" aca="1" ref="J69" ca="1">_xlfn.UNIQUE(Table1_1[#All],2,FALSE)</f>
        <v>0</v>
      </c>
    </row>
    <row r="70" spans="1:10" x14ac:dyDescent="0.3">
      <c r="A70" t="s">
        <v>1170</v>
      </c>
      <c r="B70" t="s">
        <v>64</v>
      </c>
      <c r="C70" t="s">
        <v>2280</v>
      </c>
      <c r="D70" t="s">
        <v>2286</v>
      </c>
      <c r="E70" t="s">
        <v>2278</v>
      </c>
      <c r="F70">
        <v>2021</v>
      </c>
      <c r="G70" t="s">
        <v>2279</v>
      </c>
      <c r="H70">
        <v>1500</v>
      </c>
      <c r="I70">
        <v>193</v>
      </c>
      <c r="J70" cm="1">
        <f t="array" aca="1" ref="J70" ca="1">_xlfn.UNIQUE(Table1_1[#All],2,FALSE)</f>
        <v>0</v>
      </c>
    </row>
    <row r="71" spans="1:10" x14ac:dyDescent="0.3">
      <c r="A71" t="s">
        <v>783</v>
      </c>
      <c r="B71" t="s">
        <v>98</v>
      </c>
      <c r="C71" t="s">
        <v>19</v>
      </c>
      <c r="D71" t="s">
        <v>29</v>
      </c>
      <c r="E71" t="s">
        <v>2278</v>
      </c>
      <c r="F71">
        <v>2024</v>
      </c>
      <c r="G71" t="s">
        <v>2283</v>
      </c>
      <c r="H71">
        <v>900</v>
      </c>
      <c r="I71">
        <v>169</v>
      </c>
      <c r="J71" cm="1">
        <f t="array" aca="1" ref="J71" ca="1">_xlfn.UNIQUE(Table1_1[#All],2,FALSE)</f>
        <v>0</v>
      </c>
    </row>
    <row r="72" spans="1:10" x14ac:dyDescent="0.3">
      <c r="A72" t="s">
        <v>240</v>
      </c>
      <c r="B72" t="s">
        <v>98</v>
      </c>
      <c r="C72" t="s">
        <v>2280</v>
      </c>
      <c r="D72" t="s">
        <v>2286</v>
      </c>
      <c r="E72" t="s">
        <v>2287</v>
      </c>
      <c r="F72">
        <v>2023</v>
      </c>
      <c r="G72" t="s">
        <v>2289</v>
      </c>
      <c r="H72">
        <v>500</v>
      </c>
      <c r="I72">
        <v>237</v>
      </c>
      <c r="J72" cm="1">
        <f t="array" aca="1" ref="J72" ca="1">_xlfn.UNIQUE(Table1_1[#All],2,FALSE)</f>
        <v>0</v>
      </c>
    </row>
    <row r="73" spans="1:10" x14ac:dyDescent="0.3">
      <c r="A73" t="s">
        <v>250</v>
      </c>
      <c r="B73" t="s">
        <v>28</v>
      </c>
      <c r="C73" t="s">
        <v>37</v>
      </c>
      <c r="D73" t="s">
        <v>2277</v>
      </c>
      <c r="E73" t="s">
        <v>2282</v>
      </c>
      <c r="F73">
        <v>2023</v>
      </c>
      <c r="G73" t="s">
        <v>2285</v>
      </c>
      <c r="H73">
        <v>1200</v>
      </c>
      <c r="I73">
        <v>97</v>
      </c>
      <c r="J73" cm="1">
        <f t="array" aca="1" ref="J73" ca="1">_xlfn.UNIQUE(Table1_1[#All],2,FALSE)</f>
        <v>0</v>
      </c>
    </row>
    <row r="74" spans="1:10" x14ac:dyDescent="0.3">
      <c r="A74" t="s">
        <v>521</v>
      </c>
      <c r="B74" t="s">
        <v>73</v>
      </c>
      <c r="C74" t="s">
        <v>2280</v>
      </c>
      <c r="D74" t="s">
        <v>2277</v>
      </c>
      <c r="E74" t="s">
        <v>2278</v>
      </c>
      <c r="F74">
        <v>2021</v>
      </c>
      <c r="G74" t="s">
        <v>2279</v>
      </c>
      <c r="H74">
        <v>1500</v>
      </c>
      <c r="I74">
        <v>234</v>
      </c>
      <c r="J74" cm="1">
        <f t="array" aca="1" ref="J74" ca="1">_xlfn.UNIQUE(Table1_1[#All],2,FALSE)</f>
        <v>0</v>
      </c>
    </row>
    <row r="75" spans="1:10" x14ac:dyDescent="0.3">
      <c r="A75" t="s">
        <v>210</v>
      </c>
      <c r="B75" t="s">
        <v>57</v>
      </c>
      <c r="C75" t="s">
        <v>2280</v>
      </c>
      <c r="D75" t="s">
        <v>2277</v>
      </c>
      <c r="E75" t="s">
        <v>2278</v>
      </c>
      <c r="F75">
        <v>2024</v>
      </c>
      <c r="G75" t="s">
        <v>2279</v>
      </c>
      <c r="H75">
        <v>700</v>
      </c>
      <c r="I75">
        <v>208</v>
      </c>
      <c r="J75" cm="1">
        <f t="array" aca="1" ref="J75" ca="1">_xlfn.UNIQUE(Table1_1[#All],2,FALSE)</f>
        <v>0</v>
      </c>
    </row>
    <row r="76" spans="1:10" x14ac:dyDescent="0.3">
      <c r="A76" t="s">
        <v>169</v>
      </c>
      <c r="B76" t="s">
        <v>57</v>
      </c>
      <c r="C76" t="s">
        <v>19</v>
      </c>
      <c r="D76" t="s">
        <v>2277</v>
      </c>
      <c r="E76" t="s">
        <v>2287</v>
      </c>
      <c r="F76">
        <v>2023</v>
      </c>
      <c r="G76" t="s">
        <v>2283</v>
      </c>
      <c r="H76">
        <v>1500</v>
      </c>
      <c r="I76">
        <v>211</v>
      </c>
      <c r="J76" cm="1">
        <f t="array" aca="1" ref="J76" ca="1">_xlfn.UNIQUE(Table1_1[#All],2,FALSE)</f>
        <v>0</v>
      </c>
    </row>
    <row r="77" spans="1:10" x14ac:dyDescent="0.3">
      <c r="A77" t="s">
        <v>482</v>
      </c>
      <c r="B77" t="s">
        <v>73</v>
      </c>
      <c r="C77" t="s">
        <v>2276</v>
      </c>
      <c r="D77" t="s">
        <v>2281</v>
      </c>
      <c r="E77" t="s">
        <v>2287</v>
      </c>
      <c r="F77">
        <v>2021</v>
      </c>
      <c r="G77" t="s">
        <v>2283</v>
      </c>
      <c r="H77">
        <v>700</v>
      </c>
      <c r="I77">
        <v>109</v>
      </c>
      <c r="J77" cm="1">
        <f t="array" aca="1" ref="J77" ca="1">_xlfn.UNIQUE(Table1_1[#All],2,FALSE)</f>
        <v>0</v>
      </c>
    </row>
    <row r="78" spans="1:10" x14ac:dyDescent="0.3">
      <c r="A78" t="s">
        <v>1129</v>
      </c>
      <c r="B78" t="s">
        <v>98</v>
      </c>
      <c r="C78" t="s">
        <v>2280</v>
      </c>
      <c r="D78" t="s">
        <v>2281</v>
      </c>
      <c r="E78" t="s">
        <v>2278</v>
      </c>
      <c r="F78">
        <v>2022</v>
      </c>
      <c r="G78" t="s">
        <v>2285</v>
      </c>
      <c r="H78">
        <v>1500</v>
      </c>
      <c r="I78">
        <v>273</v>
      </c>
      <c r="J78" cm="1">
        <f t="array" aca="1" ref="J78" ca="1">_xlfn.UNIQUE(Table1_1[#All],2,FALSE)</f>
        <v>0</v>
      </c>
    </row>
    <row r="79" spans="1:10" x14ac:dyDescent="0.3">
      <c r="A79" t="s">
        <v>1470</v>
      </c>
      <c r="B79" t="s">
        <v>73</v>
      </c>
      <c r="C79" t="s">
        <v>19</v>
      </c>
      <c r="D79" t="s">
        <v>2284</v>
      </c>
      <c r="E79" t="s">
        <v>2278</v>
      </c>
      <c r="F79">
        <v>2023</v>
      </c>
      <c r="G79" t="s">
        <v>2285</v>
      </c>
      <c r="H79">
        <v>1200</v>
      </c>
      <c r="I79">
        <v>173</v>
      </c>
      <c r="J79" cm="1">
        <f t="array" aca="1" ref="J79" ca="1">_xlfn.UNIQUE(Table1_1[#All],2,FALSE)</f>
        <v>0</v>
      </c>
    </row>
    <row r="80" spans="1:10" x14ac:dyDescent="0.3">
      <c r="A80" t="s">
        <v>405</v>
      </c>
      <c r="B80" t="s">
        <v>98</v>
      </c>
      <c r="C80" t="s">
        <v>2276</v>
      </c>
      <c r="D80" t="s">
        <v>29</v>
      </c>
      <c r="E80" t="s">
        <v>2282</v>
      </c>
      <c r="F80">
        <v>2021</v>
      </c>
      <c r="G80" t="s">
        <v>2285</v>
      </c>
      <c r="H80">
        <v>1200</v>
      </c>
      <c r="I80">
        <v>38</v>
      </c>
      <c r="J80" cm="1">
        <f t="array" aca="1" ref="J80" ca="1">_xlfn.UNIQUE(Table1_1[#All],2,FALSE)</f>
        <v>0</v>
      </c>
    </row>
    <row r="81" spans="1:10" x14ac:dyDescent="0.3">
      <c r="A81" t="s">
        <v>471</v>
      </c>
      <c r="B81" t="s">
        <v>98</v>
      </c>
      <c r="C81" t="s">
        <v>2276</v>
      </c>
      <c r="D81" t="s">
        <v>2277</v>
      </c>
      <c r="E81" t="s">
        <v>2282</v>
      </c>
      <c r="F81">
        <v>2022</v>
      </c>
      <c r="G81" t="s">
        <v>2285</v>
      </c>
      <c r="H81">
        <v>700</v>
      </c>
      <c r="I81">
        <v>173</v>
      </c>
      <c r="J81" cm="1">
        <f t="array" aca="1" ref="J81" ca="1">_xlfn.UNIQUE(Table1_1[#All],2,FALSE)</f>
        <v>0</v>
      </c>
    </row>
    <row r="82" spans="1:10" x14ac:dyDescent="0.3">
      <c r="A82" t="s">
        <v>829</v>
      </c>
      <c r="B82" t="s">
        <v>98</v>
      </c>
      <c r="C82" t="s">
        <v>19</v>
      </c>
      <c r="D82" t="s">
        <v>2284</v>
      </c>
      <c r="E82" t="s">
        <v>2287</v>
      </c>
      <c r="F82">
        <v>2021</v>
      </c>
      <c r="G82" t="s">
        <v>2285</v>
      </c>
      <c r="H82">
        <v>1500</v>
      </c>
      <c r="I82">
        <v>226</v>
      </c>
      <c r="J82" cm="1">
        <f t="array" aca="1" ref="J82" ca="1">_xlfn.UNIQUE(Table1_1[#All],2,FALSE)</f>
        <v>0</v>
      </c>
    </row>
    <row r="83" spans="1:10" x14ac:dyDescent="0.3">
      <c r="A83" t="s">
        <v>1520</v>
      </c>
      <c r="B83" t="s">
        <v>57</v>
      </c>
      <c r="C83" t="s">
        <v>37</v>
      </c>
      <c r="D83" t="s">
        <v>2277</v>
      </c>
      <c r="E83" t="s">
        <v>2282</v>
      </c>
      <c r="F83">
        <v>2022</v>
      </c>
      <c r="G83" t="s">
        <v>2285</v>
      </c>
      <c r="H83">
        <v>500</v>
      </c>
      <c r="I83">
        <v>297</v>
      </c>
      <c r="J83" cm="1">
        <f t="array" aca="1" ref="J83" ca="1">_xlfn.UNIQUE(Table1_1[#All],2,FALSE)</f>
        <v>0</v>
      </c>
    </row>
    <row r="84" spans="1:10" x14ac:dyDescent="0.3">
      <c r="A84" t="s">
        <v>420</v>
      </c>
      <c r="B84" t="s">
        <v>64</v>
      </c>
      <c r="C84" t="s">
        <v>2276</v>
      </c>
      <c r="D84" t="s">
        <v>2281</v>
      </c>
      <c r="E84" t="s">
        <v>2278</v>
      </c>
      <c r="F84">
        <v>2023</v>
      </c>
      <c r="G84" t="s">
        <v>2279</v>
      </c>
      <c r="H84">
        <v>500</v>
      </c>
      <c r="I84">
        <v>201</v>
      </c>
      <c r="J84" cm="1">
        <f t="array" aca="1" ref="J84" ca="1">_xlfn.UNIQUE(Table1_1[#All],2,FALSE)</f>
        <v>0</v>
      </c>
    </row>
    <row r="85" spans="1:10" x14ac:dyDescent="0.3">
      <c r="A85" t="s">
        <v>93</v>
      </c>
      <c r="B85" t="s">
        <v>64</v>
      </c>
      <c r="C85" t="s">
        <v>37</v>
      </c>
      <c r="D85" t="s">
        <v>29</v>
      </c>
      <c r="E85" t="s">
        <v>2278</v>
      </c>
      <c r="F85">
        <v>2021</v>
      </c>
      <c r="G85" t="s">
        <v>2289</v>
      </c>
      <c r="H85">
        <v>700</v>
      </c>
      <c r="I85">
        <v>76</v>
      </c>
      <c r="J85" cm="1">
        <f t="array" aca="1" ref="J85" ca="1">_xlfn.UNIQUE(Table1_1[#All],2,FALSE)</f>
        <v>0</v>
      </c>
    </row>
    <row r="86" spans="1:10" x14ac:dyDescent="0.3">
      <c r="A86" t="s">
        <v>612</v>
      </c>
      <c r="B86" t="s">
        <v>57</v>
      </c>
      <c r="C86" t="s">
        <v>37</v>
      </c>
      <c r="D86" t="s">
        <v>29</v>
      </c>
      <c r="E86" t="s">
        <v>2278</v>
      </c>
      <c r="F86">
        <v>2021</v>
      </c>
      <c r="G86" t="s">
        <v>2283</v>
      </c>
      <c r="H86">
        <v>1200</v>
      </c>
      <c r="I86">
        <v>193</v>
      </c>
      <c r="J86" cm="1">
        <f t="array" aca="1" ref="J86" ca="1">_xlfn.UNIQUE(Table1_1[#All],2,FALSE)</f>
        <v>0</v>
      </c>
    </row>
    <row r="87" spans="1:10" x14ac:dyDescent="0.3">
      <c r="A87" t="s">
        <v>52</v>
      </c>
      <c r="B87" t="s">
        <v>28</v>
      </c>
      <c r="C87" t="s">
        <v>2288</v>
      </c>
      <c r="D87" t="s">
        <v>2284</v>
      </c>
      <c r="E87" t="s">
        <v>2278</v>
      </c>
      <c r="F87">
        <v>2022</v>
      </c>
      <c r="G87" t="s">
        <v>2283</v>
      </c>
      <c r="H87">
        <v>1500</v>
      </c>
      <c r="I87">
        <v>81</v>
      </c>
      <c r="J87" cm="1">
        <f t="array" aca="1" ref="J87" ca="1">_xlfn.UNIQUE(Table1_1[#All],2,FALSE)</f>
        <v>0</v>
      </c>
    </row>
    <row r="88" spans="1:10" x14ac:dyDescent="0.3">
      <c r="A88" t="s">
        <v>936</v>
      </c>
      <c r="B88" t="s">
        <v>57</v>
      </c>
      <c r="C88" t="s">
        <v>19</v>
      </c>
      <c r="D88" t="s">
        <v>2277</v>
      </c>
      <c r="E88" t="s">
        <v>2282</v>
      </c>
      <c r="F88">
        <v>2024</v>
      </c>
      <c r="G88" t="s">
        <v>2283</v>
      </c>
      <c r="H88">
        <v>1200</v>
      </c>
      <c r="I88">
        <v>231</v>
      </c>
      <c r="J88" cm="1">
        <f t="array" aca="1" ref="J88" ca="1">_xlfn.UNIQUE(Table1_1[#All],2,FALSE)</f>
        <v>0</v>
      </c>
    </row>
    <row r="89" spans="1:10" x14ac:dyDescent="0.3">
      <c r="A89" t="s">
        <v>1024</v>
      </c>
      <c r="B89" t="s">
        <v>28</v>
      </c>
      <c r="C89" t="s">
        <v>2280</v>
      </c>
      <c r="D89" t="s">
        <v>2281</v>
      </c>
      <c r="E89" t="s">
        <v>2282</v>
      </c>
      <c r="F89">
        <v>2021</v>
      </c>
      <c r="G89" t="s">
        <v>2285</v>
      </c>
      <c r="H89">
        <v>500</v>
      </c>
      <c r="I89">
        <v>286</v>
      </c>
      <c r="J89" cm="1">
        <f t="array" aca="1" ref="J89" ca="1">_xlfn.UNIQUE(Table1_1[#All],2,FALSE)</f>
        <v>0</v>
      </c>
    </row>
    <row r="90" spans="1:10" x14ac:dyDescent="0.3">
      <c r="A90" t="s">
        <v>856</v>
      </c>
      <c r="B90" t="s">
        <v>73</v>
      </c>
      <c r="C90" t="s">
        <v>19</v>
      </c>
      <c r="D90" t="s">
        <v>29</v>
      </c>
      <c r="E90" t="s">
        <v>2287</v>
      </c>
      <c r="F90">
        <v>2022</v>
      </c>
      <c r="G90" t="s">
        <v>2289</v>
      </c>
      <c r="H90">
        <v>1500</v>
      </c>
      <c r="I90">
        <v>34</v>
      </c>
      <c r="J90" cm="1">
        <f t="array" aca="1" ref="J90" ca="1">_xlfn.UNIQUE(Table1_1[#All],2,FALSE)</f>
        <v>0</v>
      </c>
    </row>
    <row r="91" spans="1:10" x14ac:dyDescent="0.3">
      <c r="A91" t="s">
        <v>295</v>
      </c>
      <c r="B91" t="s">
        <v>64</v>
      </c>
      <c r="C91" t="s">
        <v>2288</v>
      </c>
      <c r="D91" t="s">
        <v>2281</v>
      </c>
      <c r="E91" t="s">
        <v>2278</v>
      </c>
      <c r="F91">
        <v>2022</v>
      </c>
      <c r="G91" t="s">
        <v>2289</v>
      </c>
      <c r="H91">
        <v>1500</v>
      </c>
      <c r="I91">
        <v>24</v>
      </c>
      <c r="J91" cm="1">
        <f t="array" aca="1" ref="J91" ca="1">_xlfn.UNIQUE(Table1_1[#All],2,FALSE)</f>
        <v>0</v>
      </c>
    </row>
    <row r="92" spans="1:10" x14ac:dyDescent="0.3">
      <c r="A92" t="s">
        <v>454</v>
      </c>
      <c r="B92" t="s">
        <v>28</v>
      </c>
      <c r="C92" t="s">
        <v>2280</v>
      </c>
      <c r="D92" t="s">
        <v>29</v>
      </c>
      <c r="E92" t="s">
        <v>2282</v>
      </c>
      <c r="F92">
        <v>2022</v>
      </c>
      <c r="G92" t="s">
        <v>2279</v>
      </c>
      <c r="H92">
        <v>900</v>
      </c>
      <c r="I92">
        <v>220</v>
      </c>
      <c r="J92" cm="1">
        <f t="array" aca="1" ref="J92" ca="1">_xlfn.UNIQUE(Table1_1[#All],2,FALSE)</f>
        <v>0</v>
      </c>
    </row>
    <row r="93" spans="1:10" x14ac:dyDescent="0.3">
      <c r="A93" t="s">
        <v>958</v>
      </c>
      <c r="B93" t="s">
        <v>57</v>
      </c>
      <c r="C93" t="s">
        <v>19</v>
      </c>
      <c r="D93" t="s">
        <v>2277</v>
      </c>
      <c r="E93" t="s">
        <v>2287</v>
      </c>
      <c r="F93">
        <v>2022</v>
      </c>
      <c r="G93" t="s">
        <v>2283</v>
      </c>
      <c r="H93">
        <v>500</v>
      </c>
      <c r="I93">
        <v>117</v>
      </c>
      <c r="J93" cm="1">
        <f t="array" aca="1" ref="J93" ca="1">_xlfn.UNIQUE(Table1_1[#All],2,FALSE)</f>
        <v>0</v>
      </c>
    </row>
    <row r="94" spans="1:10" x14ac:dyDescent="0.3">
      <c r="A94" t="s">
        <v>105</v>
      </c>
      <c r="B94" t="s">
        <v>98</v>
      </c>
      <c r="C94" t="s">
        <v>2276</v>
      </c>
      <c r="D94" t="s">
        <v>2281</v>
      </c>
      <c r="E94" t="s">
        <v>2287</v>
      </c>
      <c r="F94">
        <v>2024</v>
      </c>
      <c r="G94" t="s">
        <v>2285</v>
      </c>
      <c r="H94">
        <v>1200</v>
      </c>
      <c r="I94">
        <v>49</v>
      </c>
      <c r="J94" cm="1">
        <f t="array" aca="1" ref="J94" ca="1">_xlfn.UNIQUE(Table1_1[#All],2,FALSE)</f>
        <v>0</v>
      </c>
    </row>
    <row r="95" spans="1:10" x14ac:dyDescent="0.3">
      <c r="A95" t="s">
        <v>1375</v>
      </c>
      <c r="B95" t="s">
        <v>57</v>
      </c>
      <c r="C95" t="s">
        <v>2280</v>
      </c>
      <c r="D95" t="s">
        <v>2284</v>
      </c>
      <c r="E95" t="s">
        <v>2287</v>
      </c>
      <c r="F95">
        <v>2021</v>
      </c>
      <c r="G95" t="s">
        <v>2289</v>
      </c>
      <c r="H95">
        <v>500</v>
      </c>
      <c r="I95">
        <v>145</v>
      </c>
      <c r="J95" cm="1">
        <f t="array" aca="1" ref="J95" ca="1">_xlfn.UNIQUE(Table1_1[#All],2,FALSE)</f>
        <v>0</v>
      </c>
    </row>
    <row r="96" spans="1:10" x14ac:dyDescent="0.3">
      <c r="A96" t="s">
        <v>384</v>
      </c>
      <c r="B96" t="s">
        <v>73</v>
      </c>
      <c r="C96" t="s">
        <v>2288</v>
      </c>
      <c r="D96" t="s">
        <v>2277</v>
      </c>
      <c r="E96" t="s">
        <v>2282</v>
      </c>
      <c r="F96">
        <v>2022</v>
      </c>
      <c r="G96" t="s">
        <v>2283</v>
      </c>
      <c r="H96">
        <v>1500</v>
      </c>
      <c r="I96">
        <v>110</v>
      </c>
      <c r="J96" cm="1">
        <f t="array" aca="1" ref="J96" ca="1">_xlfn.UNIQUE(Table1_1[#All],2,FALSE)</f>
        <v>0</v>
      </c>
    </row>
    <row r="97" spans="1:10" x14ac:dyDescent="0.3">
      <c r="A97" t="s">
        <v>111</v>
      </c>
      <c r="B97" t="s">
        <v>28</v>
      </c>
      <c r="C97" t="s">
        <v>2276</v>
      </c>
      <c r="D97" t="s">
        <v>29</v>
      </c>
      <c r="E97" t="s">
        <v>2278</v>
      </c>
      <c r="F97">
        <v>2021</v>
      </c>
      <c r="G97" t="s">
        <v>2285</v>
      </c>
      <c r="H97">
        <v>900</v>
      </c>
      <c r="I97">
        <v>36</v>
      </c>
      <c r="J97" cm="1">
        <f t="array" aca="1" ref="J97" ca="1">_xlfn.UNIQUE(Table1_1[#All],2,FALSE)</f>
        <v>0</v>
      </c>
    </row>
    <row r="98" spans="1:10" x14ac:dyDescent="0.3">
      <c r="A98" t="s">
        <v>816</v>
      </c>
      <c r="B98" t="s">
        <v>98</v>
      </c>
      <c r="C98" t="s">
        <v>2280</v>
      </c>
      <c r="D98" t="s">
        <v>2284</v>
      </c>
      <c r="E98" t="s">
        <v>2278</v>
      </c>
      <c r="F98">
        <v>2021</v>
      </c>
      <c r="G98" t="s">
        <v>2283</v>
      </c>
      <c r="H98">
        <v>1200</v>
      </c>
      <c r="I98">
        <v>49</v>
      </c>
      <c r="J98" cm="1">
        <f t="array" aca="1" ref="J98" ca="1">_xlfn.UNIQUE(Table1_1[#All],2,FALSE)</f>
        <v>0</v>
      </c>
    </row>
    <row r="99" spans="1:10" x14ac:dyDescent="0.3">
      <c r="A99" t="s">
        <v>1215</v>
      </c>
      <c r="B99" t="s">
        <v>64</v>
      </c>
      <c r="C99" t="s">
        <v>2276</v>
      </c>
      <c r="D99" t="s">
        <v>2286</v>
      </c>
      <c r="E99" t="s">
        <v>2282</v>
      </c>
      <c r="F99">
        <v>2021</v>
      </c>
      <c r="G99" t="s">
        <v>2279</v>
      </c>
      <c r="H99">
        <v>700</v>
      </c>
      <c r="I99">
        <v>55</v>
      </c>
      <c r="J99" cm="1">
        <f t="array" aca="1" ref="J99" ca="1">_xlfn.UNIQUE(Table1_1[#All],2,FALSE)</f>
        <v>0</v>
      </c>
    </row>
    <row r="100" spans="1:10" x14ac:dyDescent="0.3">
      <c r="A100" t="s">
        <v>550</v>
      </c>
      <c r="B100" t="s">
        <v>28</v>
      </c>
      <c r="C100" t="s">
        <v>2280</v>
      </c>
      <c r="D100" t="s">
        <v>29</v>
      </c>
      <c r="E100" t="s">
        <v>2278</v>
      </c>
      <c r="F100">
        <v>2021</v>
      </c>
      <c r="G100" t="s">
        <v>2285</v>
      </c>
      <c r="H100">
        <v>700</v>
      </c>
      <c r="I100">
        <v>215</v>
      </c>
      <c r="J100" cm="1">
        <f t="array" aca="1" ref="J100" ca="1">_xlfn.UNIQUE(Table1_1[#All],2,FALSE)</f>
        <v>0</v>
      </c>
    </row>
    <row r="101" spans="1:10" x14ac:dyDescent="0.3">
      <c r="A101" t="s">
        <v>263</v>
      </c>
      <c r="B101" t="s">
        <v>73</v>
      </c>
      <c r="C101" t="s">
        <v>2280</v>
      </c>
      <c r="D101" t="s">
        <v>2277</v>
      </c>
      <c r="E101" t="s">
        <v>2278</v>
      </c>
      <c r="F101">
        <v>2021</v>
      </c>
      <c r="G101" t="s">
        <v>2285</v>
      </c>
      <c r="H101">
        <v>1500</v>
      </c>
      <c r="I101">
        <v>27</v>
      </c>
      <c r="J101" cm="1">
        <f t="array" aca="1" ref="J101" ca="1">_xlfn.UNIQUE(Table1_1[#All],2,FALSE)</f>
        <v>0</v>
      </c>
    </row>
    <row r="102" spans="1:10" x14ac:dyDescent="0.3">
      <c r="A102" t="s">
        <v>1532</v>
      </c>
      <c r="B102" t="s">
        <v>73</v>
      </c>
      <c r="C102" t="s">
        <v>19</v>
      </c>
      <c r="D102" t="s">
        <v>2281</v>
      </c>
      <c r="E102" t="s">
        <v>2287</v>
      </c>
      <c r="F102">
        <v>2021</v>
      </c>
      <c r="G102" t="s">
        <v>2283</v>
      </c>
      <c r="H102">
        <v>1500</v>
      </c>
      <c r="I102">
        <v>195</v>
      </c>
      <c r="J102" cm="1">
        <f t="array" aca="1" ref="J102" ca="1">_xlfn.UNIQUE(Table1_1[#All],2,FALSE)</f>
        <v>0</v>
      </c>
    </row>
    <row r="103" spans="1:10" x14ac:dyDescent="0.3">
      <c r="A103" t="s">
        <v>1110</v>
      </c>
      <c r="B103" t="s">
        <v>28</v>
      </c>
      <c r="C103" t="s">
        <v>19</v>
      </c>
      <c r="D103" t="s">
        <v>2286</v>
      </c>
      <c r="E103" t="s">
        <v>2287</v>
      </c>
      <c r="F103">
        <v>2021</v>
      </c>
      <c r="G103" t="s">
        <v>2283</v>
      </c>
      <c r="H103">
        <v>900</v>
      </c>
      <c r="I103">
        <v>274</v>
      </c>
      <c r="J103" cm="1">
        <f t="array" aca="1" ref="J103" ca="1">_xlfn.UNIQUE(Table1_1[#All],2,FALSE)</f>
        <v>0</v>
      </c>
    </row>
    <row r="104" spans="1:10" x14ac:dyDescent="0.3">
      <c r="A104" t="s">
        <v>376</v>
      </c>
      <c r="B104" t="s">
        <v>98</v>
      </c>
      <c r="C104" t="s">
        <v>37</v>
      </c>
      <c r="D104" t="s">
        <v>2277</v>
      </c>
      <c r="E104" t="s">
        <v>2278</v>
      </c>
      <c r="F104">
        <v>2021</v>
      </c>
      <c r="G104" t="s">
        <v>2283</v>
      </c>
      <c r="H104">
        <v>1500</v>
      </c>
      <c r="I104">
        <v>23</v>
      </c>
      <c r="J104" cm="1">
        <f t="array" aca="1" ref="J104" ca="1">_xlfn.UNIQUE(Table1_1[#All],2,FALSE)</f>
        <v>0</v>
      </c>
    </row>
    <row r="105" spans="1:10" x14ac:dyDescent="0.3">
      <c r="A105" t="s">
        <v>1782</v>
      </c>
      <c r="B105" t="s">
        <v>57</v>
      </c>
      <c r="C105" t="s">
        <v>2288</v>
      </c>
      <c r="D105" t="s">
        <v>2281</v>
      </c>
      <c r="E105" t="s">
        <v>2282</v>
      </c>
      <c r="F105">
        <v>2023</v>
      </c>
      <c r="G105" t="s">
        <v>2285</v>
      </c>
      <c r="H105">
        <v>1500</v>
      </c>
      <c r="I105">
        <v>279</v>
      </c>
      <c r="J105" cm="1">
        <f t="array" aca="1" ref="J105" ca="1">_xlfn.UNIQUE(Table1_1[#All],2,FALSE)</f>
        <v>0</v>
      </c>
    </row>
    <row r="106" spans="1:10" x14ac:dyDescent="0.3">
      <c r="A106" t="s">
        <v>81</v>
      </c>
      <c r="B106" t="s">
        <v>64</v>
      </c>
      <c r="C106" t="s">
        <v>2276</v>
      </c>
      <c r="D106" t="s">
        <v>2277</v>
      </c>
      <c r="E106" t="s">
        <v>2287</v>
      </c>
      <c r="F106">
        <v>2024</v>
      </c>
      <c r="G106" t="s">
        <v>2285</v>
      </c>
      <c r="H106">
        <v>1200</v>
      </c>
      <c r="I106">
        <v>22</v>
      </c>
      <c r="J106" cm="1">
        <f t="array" aca="1" ref="J106" ca="1">_xlfn.UNIQUE(Table1_1[#All],2,FALSE)</f>
        <v>0</v>
      </c>
    </row>
    <row r="107" spans="1:10" x14ac:dyDescent="0.3">
      <c r="A107" t="s">
        <v>1252</v>
      </c>
      <c r="B107" t="s">
        <v>64</v>
      </c>
      <c r="C107" t="s">
        <v>19</v>
      </c>
      <c r="D107" t="s">
        <v>2284</v>
      </c>
      <c r="E107" t="s">
        <v>2287</v>
      </c>
      <c r="F107">
        <v>2022</v>
      </c>
      <c r="G107" t="s">
        <v>2283</v>
      </c>
      <c r="H107">
        <v>700</v>
      </c>
      <c r="I107">
        <v>94</v>
      </c>
      <c r="J107" cm="1">
        <f t="array" aca="1" ref="J107" ca="1">_xlfn.UNIQUE(Table1_1[#All],2,FALSE)</f>
        <v>0</v>
      </c>
    </row>
    <row r="108" spans="1:10" x14ac:dyDescent="0.3">
      <c r="A108" t="s">
        <v>1651</v>
      </c>
      <c r="B108" t="s">
        <v>57</v>
      </c>
      <c r="C108" t="s">
        <v>19</v>
      </c>
      <c r="D108" t="s">
        <v>2277</v>
      </c>
      <c r="E108" t="s">
        <v>2282</v>
      </c>
      <c r="F108">
        <v>2023</v>
      </c>
      <c r="G108" t="s">
        <v>2279</v>
      </c>
      <c r="H108">
        <v>500</v>
      </c>
      <c r="I108">
        <v>139</v>
      </c>
      <c r="J108" cm="1">
        <f t="array" aca="1" ref="J108" ca="1">_xlfn.UNIQUE(Table1_1[#All],2,FALSE)</f>
        <v>0</v>
      </c>
    </row>
    <row r="109" spans="1:10" x14ac:dyDescent="0.3">
      <c r="A109" t="s">
        <v>425</v>
      </c>
      <c r="B109" t="s">
        <v>73</v>
      </c>
      <c r="C109" t="s">
        <v>2288</v>
      </c>
      <c r="D109" t="s">
        <v>2284</v>
      </c>
      <c r="E109" t="s">
        <v>2282</v>
      </c>
      <c r="F109">
        <v>2023</v>
      </c>
      <c r="G109" t="s">
        <v>2285</v>
      </c>
      <c r="H109">
        <v>1500</v>
      </c>
      <c r="I109">
        <v>96</v>
      </c>
      <c r="J109" cm="1">
        <f t="array" aca="1" ref="J109" ca="1">_xlfn.UNIQUE(Table1_1[#All],2,FALSE)</f>
        <v>0</v>
      </c>
    </row>
    <row r="110" spans="1:10" x14ac:dyDescent="0.3">
      <c r="A110" t="s">
        <v>643</v>
      </c>
      <c r="B110" t="s">
        <v>98</v>
      </c>
      <c r="C110" t="s">
        <v>2276</v>
      </c>
      <c r="D110" t="s">
        <v>2286</v>
      </c>
      <c r="E110" t="s">
        <v>2282</v>
      </c>
      <c r="F110">
        <v>2022</v>
      </c>
      <c r="G110" t="s">
        <v>2289</v>
      </c>
      <c r="H110">
        <v>1200</v>
      </c>
      <c r="I110">
        <v>124</v>
      </c>
      <c r="J110" cm="1">
        <f t="array" aca="1" ref="J110" ca="1">_xlfn.UNIQUE(Table1_1[#All],2,FALSE)</f>
        <v>0</v>
      </c>
    </row>
    <row r="111" spans="1:10" x14ac:dyDescent="0.3">
      <c r="A111" t="s">
        <v>42</v>
      </c>
      <c r="B111" t="s">
        <v>73</v>
      </c>
      <c r="C111" t="s">
        <v>37</v>
      </c>
      <c r="D111" t="s">
        <v>2281</v>
      </c>
      <c r="E111" t="s">
        <v>2278</v>
      </c>
      <c r="F111">
        <v>2021</v>
      </c>
      <c r="G111" t="s">
        <v>2279</v>
      </c>
      <c r="H111">
        <v>900</v>
      </c>
      <c r="I111">
        <v>172</v>
      </c>
      <c r="J111" cm="1">
        <f t="array" aca="1" ref="J111" ca="1">_xlfn.UNIQUE(Table1_1[#All],2,FALSE)</f>
        <v>0</v>
      </c>
    </row>
    <row r="112" spans="1:10" x14ac:dyDescent="0.3">
      <c r="A112" t="s">
        <v>1108</v>
      </c>
      <c r="B112" t="s">
        <v>28</v>
      </c>
      <c r="C112" t="s">
        <v>2288</v>
      </c>
      <c r="D112" t="s">
        <v>2281</v>
      </c>
      <c r="E112" t="s">
        <v>2287</v>
      </c>
      <c r="F112">
        <v>2024</v>
      </c>
      <c r="G112" t="s">
        <v>2289</v>
      </c>
      <c r="H112">
        <v>700</v>
      </c>
      <c r="I112">
        <v>42</v>
      </c>
      <c r="J112" cm="1">
        <f t="array" aca="1" ref="J112" ca="1">_xlfn.UNIQUE(Table1_1[#All],2,FALSE)</f>
        <v>0</v>
      </c>
    </row>
    <row r="113" spans="1:10" x14ac:dyDescent="0.3">
      <c r="A113" t="s">
        <v>428</v>
      </c>
      <c r="B113" t="s">
        <v>73</v>
      </c>
      <c r="C113" t="s">
        <v>37</v>
      </c>
      <c r="D113" t="s">
        <v>2286</v>
      </c>
      <c r="E113" t="s">
        <v>2278</v>
      </c>
      <c r="F113">
        <v>2021</v>
      </c>
      <c r="G113" t="s">
        <v>2289</v>
      </c>
      <c r="H113">
        <v>500</v>
      </c>
      <c r="I113">
        <v>136</v>
      </c>
      <c r="J113" cm="1">
        <f t="array" aca="1" ref="J113" ca="1">_xlfn.UNIQUE(Table1_1[#All],2,FALSE)</f>
        <v>0</v>
      </c>
    </row>
    <row r="114" spans="1:10" x14ac:dyDescent="0.3">
      <c r="A114" t="s">
        <v>546</v>
      </c>
      <c r="B114" t="s">
        <v>73</v>
      </c>
      <c r="C114" t="s">
        <v>2288</v>
      </c>
      <c r="D114" t="s">
        <v>2277</v>
      </c>
      <c r="E114" t="s">
        <v>2282</v>
      </c>
      <c r="F114">
        <v>2021</v>
      </c>
      <c r="G114" t="s">
        <v>2289</v>
      </c>
      <c r="H114">
        <v>900</v>
      </c>
      <c r="I114">
        <v>209</v>
      </c>
      <c r="J114" cm="1">
        <f t="array" aca="1" ref="J114" ca="1">_xlfn.UNIQUE(Table1_1[#All],2,FALSE)</f>
        <v>0</v>
      </c>
    </row>
    <row r="115" spans="1:10" x14ac:dyDescent="0.3">
      <c r="A115" t="s">
        <v>237</v>
      </c>
      <c r="B115" t="s">
        <v>28</v>
      </c>
      <c r="C115" t="s">
        <v>19</v>
      </c>
      <c r="D115" t="s">
        <v>2281</v>
      </c>
      <c r="E115" t="s">
        <v>2282</v>
      </c>
      <c r="F115">
        <v>2023</v>
      </c>
      <c r="G115" t="s">
        <v>2279</v>
      </c>
      <c r="H115">
        <v>900</v>
      </c>
      <c r="I115">
        <v>153</v>
      </c>
      <c r="J115" cm="1">
        <f t="array" aca="1" ref="J115" ca="1">_xlfn.UNIQUE(Table1_1[#All],2,FALSE)</f>
        <v>0</v>
      </c>
    </row>
    <row r="116" spans="1:10" x14ac:dyDescent="0.3">
      <c r="A116" t="s">
        <v>924</v>
      </c>
      <c r="B116" t="s">
        <v>64</v>
      </c>
      <c r="C116" t="s">
        <v>2276</v>
      </c>
      <c r="D116" t="s">
        <v>29</v>
      </c>
      <c r="E116" t="s">
        <v>2278</v>
      </c>
      <c r="F116">
        <v>2022</v>
      </c>
      <c r="G116" t="s">
        <v>2285</v>
      </c>
      <c r="H116">
        <v>1500</v>
      </c>
      <c r="I116">
        <v>221</v>
      </c>
      <c r="J116" cm="1">
        <f t="array" aca="1" ref="J116" ca="1">_xlfn.UNIQUE(Table1_1[#All],2,FALSE)</f>
        <v>0</v>
      </c>
    </row>
    <row r="117" spans="1:10" x14ac:dyDescent="0.3">
      <c r="A117" t="s">
        <v>500</v>
      </c>
      <c r="B117" t="s">
        <v>57</v>
      </c>
      <c r="C117" t="s">
        <v>37</v>
      </c>
      <c r="D117" t="s">
        <v>2277</v>
      </c>
      <c r="E117" t="s">
        <v>2278</v>
      </c>
      <c r="F117">
        <v>2023</v>
      </c>
      <c r="G117" t="s">
        <v>2283</v>
      </c>
      <c r="H117">
        <v>1200</v>
      </c>
      <c r="I117">
        <v>109</v>
      </c>
      <c r="J117" cm="1">
        <f t="array" aca="1" ref="J117" ca="1">_xlfn.UNIQUE(Table1_1[#All],2,FALSE)</f>
        <v>0</v>
      </c>
    </row>
    <row r="118" spans="1:10" x14ac:dyDescent="0.3">
      <c r="A118" t="s">
        <v>620</v>
      </c>
      <c r="B118" t="s">
        <v>57</v>
      </c>
      <c r="C118" t="s">
        <v>37</v>
      </c>
      <c r="D118" t="s">
        <v>2281</v>
      </c>
      <c r="E118" t="s">
        <v>2282</v>
      </c>
      <c r="F118">
        <v>2023</v>
      </c>
      <c r="G118" t="s">
        <v>2289</v>
      </c>
      <c r="H118">
        <v>900</v>
      </c>
      <c r="I118">
        <v>130</v>
      </c>
      <c r="J118" cm="1">
        <f t="array" aca="1" ref="J118" ca="1">_xlfn.UNIQUE(Table1_1[#All],2,FALSE)</f>
        <v>0</v>
      </c>
    </row>
    <row r="119" spans="1:10" x14ac:dyDescent="0.3">
      <c r="A119" t="s">
        <v>244</v>
      </c>
      <c r="B119" t="s">
        <v>73</v>
      </c>
      <c r="C119" t="s">
        <v>2280</v>
      </c>
      <c r="D119" t="s">
        <v>29</v>
      </c>
      <c r="E119" t="s">
        <v>2282</v>
      </c>
      <c r="F119">
        <v>2021</v>
      </c>
      <c r="G119" t="s">
        <v>2279</v>
      </c>
      <c r="H119">
        <v>900</v>
      </c>
      <c r="I119">
        <v>233</v>
      </c>
      <c r="J119" cm="1">
        <f t="array" aca="1" ref="J119" ca="1">_xlfn.UNIQUE(Table1_1[#All],2,FALSE)</f>
        <v>0</v>
      </c>
    </row>
    <row r="120" spans="1:10" x14ac:dyDescent="0.3">
      <c r="A120" t="s">
        <v>118</v>
      </c>
      <c r="B120" t="s">
        <v>98</v>
      </c>
      <c r="C120" t="s">
        <v>2280</v>
      </c>
      <c r="D120" t="s">
        <v>29</v>
      </c>
      <c r="E120" t="s">
        <v>2282</v>
      </c>
      <c r="F120">
        <v>2023</v>
      </c>
      <c r="G120" t="s">
        <v>2285</v>
      </c>
      <c r="H120">
        <v>700</v>
      </c>
      <c r="I120">
        <v>120</v>
      </c>
      <c r="J120" cm="1">
        <f t="array" aca="1" ref="J120" ca="1">_xlfn.UNIQUE(Table1_1[#All],2,FALSE)</f>
        <v>0</v>
      </c>
    </row>
    <row r="121" spans="1:10" x14ac:dyDescent="0.3">
      <c r="A121" t="s">
        <v>1549</v>
      </c>
      <c r="B121" t="s">
        <v>64</v>
      </c>
      <c r="C121" t="s">
        <v>2288</v>
      </c>
      <c r="D121" t="s">
        <v>2286</v>
      </c>
      <c r="E121" t="s">
        <v>2282</v>
      </c>
      <c r="F121">
        <v>2021</v>
      </c>
      <c r="G121" t="s">
        <v>2289</v>
      </c>
      <c r="H121">
        <v>1200</v>
      </c>
      <c r="I121">
        <v>100</v>
      </c>
      <c r="J121" cm="1">
        <f t="array" aca="1" ref="J121" ca="1">_xlfn.UNIQUE(Table1_1[#All],2,FALSE)</f>
        <v>0</v>
      </c>
    </row>
    <row r="122" spans="1:10" x14ac:dyDescent="0.3">
      <c r="A122" t="s">
        <v>903</v>
      </c>
      <c r="B122" t="s">
        <v>57</v>
      </c>
      <c r="C122" t="s">
        <v>2280</v>
      </c>
      <c r="D122" t="s">
        <v>2284</v>
      </c>
      <c r="E122" t="s">
        <v>2287</v>
      </c>
      <c r="F122">
        <v>2024</v>
      </c>
      <c r="G122" t="s">
        <v>2285</v>
      </c>
      <c r="H122">
        <v>1500</v>
      </c>
      <c r="I122">
        <v>56</v>
      </c>
      <c r="J122" cm="1">
        <f t="array" aca="1" ref="J122" ca="1">_xlfn.UNIQUE(Table1_1[#All],2,FALSE)</f>
        <v>0</v>
      </c>
    </row>
    <row r="123" spans="1:10" x14ac:dyDescent="0.3">
      <c r="A123" t="s">
        <v>899</v>
      </c>
      <c r="B123" t="s">
        <v>73</v>
      </c>
      <c r="C123" t="s">
        <v>19</v>
      </c>
      <c r="D123" t="s">
        <v>2284</v>
      </c>
      <c r="E123" t="s">
        <v>2278</v>
      </c>
      <c r="F123">
        <v>2023</v>
      </c>
      <c r="G123" t="s">
        <v>2285</v>
      </c>
      <c r="H123">
        <v>500</v>
      </c>
      <c r="I123">
        <v>168</v>
      </c>
      <c r="J123" cm="1">
        <f t="array" aca="1" ref="J123" ca="1">_xlfn.UNIQUE(Table1_1[#All],2,FALSE)</f>
        <v>0</v>
      </c>
    </row>
    <row r="124" spans="1:10" x14ac:dyDescent="0.3">
      <c r="A124" t="s">
        <v>765</v>
      </c>
      <c r="B124" t="s">
        <v>73</v>
      </c>
      <c r="C124" t="s">
        <v>2288</v>
      </c>
      <c r="D124" t="s">
        <v>29</v>
      </c>
      <c r="E124" t="s">
        <v>2282</v>
      </c>
      <c r="F124">
        <v>2023</v>
      </c>
      <c r="G124" t="s">
        <v>2289</v>
      </c>
      <c r="H124">
        <v>500</v>
      </c>
      <c r="I124">
        <v>62</v>
      </c>
      <c r="J124" cm="1">
        <f t="array" aca="1" ref="J124" ca="1">_xlfn.UNIQUE(Table1_1[#All],2,FALSE)</f>
        <v>0</v>
      </c>
    </row>
    <row r="125" spans="1:10" x14ac:dyDescent="0.3">
      <c r="A125" t="s">
        <v>762</v>
      </c>
      <c r="B125" t="s">
        <v>64</v>
      </c>
      <c r="C125" t="s">
        <v>2280</v>
      </c>
      <c r="D125" t="s">
        <v>2286</v>
      </c>
      <c r="E125" t="s">
        <v>2282</v>
      </c>
      <c r="F125">
        <v>2022</v>
      </c>
      <c r="G125" t="s">
        <v>2283</v>
      </c>
      <c r="H125">
        <v>1500</v>
      </c>
      <c r="I125">
        <v>82</v>
      </c>
      <c r="J125" cm="1">
        <f t="array" aca="1" ref="J125" ca="1">_xlfn.UNIQUE(Table1_1[#All],2,FALSE)</f>
        <v>0</v>
      </c>
    </row>
    <row r="126" spans="1:10" x14ac:dyDescent="0.3">
      <c r="A126" t="s">
        <v>560</v>
      </c>
      <c r="B126" t="s">
        <v>73</v>
      </c>
      <c r="C126" t="s">
        <v>37</v>
      </c>
      <c r="D126" t="s">
        <v>2286</v>
      </c>
      <c r="E126" t="s">
        <v>2282</v>
      </c>
      <c r="F126">
        <v>2021</v>
      </c>
      <c r="G126" t="s">
        <v>2283</v>
      </c>
      <c r="H126">
        <v>500</v>
      </c>
      <c r="I126">
        <v>126</v>
      </c>
      <c r="J126" cm="1">
        <f t="array" aca="1" ref="J126" ca="1">_xlfn.UNIQUE(Table1_1[#All],2,FALSE)</f>
        <v>0</v>
      </c>
    </row>
    <row r="127" spans="1:10" x14ac:dyDescent="0.3">
      <c r="A127" t="s">
        <v>585</v>
      </c>
      <c r="B127" t="s">
        <v>28</v>
      </c>
      <c r="C127" t="s">
        <v>2288</v>
      </c>
      <c r="D127" t="s">
        <v>2281</v>
      </c>
      <c r="E127" t="s">
        <v>2278</v>
      </c>
      <c r="F127">
        <v>2021</v>
      </c>
      <c r="G127" t="s">
        <v>2283</v>
      </c>
      <c r="H127">
        <v>700</v>
      </c>
      <c r="I127">
        <v>283</v>
      </c>
      <c r="J127" cm="1">
        <f t="array" aca="1" ref="J127" ca="1">_xlfn.UNIQUE(Table1_1[#All],2,FALSE)</f>
        <v>0</v>
      </c>
    </row>
    <row r="128" spans="1:10" x14ac:dyDescent="0.3">
      <c r="A128" t="s">
        <v>1331</v>
      </c>
      <c r="B128" t="s">
        <v>57</v>
      </c>
      <c r="C128" t="s">
        <v>2276</v>
      </c>
      <c r="D128" t="s">
        <v>2281</v>
      </c>
      <c r="E128" t="s">
        <v>2282</v>
      </c>
      <c r="F128">
        <v>2021</v>
      </c>
      <c r="G128" t="s">
        <v>2285</v>
      </c>
      <c r="H128">
        <v>500</v>
      </c>
      <c r="I128">
        <v>61</v>
      </c>
      <c r="J128" cm="1">
        <f t="array" aca="1" ref="J128" ca="1">_xlfn.UNIQUE(Table1_1[#All],2,FALSE)</f>
        <v>0</v>
      </c>
    </row>
    <row r="129" spans="1:10" x14ac:dyDescent="0.3">
      <c r="A129" t="s">
        <v>1151</v>
      </c>
      <c r="B129" t="s">
        <v>64</v>
      </c>
      <c r="C129" t="s">
        <v>2280</v>
      </c>
      <c r="D129" t="s">
        <v>2281</v>
      </c>
      <c r="E129" t="s">
        <v>2278</v>
      </c>
      <c r="F129">
        <v>2021</v>
      </c>
      <c r="G129" t="s">
        <v>2289</v>
      </c>
      <c r="H129">
        <v>700</v>
      </c>
      <c r="I129">
        <v>196</v>
      </c>
      <c r="J129" cm="1">
        <f t="array" aca="1" ref="J129" ca="1">_xlfn.UNIQUE(Table1_1[#All],2,FALSE)</f>
        <v>0</v>
      </c>
    </row>
    <row r="130" spans="1:10" x14ac:dyDescent="0.3">
      <c r="A130" t="s">
        <v>800</v>
      </c>
      <c r="B130" t="s">
        <v>64</v>
      </c>
      <c r="C130" t="s">
        <v>37</v>
      </c>
      <c r="D130" t="s">
        <v>29</v>
      </c>
      <c r="E130" t="s">
        <v>2282</v>
      </c>
      <c r="F130">
        <v>2023</v>
      </c>
      <c r="G130" t="s">
        <v>2279</v>
      </c>
      <c r="H130">
        <v>1200</v>
      </c>
      <c r="I130">
        <v>35</v>
      </c>
      <c r="J130" cm="1">
        <f t="array" aca="1" ref="J130" ca="1">_xlfn.UNIQUE(Table1_1[#All],2,FALSE)</f>
        <v>0</v>
      </c>
    </row>
    <row r="131" spans="1:10" x14ac:dyDescent="0.3">
      <c r="A131" t="s">
        <v>577</v>
      </c>
      <c r="B131" t="s">
        <v>28</v>
      </c>
      <c r="C131" t="s">
        <v>2280</v>
      </c>
      <c r="D131" t="s">
        <v>2277</v>
      </c>
      <c r="E131" t="s">
        <v>2282</v>
      </c>
      <c r="F131">
        <v>2023</v>
      </c>
      <c r="G131" t="s">
        <v>2279</v>
      </c>
      <c r="H131">
        <v>900</v>
      </c>
      <c r="I131">
        <v>232</v>
      </c>
      <c r="J131" cm="1">
        <f t="array" aca="1" ref="J131" ca="1">_xlfn.UNIQUE(Table1_1[#All],2,FALSE)</f>
        <v>0</v>
      </c>
    </row>
    <row r="132" spans="1:10" x14ac:dyDescent="0.3">
      <c r="A132" t="s">
        <v>1561</v>
      </c>
      <c r="B132" t="s">
        <v>73</v>
      </c>
      <c r="C132" t="s">
        <v>2276</v>
      </c>
      <c r="D132" t="s">
        <v>2281</v>
      </c>
      <c r="E132" t="s">
        <v>2282</v>
      </c>
      <c r="F132">
        <v>2022</v>
      </c>
      <c r="G132" t="s">
        <v>2279</v>
      </c>
      <c r="H132">
        <v>900</v>
      </c>
      <c r="I132">
        <v>77</v>
      </c>
      <c r="J132" cm="1">
        <f t="array" aca="1" ref="J132" ca="1">_xlfn.UNIQUE(Table1_1[#All],2,FALSE)</f>
        <v>0</v>
      </c>
    </row>
    <row r="133" spans="1:10" x14ac:dyDescent="0.3">
      <c r="A133" t="s">
        <v>722</v>
      </c>
      <c r="B133" t="s">
        <v>73</v>
      </c>
      <c r="C133" t="s">
        <v>2280</v>
      </c>
      <c r="D133" t="s">
        <v>2281</v>
      </c>
      <c r="E133" t="s">
        <v>2278</v>
      </c>
      <c r="F133">
        <v>2023</v>
      </c>
      <c r="G133" t="s">
        <v>2285</v>
      </c>
      <c r="H133">
        <v>700</v>
      </c>
      <c r="I133">
        <v>49</v>
      </c>
      <c r="J133" cm="1">
        <f t="array" aca="1" ref="J133" ca="1">_xlfn.UNIQUE(Table1_1[#All],2,FALSE)</f>
        <v>0</v>
      </c>
    </row>
    <row r="134" spans="1:10" x14ac:dyDescent="0.3">
      <c r="A134" t="s">
        <v>964</v>
      </c>
      <c r="B134" t="s">
        <v>73</v>
      </c>
      <c r="C134" t="s">
        <v>19</v>
      </c>
      <c r="D134" t="s">
        <v>2281</v>
      </c>
      <c r="E134" t="s">
        <v>2287</v>
      </c>
      <c r="F134">
        <v>2021</v>
      </c>
      <c r="G134" t="s">
        <v>2279</v>
      </c>
      <c r="H134">
        <v>500</v>
      </c>
      <c r="I134">
        <v>165</v>
      </c>
      <c r="J134" cm="1">
        <f t="array" aca="1" ref="J134" ca="1">_xlfn.UNIQUE(Table1_1[#All],2,FALSE)</f>
        <v>0</v>
      </c>
    </row>
    <row r="135" spans="1:10" x14ac:dyDescent="0.3">
      <c r="A135" t="s">
        <v>758</v>
      </c>
      <c r="B135" t="s">
        <v>73</v>
      </c>
      <c r="C135" t="s">
        <v>2288</v>
      </c>
      <c r="D135" t="s">
        <v>2286</v>
      </c>
      <c r="E135" t="s">
        <v>2287</v>
      </c>
      <c r="F135">
        <v>2021</v>
      </c>
      <c r="G135" t="s">
        <v>2285</v>
      </c>
      <c r="H135">
        <v>1500</v>
      </c>
      <c r="I135">
        <v>110</v>
      </c>
      <c r="J135" cm="1">
        <f t="array" aca="1" ref="J135" ca="1">_xlfn.UNIQUE(Table1_1[#All],2,FALSE)</f>
        <v>0</v>
      </c>
    </row>
    <row r="136" spans="1:10" x14ac:dyDescent="0.3">
      <c r="A136" t="s">
        <v>121</v>
      </c>
      <c r="B136" t="s">
        <v>73</v>
      </c>
      <c r="C136" t="s">
        <v>19</v>
      </c>
      <c r="D136" t="s">
        <v>2284</v>
      </c>
      <c r="E136" t="s">
        <v>2282</v>
      </c>
      <c r="F136">
        <v>2021</v>
      </c>
      <c r="G136" t="s">
        <v>2289</v>
      </c>
      <c r="H136">
        <v>700</v>
      </c>
      <c r="I136">
        <v>152</v>
      </c>
      <c r="J136" cm="1">
        <f t="array" aca="1" ref="J136" ca="1">_xlfn.UNIQUE(Table1_1[#All],2,FALSE)</f>
        <v>0</v>
      </c>
    </row>
    <row r="137" spans="1:10" x14ac:dyDescent="0.3">
      <c r="A137" t="s">
        <v>207</v>
      </c>
      <c r="B137" t="s">
        <v>98</v>
      </c>
      <c r="C137" t="s">
        <v>19</v>
      </c>
      <c r="D137" t="s">
        <v>29</v>
      </c>
      <c r="E137" t="s">
        <v>2278</v>
      </c>
      <c r="F137">
        <v>2021</v>
      </c>
      <c r="G137" t="s">
        <v>2289</v>
      </c>
      <c r="H137">
        <v>1500</v>
      </c>
      <c r="I137">
        <v>157</v>
      </c>
      <c r="J137" cm="1">
        <f t="array" aca="1" ref="J137" ca="1">_xlfn.UNIQUE(Table1_1[#All],2,FALSE)</f>
        <v>0</v>
      </c>
    </row>
    <row r="138" spans="1:10" x14ac:dyDescent="0.3">
      <c r="A138" t="s">
        <v>319</v>
      </c>
      <c r="B138" t="s">
        <v>98</v>
      </c>
      <c r="C138" t="s">
        <v>2288</v>
      </c>
      <c r="D138" t="s">
        <v>29</v>
      </c>
      <c r="E138" t="s">
        <v>2278</v>
      </c>
      <c r="F138">
        <v>2023</v>
      </c>
      <c r="G138" t="s">
        <v>2279</v>
      </c>
      <c r="H138">
        <v>1200</v>
      </c>
      <c r="I138">
        <v>240</v>
      </c>
      <c r="J138" cm="1">
        <f t="array" aca="1" ref="J138" ca="1">_xlfn.UNIQUE(Table1_1[#All],2,FALSE)</f>
        <v>0</v>
      </c>
    </row>
    <row r="139" spans="1:10" x14ac:dyDescent="0.3">
      <c r="A139" t="s">
        <v>368</v>
      </c>
      <c r="B139" t="s">
        <v>98</v>
      </c>
      <c r="C139" t="s">
        <v>2288</v>
      </c>
      <c r="D139" t="s">
        <v>2284</v>
      </c>
      <c r="E139" t="s">
        <v>2287</v>
      </c>
      <c r="F139">
        <v>2023</v>
      </c>
      <c r="G139" t="s">
        <v>2279</v>
      </c>
      <c r="H139">
        <v>1500</v>
      </c>
      <c r="I139">
        <v>229</v>
      </c>
      <c r="J139" cm="1">
        <f t="array" aca="1" ref="J139" ca="1">_xlfn.UNIQUE(Table1_1[#All],2,FALSE)</f>
        <v>0</v>
      </c>
    </row>
    <row r="140" spans="1:10" x14ac:dyDescent="0.3">
      <c r="A140" t="s">
        <v>226</v>
      </c>
      <c r="B140" t="s">
        <v>28</v>
      </c>
      <c r="C140" t="s">
        <v>19</v>
      </c>
      <c r="D140" t="s">
        <v>2277</v>
      </c>
      <c r="E140" t="s">
        <v>2287</v>
      </c>
      <c r="F140">
        <v>2021</v>
      </c>
      <c r="G140" t="s">
        <v>2289</v>
      </c>
      <c r="H140">
        <v>700</v>
      </c>
      <c r="I140">
        <v>119</v>
      </c>
      <c r="J140" cm="1">
        <f t="array" aca="1" ref="J140" ca="1">_xlfn.UNIQUE(Table1_1[#All],2,FALSE)</f>
        <v>0</v>
      </c>
    </row>
    <row r="141" spans="1:10" x14ac:dyDescent="0.3">
      <c r="A141" t="s">
        <v>1245</v>
      </c>
      <c r="B141" t="s">
        <v>64</v>
      </c>
      <c r="C141" t="s">
        <v>2276</v>
      </c>
      <c r="D141" t="s">
        <v>29</v>
      </c>
      <c r="E141" t="s">
        <v>2278</v>
      </c>
      <c r="F141">
        <v>2021</v>
      </c>
      <c r="G141" t="s">
        <v>2279</v>
      </c>
      <c r="H141">
        <v>500</v>
      </c>
      <c r="I141">
        <v>80</v>
      </c>
      <c r="J141" cm="1">
        <f t="array" aca="1" ref="J141" ca="1">_xlfn.UNIQUE(Table1_1[#All],2,FALSE)</f>
        <v>0</v>
      </c>
    </row>
    <row r="142" spans="1:10" x14ac:dyDescent="0.3">
      <c r="A142" t="s">
        <v>946</v>
      </c>
      <c r="B142" t="s">
        <v>98</v>
      </c>
      <c r="C142" t="s">
        <v>19</v>
      </c>
      <c r="D142" t="s">
        <v>2277</v>
      </c>
      <c r="E142" t="s">
        <v>2278</v>
      </c>
      <c r="F142">
        <v>2024</v>
      </c>
      <c r="G142" t="s">
        <v>2279</v>
      </c>
      <c r="H142">
        <v>900</v>
      </c>
      <c r="I142">
        <v>227</v>
      </c>
      <c r="J142" cm="1">
        <f t="array" aca="1" ref="J142" ca="1">_xlfn.UNIQUE(Table1_1[#All],2,FALSE)</f>
        <v>0</v>
      </c>
    </row>
    <row r="143" spans="1:10" x14ac:dyDescent="0.3">
      <c r="A143" t="s">
        <v>1270</v>
      </c>
      <c r="B143" t="s">
        <v>73</v>
      </c>
      <c r="C143" t="s">
        <v>19</v>
      </c>
      <c r="D143" t="s">
        <v>2286</v>
      </c>
      <c r="E143" t="s">
        <v>2287</v>
      </c>
      <c r="F143">
        <v>2022</v>
      </c>
      <c r="G143" t="s">
        <v>2283</v>
      </c>
      <c r="H143">
        <v>500</v>
      </c>
      <c r="I143">
        <v>178</v>
      </c>
      <c r="J143" cm="1">
        <f t="array" aca="1" ref="J143" ca="1">_xlfn.UNIQUE(Table1_1[#All],2,FALSE)</f>
        <v>0</v>
      </c>
    </row>
    <row r="144" spans="1:10" x14ac:dyDescent="0.3">
      <c r="A144" t="s">
        <v>663</v>
      </c>
      <c r="B144" t="s">
        <v>73</v>
      </c>
      <c r="C144" t="s">
        <v>2288</v>
      </c>
      <c r="D144" t="s">
        <v>2281</v>
      </c>
      <c r="E144" t="s">
        <v>2282</v>
      </c>
      <c r="F144">
        <v>2022</v>
      </c>
      <c r="G144" t="s">
        <v>2283</v>
      </c>
      <c r="H144">
        <v>900</v>
      </c>
      <c r="I144">
        <v>172</v>
      </c>
      <c r="J144" cm="1">
        <f t="array" aca="1" ref="J144" ca="1">_xlfn.UNIQUE(Table1_1[#All],2,FALSE)</f>
        <v>0</v>
      </c>
    </row>
    <row r="145" spans="1:10" x14ac:dyDescent="0.3">
      <c r="A145" t="s">
        <v>1438</v>
      </c>
      <c r="B145" t="s">
        <v>28</v>
      </c>
      <c r="C145" t="s">
        <v>37</v>
      </c>
      <c r="D145" t="s">
        <v>2281</v>
      </c>
      <c r="E145" t="s">
        <v>2287</v>
      </c>
      <c r="F145">
        <v>2023</v>
      </c>
      <c r="G145" t="s">
        <v>2279</v>
      </c>
      <c r="H145">
        <v>500</v>
      </c>
      <c r="I145">
        <v>199</v>
      </c>
      <c r="J145" cm="1">
        <f t="array" aca="1" ref="J145" ca="1">_xlfn.UNIQUE(Table1_1[#All],2,FALSE)</f>
        <v>0</v>
      </c>
    </row>
    <row r="146" spans="1:10" x14ac:dyDescent="0.3">
      <c r="A146" t="s">
        <v>357</v>
      </c>
      <c r="B146" t="s">
        <v>73</v>
      </c>
      <c r="C146" t="s">
        <v>37</v>
      </c>
      <c r="D146" t="s">
        <v>2281</v>
      </c>
      <c r="E146" t="s">
        <v>2287</v>
      </c>
      <c r="F146">
        <v>2021</v>
      </c>
      <c r="G146" t="s">
        <v>2285</v>
      </c>
      <c r="H146">
        <v>1200</v>
      </c>
      <c r="I146">
        <v>45</v>
      </c>
      <c r="J146" cm="1">
        <f t="array" aca="1" ref="J146" ca="1">_xlfn.UNIQUE(Table1_1[#All],2,FALSE)</f>
        <v>0</v>
      </c>
    </row>
    <row r="147" spans="1:10" x14ac:dyDescent="0.3">
      <c r="A147" t="s">
        <v>1683</v>
      </c>
      <c r="B147" t="s">
        <v>57</v>
      </c>
      <c r="C147" t="s">
        <v>19</v>
      </c>
      <c r="D147" t="s">
        <v>2284</v>
      </c>
      <c r="E147" t="s">
        <v>2282</v>
      </c>
      <c r="F147">
        <v>2023</v>
      </c>
      <c r="G147" t="s">
        <v>2289</v>
      </c>
      <c r="H147">
        <v>900</v>
      </c>
      <c r="I147">
        <v>200</v>
      </c>
      <c r="J147" cm="1">
        <f t="array" aca="1" ref="J147" ca="1">_xlfn.UNIQUE(Table1_1[#All],2,FALSE)</f>
        <v>0</v>
      </c>
    </row>
    <row r="148" spans="1:10" x14ac:dyDescent="0.3">
      <c r="A148" t="s">
        <v>1839</v>
      </c>
      <c r="B148" t="s">
        <v>28</v>
      </c>
      <c r="C148" t="s">
        <v>2276</v>
      </c>
      <c r="D148" t="s">
        <v>2277</v>
      </c>
      <c r="E148" t="s">
        <v>2282</v>
      </c>
      <c r="F148">
        <v>2023</v>
      </c>
      <c r="G148" t="s">
        <v>2289</v>
      </c>
      <c r="H148">
        <v>700</v>
      </c>
      <c r="I148">
        <v>273</v>
      </c>
      <c r="J148" cm="1">
        <f t="array" aca="1" ref="J148" ca="1">_xlfn.UNIQUE(Table1_1[#All],2,FALSE)</f>
        <v>0</v>
      </c>
    </row>
    <row r="149" spans="1:10" x14ac:dyDescent="0.3">
      <c r="A149" t="s">
        <v>247</v>
      </c>
      <c r="B149" t="s">
        <v>98</v>
      </c>
      <c r="C149" t="s">
        <v>2276</v>
      </c>
      <c r="D149" t="s">
        <v>2277</v>
      </c>
      <c r="E149" t="s">
        <v>2287</v>
      </c>
      <c r="F149">
        <v>2021</v>
      </c>
      <c r="G149" t="s">
        <v>2289</v>
      </c>
      <c r="H149">
        <v>1500</v>
      </c>
      <c r="I149">
        <v>170</v>
      </c>
      <c r="J149" cm="1">
        <f t="array" aca="1" ref="J149" ca="1">_xlfn.UNIQUE(Table1_1[#All],2,FALSE)</f>
        <v>0</v>
      </c>
    </row>
    <row r="150" spans="1:10" x14ac:dyDescent="0.3">
      <c r="A150" t="s">
        <v>640</v>
      </c>
      <c r="B150" t="s">
        <v>73</v>
      </c>
      <c r="C150" t="s">
        <v>19</v>
      </c>
      <c r="D150" t="s">
        <v>2277</v>
      </c>
      <c r="E150" t="s">
        <v>2282</v>
      </c>
      <c r="F150">
        <v>2022</v>
      </c>
      <c r="G150" t="s">
        <v>2283</v>
      </c>
      <c r="H150">
        <v>900</v>
      </c>
      <c r="I150">
        <v>199</v>
      </c>
      <c r="J150" cm="1">
        <f t="array" aca="1" ref="J150" ca="1">_xlfn.UNIQUE(Table1_1[#All],2,FALSE)</f>
        <v>0</v>
      </c>
    </row>
    <row r="151" spans="1:10" x14ac:dyDescent="0.3">
      <c r="A151" t="s">
        <v>486</v>
      </c>
      <c r="B151" t="s">
        <v>57</v>
      </c>
      <c r="C151" t="s">
        <v>19</v>
      </c>
      <c r="D151" t="s">
        <v>29</v>
      </c>
      <c r="E151" t="s">
        <v>2282</v>
      </c>
      <c r="F151">
        <v>2021</v>
      </c>
      <c r="G151" t="s">
        <v>2279</v>
      </c>
      <c r="H151">
        <v>500</v>
      </c>
      <c r="I151">
        <v>215</v>
      </c>
      <c r="J151" cm="1">
        <f t="array" aca="1" ref="J151" ca="1">_xlfn.UNIQUE(Table1_1[#All],2,FALSE)</f>
        <v>0</v>
      </c>
    </row>
    <row r="152" spans="1:10" x14ac:dyDescent="0.3">
      <c r="A152" t="s">
        <v>572</v>
      </c>
      <c r="B152" t="s">
        <v>73</v>
      </c>
      <c r="C152" t="s">
        <v>37</v>
      </c>
      <c r="D152" t="s">
        <v>2281</v>
      </c>
      <c r="E152" t="s">
        <v>2287</v>
      </c>
      <c r="F152">
        <v>2023</v>
      </c>
      <c r="G152" t="s">
        <v>2285</v>
      </c>
      <c r="H152">
        <v>700</v>
      </c>
      <c r="I152">
        <v>78</v>
      </c>
      <c r="J152" cm="1">
        <f t="array" aca="1" ref="J152" ca="1">_xlfn.UNIQUE(Table1_1[#All],2,FALSE)</f>
        <v>0</v>
      </c>
    </row>
    <row r="153" spans="1:10" x14ac:dyDescent="0.3">
      <c r="A153" t="s">
        <v>452</v>
      </c>
      <c r="B153" t="s">
        <v>73</v>
      </c>
      <c r="C153" t="s">
        <v>2280</v>
      </c>
      <c r="D153" t="s">
        <v>2286</v>
      </c>
      <c r="E153" t="s">
        <v>2282</v>
      </c>
      <c r="F153">
        <v>2024</v>
      </c>
      <c r="G153" t="s">
        <v>2289</v>
      </c>
      <c r="H153">
        <v>1200</v>
      </c>
      <c r="I153">
        <v>47</v>
      </c>
      <c r="J153" cm="1">
        <f t="array" aca="1" ref="J153" ca="1">_xlfn.UNIQUE(Table1_1[#All],2,FALSE)</f>
        <v>0</v>
      </c>
    </row>
    <row r="154" spans="1:10" x14ac:dyDescent="0.3">
      <c r="A154" t="s">
        <v>56</v>
      </c>
      <c r="B154" t="s">
        <v>73</v>
      </c>
      <c r="C154" t="s">
        <v>37</v>
      </c>
      <c r="D154" t="s">
        <v>2286</v>
      </c>
      <c r="E154" t="s">
        <v>2282</v>
      </c>
      <c r="F154">
        <v>2021</v>
      </c>
      <c r="G154" t="s">
        <v>2283</v>
      </c>
      <c r="H154">
        <v>700</v>
      </c>
      <c r="I154">
        <v>245</v>
      </c>
      <c r="J154" cm="1">
        <f t="array" aca="1" ref="J154" ca="1">_xlfn.UNIQUE(Table1_1[#All],2,FALSE)</f>
        <v>0</v>
      </c>
    </row>
    <row r="155" spans="1:10" x14ac:dyDescent="0.3">
      <c r="A155" t="s">
        <v>68</v>
      </c>
      <c r="B155" t="s">
        <v>73</v>
      </c>
      <c r="C155" t="s">
        <v>2280</v>
      </c>
      <c r="D155" t="s">
        <v>2284</v>
      </c>
      <c r="E155" t="s">
        <v>2278</v>
      </c>
      <c r="F155">
        <v>2023</v>
      </c>
      <c r="G155" t="s">
        <v>2285</v>
      </c>
      <c r="H155">
        <v>700</v>
      </c>
      <c r="I155">
        <v>290</v>
      </c>
      <c r="J155" cm="1">
        <f t="array" aca="1" ref="J155" ca="1">_xlfn.UNIQUE(Table1_1[#All],2,FALSE)</f>
        <v>0</v>
      </c>
    </row>
    <row r="156" spans="1:10" x14ac:dyDescent="0.3">
      <c r="A156" t="s">
        <v>909</v>
      </c>
      <c r="B156" t="s">
        <v>28</v>
      </c>
      <c r="C156" t="s">
        <v>2280</v>
      </c>
      <c r="D156" t="s">
        <v>2286</v>
      </c>
      <c r="E156" t="s">
        <v>2287</v>
      </c>
      <c r="F156">
        <v>2023</v>
      </c>
      <c r="G156" t="s">
        <v>2283</v>
      </c>
      <c r="H156">
        <v>1200</v>
      </c>
      <c r="I156">
        <v>82</v>
      </c>
      <c r="J156" cm="1">
        <f t="array" aca="1" ref="J156" ca="1">_xlfn.UNIQUE(Table1_1[#All],2,FALSE)</f>
        <v>0</v>
      </c>
    </row>
    <row r="157" spans="1:10" x14ac:dyDescent="0.3">
      <c r="A157" t="s">
        <v>1174</v>
      </c>
      <c r="B157" t="s">
        <v>73</v>
      </c>
      <c r="C157" t="s">
        <v>37</v>
      </c>
      <c r="D157" t="s">
        <v>2277</v>
      </c>
      <c r="E157" t="s">
        <v>2287</v>
      </c>
      <c r="F157">
        <v>2024</v>
      </c>
      <c r="G157" t="s">
        <v>2279</v>
      </c>
      <c r="H157">
        <v>900</v>
      </c>
      <c r="I157">
        <v>142</v>
      </c>
      <c r="J157" cm="1">
        <f t="array" aca="1" ref="J157" ca="1">_xlfn.UNIQUE(Table1_1[#All],2,FALSE)</f>
        <v>0</v>
      </c>
    </row>
    <row r="158" spans="1:10" x14ac:dyDescent="0.3">
      <c r="A158" t="s">
        <v>434</v>
      </c>
      <c r="B158" t="s">
        <v>57</v>
      </c>
      <c r="C158" t="s">
        <v>2288</v>
      </c>
      <c r="D158" t="s">
        <v>2281</v>
      </c>
      <c r="E158" t="s">
        <v>2278</v>
      </c>
      <c r="F158">
        <v>2023</v>
      </c>
      <c r="G158" t="s">
        <v>2285</v>
      </c>
      <c r="H158">
        <v>700</v>
      </c>
      <c r="I158">
        <v>238</v>
      </c>
      <c r="J158" cm="1">
        <f t="array" aca="1" ref="J158" ca="1">_xlfn.UNIQUE(Table1_1[#All],2,FALSE)</f>
        <v>0</v>
      </c>
    </row>
    <row r="159" spans="1:10" x14ac:dyDescent="0.3">
      <c r="A159" t="s">
        <v>102</v>
      </c>
      <c r="B159" t="s">
        <v>98</v>
      </c>
      <c r="C159" t="s">
        <v>37</v>
      </c>
      <c r="D159" t="s">
        <v>2277</v>
      </c>
      <c r="E159" t="s">
        <v>2282</v>
      </c>
      <c r="F159">
        <v>2021</v>
      </c>
      <c r="G159" t="s">
        <v>2279</v>
      </c>
      <c r="H159">
        <v>1500</v>
      </c>
      <c r="I159">
        <v>61</v>
      </c>
      <c r="J159" cm="1">
        <f t="array" aca="1" ref="J159" ca="1">_xlfn.UNIQUE(Table1_1[#All],2,FALSE)</f>
        <v>0</v>
      </c>
    </row>
    <row r="160" spans="1:10" x14ac:dyDescent="0.3">
      <c r="A160" t="s">
        <v>187</v>
      </c>
      <c r="B160" t="s">
        <v>28</v>
      </c>
      <c r="C160" t="s">
        <v>37</v>
      </c>
      <c r="D160" t="s">
        <v>29</v>
      </c>
      <c r="E160" t="s">
        <v>2282</v>
      </c>
      <c r="F160">
        <v>2024</v>
      </c>
      <c r="G160" t="s">
        <v>2279</v>
      </c>
      <c r="H160">
        <v>500</v>
      </c>
      <c r="I160">
        <v>185</v>
      </c>
      <c r="J160" cm="1">
        <f t="array" aca="1" ref="J160" ca="1">_xlfn.UNIQUE(Table1_1[#All],2,FALSE)</f>
        <v>0</v>
      </c>
    </row>
    <row r="161" spans="1:10" x14ac:dyDescent="0.3">
      <c r="A161" t="s">
        <v>1193</v>
      </c>
      <c r="B161" t="s">
        <v>64</v>
      </c>
      <c r="C161" t="s">
        <v>2280</v>
      </c>
      <c r="D161" t="s">
        <v>29</v>
      </c>
      <c r="E161" t="s">
        <v>2282</v>
      </c>
      <c r="F161">
        <v>2024</v>
      </c>
      <c r="G161" t="s">
        <v>2279</v>
      </c>
      <c r="H161">
        <v>900</v>
      </c>
      <c r="I161">
        <v>153</v>
      </c>
      <c r="J161" cm="1">
        <f t="array" aca="1" ref="J161" ca="1">_xlfn.UNIQUE(Table1_1[#All],2,FALSE)</f>
        <v>0</v>
      </c>
    </row>
    <row r="162" spans="1:10" x14ac:dyDescent="0.3">
      <c r="A162" t="s">
        <v>704</v>
      </c>
      <c r="B162" t="s">
        <v>73</v>
      </c>
      <c r="C162" t="s">
        <v>2288</v>
      </c>
      <c r="D162" t="s">
        <v>29</v>
      </c>
      <c r="E162" t="s">
        <v>2282</v>
      </c>
      <c r="F162">
        <v>2021</v>
      </c>
      <c r="G162" t="s">
        <v>2289</v>
      </c>
      <c r="H162">
        <v>1200</v>
      </c>
      <c r="I162">
        <v>25</v>
      </c>
      <c r="J162" cm="1">
        <f t="array" aca="1" ref="J162" ca="1">_xlfn.UNIQUE(Table1_1[#All],2,FALSE)</f>
        <v>0</v>
      </c>
    </row>
    <row r="163" spans="1:10" x14ac:dyDescent="0.3">
      <c r="A163" t="s">
        <v>128</v>
      </c>
      <c r="B163" t="s">
        <v>98</v>
      </c>
      <c r="C163" t="s">
        <v>2288</v>
      </c>
      <c r="D163" t="s">
        <v>2284</v>
      </c>
      <c r="E163" t="s">
        <v>2278</v>
      </c>
      <c r="F163">
        <v>2021</v>
      </c>
      <c r="G163" t="s">
        <v>2289</v>
      </c>
      <c r="H163">
        <v>500</v>
      </c>
      <c r="I163">
        <v>119</v>
      </c>
      <c r="J163" cm="1">
        <f t="array" aca="1" ref="J163" ca="1">_xlfn.UNIQUE(Table1_1[#All],2,FALSE)</f>
        <v>0</v>
      </c>
    </row>
    <row r="164" spans="1:10" x14ac:dyDescent="0.3">
      <c r="A164" t="s">
        <v>1356</v>
      </c>
      <c r="B164" t="s">
        <v>28</v>
      </c>
      <c r="C164" t="s">
        <v>37</v>
      </c>
      <c r="D164" t="s">
        <v>2281</v>
      </c>
      <c r="E164" t="s">
        <v>2278</v>
      </c>
      <c r="F164">
        <v>2022</v>
      </c>
      <c r="G164" t="s">
        <v>2285</v>
      </c>
      <c r="H164">
        <v>900</v>
      </c>
      <c r="I164">
        <v>25</v>
      </c>
      <c r="J164" cm="1">
        <f t="array" aca="1" ref="J164" ca="1">_xlfn.UNIQUE(Table1_1[#All],2,FALSE)</f>
        <v>0</v>
      </c>
    </row>
    <row r="165" spans="1:10" x14ac:dyDescent="0.3">
      <c r="A165" t="s">
        <v>1602</v>
      </c>
      <c r="B165" t="s">
        <v>98</v>
      </c>
      <c r="C165" t="s">
        <v>19</v>
      </c>
      <c r="D165" t="s">
        <v>29</v>
      </c>
      <c r="E165" t="s">
        <v>2287</v>
      </c>
      <c r="F165">
        <v>2022</v>
      </c>
      <c r="G165" t="s">
        <v>2283</v>
      </c>
      <c r="H165">
        <v>500</v>
      </c>
      <c r="I165">
        <v>291</v>
      </c>
      <c r="J165" cm="1">
        <f t="array" aca="1" ref="J165" ca="1">_xlfn.UNIQUE(Table1_1[#All],2,FALSE)</f>
        <v>0</v>
      </c>
    </row>
    <row r="166" spans="1:10" x14ac:dyDescent="0.3">
      <c r="A166" t="s">
        <v>270</v>
      </c>
      <c r="B166" t="s">
        <v>73</v>
      </c>
      <c r="C166" t="s">
        <v>19</v>
      </c>
      <c r="D166" t="s">
        <v>2284</v>
      </c>
      <c r="E166" t="s">
        <v>2278</v>
      </c>
      <c r="F166">
        <v>2023</v>
      </c>
      <c r="G166" t="s">
        <v>2279</v>
      </c>
      <c r="H166">
        <v>500</v>
      </c>
      <c r="I166">
        <v>267</v>
      </c>
      <c r="J166" cm="1">
        <f t="array" aca="1" ref="J166" ca="1">_xlfn.UNIQUE(Table1_1[#All],2,FALSE)</f>
        <v>0</v>
      </c>
    </row>
    <row r="167" spans="1:10" x14ac:dyDescent="0.3">
      <c r="A167" t="s">
        <v>1043</v>
      </c>
      <c r="B167" t="s">
        <v>57</v>
      </c>
      <c r="C167" t="s">
        <v>2276</v>
      </c>
      <c r="D167" t="s">
        <v>2277</v>
      </c>
      <c r="E167" t="s">
        <v>2287</v>
      </c>
      <c r="F167">
        <v>2022</v>
      </c>
      <c r="G167" t="s">
        <v>2279</v>
      </c>
      <c r="H167">
        <v>1500</v>
      </c>
      <c r="I167">
        <v>259</v>
      </c>
      <c r="J167" cm="1">
        <f t="array" aca="1" ref="J167" ca="1">_xlfn.UNIQUE(Table1_1[#All],2,FALSE)</f>
        <v>0</v>
      </c>
    </row>
    <row r="168" spans="1:10" x14ac:dyDescent="0.3">
      <c r="A168" t="s">
        <v>1810</v>
      </c>
      <c r="B168" t="s">
        <v>98</v>
      </c>
      <c r="C168" t="s">
        <v>2288</v>
      </c>
      <c r="D168" t="s">
        <v>2284</v>
      </c>
      <c r="E168" t="s">
        <v>2278</v>
      </c>
      <c r="F168">
        <v>2021</v>
      </c>
      <c r="G168" t="s">
        <v>2289</v>
      </c>
      <c r="H168">
        <v>1200</v>
      </c>
      <c r="I168">
        <v>227</v>
      </c>
      <c r="J168" cm="1">
        <f t="array" aca="1" ref="J168" ca="1">_xlfn.UNIQUE(Table1_1[#All],2,FALSE)</f>
        <v>0</v>
      </c>
    </row>
    <row r="169" spans="1:10" x14ac:dyDescent="0.3">
      <c r="A169" t="s">
        <v>417</v>
      </c>
      <c r="B169" t="s">
        <v>57</v>
      </c>
      <c r="C169" t="s">
        <v>2280</v>
      </c>
      <c r="D169" t="s">
        <v>2277</v>
      </c>
      <c r="E169" t="s">
        <v>2278</v>
      </c>
      <c r="F169">
        <v>2024</v>
      </c>
      <c r="G169" t="s">
        <v>2289</v>
      </c>
      <c r="H169">
        <v>1500</v>
      </c>
      <c r="I169">
        <v>136</v>
      </c>
      <c r="J169" cm="1">
        <f t="array" aca="1" ref="J169" ca="1">_xlfn.UNIQUE(Table1_1[#All],2,FALSE)</f>
        <v>0</v>
      </c>
    </row>
    <row r="170" spans="1:10" x14ac:dyDescent="0.3">
      <c r="A170" t="s">
        <v>1493</v>
      </c>
      <c r="B170" t="s">
        <v>73</v>
      </c>
      <c r="C170" t="s">
        <v>37</v>
      </c>
      <c r="D170" t="s">
        <v>2277</v>
      </c>
      <c r="E170" t="s">
        <v>2282</v>
      </c>
      <c r="F170">
        <v>2022</v>
      </c>
      <c r="G170" t="s">
        <v>2289</v>
      </c>
      <c r="H170">
        <v>700</v>
      </c>
      <c r="I170">
        <v>282</v>
      </c>
      <c r="J170" cm="1">
        <f t="array" aca="1" ref="J170" ca="1">_xlfn.UNIQUE(Table1_1[#All],2,FALSE)</f>
        <v>0</v>
      </c>
    </row>
    <row r="171" spans="1:10" x14ac:dyDescent="0.3">
      <c r="A171" t="s">
        <v>771</v>
      </c>
      <c r="B171" t="s">
        <v>64</v>
      </c>
      <c r="C171" t="s">
        <v>2276</v>
      </c>
      <c r="D171" t="s">
        <v>2277</v>
      </c>
      <c r="E171" t="s">
        <v>2287</v>
      </c>
      <c r="F171">
        <v>2023</v>
      </c>
      <c r="G171" t="s">
        <v>2283</v>
      </c>
      <c r="H171">
        <v>1200</v>
      </c>
      <c r="I171">
        <v>283</v>
      </c>
      <c r="J171" cm="1">
        <f t="array" aca="1" ref="J171" ca="1">_xlfn.UNIQUE(Table1_1[#All],2,FALSE)</f>
        <v>0</v>
      </c>
    </row>
    <row r="172" spans="1:10" x14ac:dyDescent="0.3">
      <c r="A172" t="s">
        <v>716</v>
      </c>
      <c r="B172" t="s">
        <v>57</v>
      </c>
      <c r="C172" t="s">
        <v>2280</v>
      </c>
      <c r="D172" t="s">
        <v>2281</v>
      </c>
      <c r="E172" t="s">
        <v>2278</v>
      </c>
      <c r="F172">
        <v>2024</v>
      </c>
      <c r="G172" t="s">
        <v>2283</v>
      </c>
      <c r="H172">
        <v>700</v>
      </c>
      <c r="I172">
        <v>99</v>
      </c>
      <c r="J172" cm="1">
        <f t="array" aca="1" ref="J172" ca="1">_xlfn.UNIQUE(Table1_1[#All],2,FALSE)</f>
        <v>0</v>
      </c>
    </row>
    <row r="173" spans="1:10" x14ac:dyDescent="0.3">
      <c r="A173" t="s">
        <v>266</v>
      </c>
      <c r="B173" t="s">
        <v>28</v>
      </c>
      <c r="C173" t="s">
        <v>37</v>
      </c>
      <c r="D173" t="s">
        <v>2284</v>
      </c>
      <c r="E173" t="s">
        <v>2282</v>
      </c>
      <c r="F173">
        <v>2023</v>
      </c>
      <c r="G173" t="s">
        <v>2279</v>
      </c>
      <c r="H173">
        <v>1200</v>
      </c>
      <c r="I173">
        <v>100</v>
      </c>
      <c r="J173" cm="1">
        <f t="array" aca="1" ref="J173" ca="1">_xlfn.UNIQUE(Table1_1[#All],2,FALSE)</f>
        <v>0</v>
      </c>
    </row>
    <row r="174" spans="1:10" x14ac:dyDescent="0.3">
      <c r="A174" t="s">
        <v>754</v>
      </c>
      <c r="B174" t="s">
        <v>98</v>
      </c>
      <c r="C174" t="s">
        <v>2288</v>
      </c>
      <c r="D174" t="s">
        <v>2284</v>
      </c>
      <c r="E174" t="s">
        <v>2278</v>
      </c>
      <c r="F174">
        <v>2021</v>
      </c>
      <c r="G174" t="s">
        <v>2289</v>
      </c>
      <c r="H174">
        <v>500</v>
      </c>
      <c r="I174">
        <v>53</v>
      </c>
      <c r="J174" cm="1">
        <f t="array" aca="1" ref="J174" ca="1">_xlfn.UNIQUE(Table1_1[#All],2,FALSE)</f>
        <v>0</v>
      </c>
    </row>
    <row r="175" spans="1:10" x14ac:dyDescent="0.3">
      <c r="A175" t="s">
        <v>2290</v>
      </c>
      <c r="B175" t="s">
        <v>57</v>
      </c>
      <c r="C175" t="s">
        <v>37</v>
      </c>
      <c r="D175" t="s">
        <v>2286</v>
      </c>
      <c r="E175" t="s">
        <v>2282</v>
      </c>
      <c r="F175">
        <v>2022</v>
      </c>
      <c r="G175" t="s">
        <v>2285</v>
      </c>
      <c r="H175">
        <v>1200</v>
      </c>
      <c r="I175">
        <v>199</v>
      </c>
      <c r="J175" cm="1">
        <f t="array" aca="1" ref="J175" ca="1">_xlfn.UNIQUE(Table1_1[#All],2,FALSE)</f>
        <v>0</v>
      </c>
    </row>
    <row r="176" spans="1:10" x14ac:dyDescent="0.3">
      <c r="A176" t="s">
        <v>97</v>
      </c>
      <c r="B176" t="s">
        <v>64</v>
      </c>
      <c r="C176" t="s">
        <v>19</v>
      </c>
      <c r="D176" t="s">
        <v>2284</v>
      </c>
      <c r="E176" t="s">
        <v>2282</v>
      </c>
      <c r="F176">
        <v>2022</v>
      </c>
      <c r="G176" t="s">
        <v>2289</v>
      </c>
      <c r="H176">
        <v>500</v>
      </c>
      <c r="I176">
        <v>292</v>
      </c>
      <c r="J176" cm="1">
        <f t="array" aca="1" ref="J176" ca="1">_xlfn.UNIQUE(Table1_1[#All],2,FALSE)</f>
        <v>0</v>
      </c>
    </row>
    <row r="177" spans="1:10" x14ac:dyDescent="0.3">
      <c r="A177" t="s">
        <v>1309</v>
      </c>
      <c r="B177" t="s">
        <v>98</v>
      </c>
      <c r="C177" t="s">
        <v>37</v>
      </c>
      <c r="D177" t="s">
        <v>2286</v>
      </c>
      <c r="E177" t="s">
        <v>2282</v>
      </c>
      <c r="F177">
        <v>2022</v>
      </c>
      <c r="G177" t="s">
        <v>2289</v>
      </c>
      <c r="H177">
        <v>1500</v>
      </c>
      <c r="I177">
        <v>82</v>
      </c>
      <c r="J177" cm="1">
        <f t="array" aca="1" ref="J177" ca="1">_xlfn.UNIQUE(Table1_1[#All],2,FALSE)</f>
        <v>0</v>
      </c>
    </row>
    <row r="178" spans="1:10" x14ac:dyDescent="0.3">
      <c r="A178" t="s">
        <v>543</v>
      </c>
      <c r="B178" t="s">
        <v>64</v>
      </c>
      <c r="C178" t="s">
        <v>19</v>
      </c>
      <c r="D178" t="s">
        <v>2286</v>
      </c>
      <c r="E178" t="s">
        <v>2287</v>
      </c>
      <c r="F178">
        <v>2024</v>
      </c>
      <c r="G178" t="s">
        <v>2285</v>
      </c>
      <c r="H178">
        <v>1500</v>
      </c>
      <c r="I178">
        <v>197</v>
      </c>
      <c r="J178" cm="1">
        <f t="array" aca="1" ref="J178" ca="1">_xlfn.UNIQUE(Table1_1[#All],2,FALSE)</f>
        <v>0</v>
      </c>
    </row>
    <row r="179" spans="1:10" x14ac:dyDescent="0.3">
      <c r="A179" t="s">
        <v>1148</v>
      </c>
      <c r="B179" t="s">
        <v>28</v>
      </c>
      <c r="C179" t="s">
        <v>2276</v>
      </c>
      <c r="D179" t="s">
        <v>2284</v>
      </c>
      <c r="E179" t="s">
        <v>2278</v>
      </c>
      <c r="F179">
        <v>2022</v>
      </c>
      <c r="G179" t="s">
        <v>2283</v>
      </c>
      <c r="H179">
        <v>700</v>
      </c>
      <c r="I179">
        <v>187</v>
      </c>
      <c r="J179" cm="1">
        <f t="array" aca="1" ref="J179" ca="1">_xlfn.UNIQUE(Table1_1[#All],2,FALSE)</f>
        <v>0</v>
      </c>
    </row>
    <row r="180" spans="1:10" x14ac:dyDescent="0.3">
      <c r="A180" t="s">
        <v>403</v>
      </c>
      <c r="B180" t="s">
        <v>98</v>
      </c>
      <c r="C180" t="s">
        <v>2288</v>
      </c>
      <c r="D180" t="s">
        <v>2281</v>
      </c>
      <c r="E180" t="s">
        <v>2287</v>
      </c>
      <c r="F180">
        <v>2022</v>
      </c>
      <c r="G180" t="s">
        <v>2283</v>
      </c>
      <c r="H180">
        <v>1200</v>
      </c>
      <c r="I180">
        <v>187</v>
      </c>
      <c r="J180" cm="1">
        <f t="array" aca="1" ref="J180" ca="1">_xlfn.UNIQUE(Table1_1[#All],2,FALSE)</f>
        <v>0</v>
      </c>
    </row>
    <row r="181" spans="1:10" x14ac:dyDescent="0.3">
      <c r="A181" t="s">
        <v>1882</v>
      </c>
      <c r="B181" t="s">
        <v>73</v>
      </c>
      <c r="C181" t="s">
        <v>19</v>
      </c>
      <c r="D181" t="s">
        <v>2281</v>
      </c>
      <c r="E181" t="s">
        <v>2287</v>
      </c>
      <c r="F181">
        <v>2023</v>
      </c>
      <c r="G181" t="s">
        <v>2285</v>
      </c>
      <c r="H181">
        <v>1500</v>
      </c>
      <c r="I181">
        <v>111</v>
      </c>
      <c r="J181" cm="1">
        <f t="array" aca="1" ref="J181" ca="1">_xlfn.UNIQUE(Table1_1[#All],2,FALSE)</f>
        <v>0</v>
      </c>
    </row>
    <row r="182" spans="1:10" x14ac:dyDescent="0.3">
      <c r="A182" t="s">
        <v>339</v>
      </c>
      <c r="B182" t="s">
        <v>64</v>
      </c>
      <c r="C182" t="s">
        <v>19</v>
      </c>
      <c r="D182" t="s">
        <v>29</v>
      </c>
      <c r="E182" t="s">
        <v>2278</v>
      </c>
      <c r="F182">
        <v>2021</v>
      </c>
      <c r="G182" t="s">
        <v>2283</v>
      </c>
      <c r="H182">
        <v>1500</v>
      </c>
      <c r="I182">
        <v>268</v>
      </c>
      <c r="J182" cm="1">
        <f t="array" aca="1" ref="J182" ca="1">_xlfn.UNIQUE(Table1_1[#All],2,FALSE)</f>
        <v>0</v>
      </c>
    </row>
    <row r="183" spans="1:10" x14ac:dyDescent="0.3">
      <c r="A183" t="s">
        <v>398</v>
      </c>
      <c r="B183" t="s">
        <v>57</v>
      </c>
      <c r="C183" t="s">
        <v>2280</v>
      </c>
      <c r="D183" t="s">
        <v>29</v>
      </c>
      <c r="E183" t="s">
        <v>2278</v>
      </c>
      <c r="F183">
        <v>2023</v>
      </c>
      <c r="G183" t="s">
        <v>2289</v>
      </c>
      <c r="H183">
        <v>700</v>
      </c>
      <c r="I183">
        <v>249</v>
      </c>
      <c r="J183" cm="1">
        <f t="array" aca="1" ref="J183" ca="1">_xlfn.UNIQUE(Table1_1[#All],2,FALSE)</f>
        <v>0</v>
      </c>
    </row>
    <row r="184" spans="1:10" x14ac:dyDescent="0.3">
      <c r="A184" t="s">
        <v>1593</v>
      </c>
      <c r="B184" t="s">
        <v>73</v>
      </c>
      <c r="C184" t="s">
        <v>37</v>
      </c>
      <c r="D184" t="s">
        <v>2281</v>
      </c>
      <c r="E184" t="s">
        <v>2282</v>
      </c>
      <c r="F184">
        <v>2021</v>
      </c>
      <c r="G184" t="s">
        <v>2285</v>
      </c>
      <c r="H184">
        <v>1500</v>
      </c>
      <c r="I184">
        <v>106</v>
      </c>
      <c r="J184" cm="1">
        <f t="array" aca="1" ref="J184" ca="1">_xlfn.UNIQUE(Table1_1[#All],2,FALSE)</f>
        <v>0</v>
      </c>
    </row>
    <row r="185" spans="1:10" x14ac:dyDescent="0.3">
      <c r="A185" t="s">
        <v>2040</v>
      </c>
      <c r="B185" t="s">
        <v>57</v>
      </c>
      <c r="C185" t="s">
        <v>19</v>
      </c>
      <c r="D185" t="s">
        <v>2281</v>
      </c>
      <c r="E185" t="s">
        <v>2282</v>
      </c>
      <c r="F185">
        <v>2022</v>
      </c>
      <c r="G185" t="s">
        <v>2279</v>
      </c>
      <c r="H185">
        <v>700</v>
      </c>
      <c r="I185">
        <v>97</v>
      </c>
      <c r="J185" cm="1">
        <f t="array" aca="1" ref="J185" ca="1">_xlfn.UNIQUE(Table1_1[#All],2,FALSE)</f>
        <v>0</v>
      </c>
    </row>
    <row r="186" spans="1:10" x14ac:dyDescent="0.3">
      <c r="A186" t="s">
        <v>1653</v>
      </c>
      <c r="B186" t="s">
        <v>73</v>
      </c>
      <c r="C186" t="s">
        <v>2288</v>
      </c>
      <c r="D186" t="s">
        <v>2284</v>
      </c>
      <c r="E186" t="s">
        <v>2282</v>
      </c>
      <c r="F186">
        <v>2021</v>
      </c>
      <c r="G186" t="s">
        <v>2279</v>
      </c>
      <c r="H186">
        <v>700</v>
      </c>
      <c r="I186">
        <v>87</v>
      </c>
      <c r="J186" cm="1">
        <f t="array" aca="1" ref="J186" ca="1">_xlfn.UNIQUE(Table1_1[#All],2,FALSE)</f>
        <v>0</v>
      </c>
    </row>
    <row r="187" spans="1:10" x14ac:dyDescent="0.3">
      <c r="A187" t="s">
        <v>1097</v>
      </c>
      <c r="B187" t="s">
        <v>57</v>
      </c>
      <c r="C187" t="s">
        <v>2276</v>
      </c>
      <c r="D187" t="s">
        <v>2281</v>
      </c>
      <c r="E187" t="s">
        <v>2287</v>
      </c>
      <c r="F187">
        <v>2021</v>
      </c>
      <c r="G187" t="s">
        <v>2279</v>
      </c>
      <c r="H187">
        <v>1500</v>
      </c>
      <c r="I187">
        <v>64</v>
      </c>
      <c r="J187" cm="1">
        <f t="array" aca="1" ref="J187" ca="1">_xlfn.UNIQUE(Table1_1[#All],2,FALSE)</f>
        <v>0</v>
      </c>
    </row>
    <row r="188" spans="1:10" x14ac:dyDescent="0.3">
      <c r="A188" t="s">
        <v>983</v>
      </c>
      <c r="B188" t="s">
        <v>73</v>
      </c>
      <c r="C188" t="s">
        <v>2288</v>
      </c>
      <c r="D188" t="s">
        <v>2281</v>
      </c>
      <c r="E188" t="s">
        <v>2287</v>
      </c>
      <c r="F188">
        <v>2022</v>
      </c>
      <c r="G188" t="s">
        <v>2279</v>
      </c>
      <c r="H188">
        <v>1200</v>
      </c>
      <c r="I188">
        <v>252</v>
      </c>
      <c r="J188" cm="1">
        <f t="array" aca="1" ref="J188" ca="1">_xlfn.UNIQUE(Table1_1[#All],2,FALSE)</f>
        <v>0</v>
      </c>
    </row>
    <row r="189" spans="1:10" x14ac:dyDescent="0.3">
      <c r="A189" t="s">
        <v>331</v>
      </c>
      <c r="B189" t="s">
        <v>64</v>
      </c>
      <c r="C189" t="s">
        <v>19</v>
      </c>
      <c r="D189" t="s">
        <v>2281</v>
      </c>
      <c r="E189" t="s">
        <v>2282</v>
      </c>
      <c r="F189">
        <v>2022</v>
      </c>
      <c r="G189" t="s">
        <v>2289</v>
      </c>
      <c r="H189">
        <v>900</v>
      </c>
      <c r="I189">
        <v>244</v>
      </c>
      <c r="J189" cm="1">
        <f t="array" aca="1" ref="J189" ca="1">_xlfn.UNIQUE(Table1_1[#All],2,FALSE)</f>
        <v>0</v>
      </c>
    </row>
    <row r="190" spans="1:10" x14ac:dyDescent="0.3">
      <c r="A190" t="s">
        <v>36</v>
      </c>
      <c r="B190" t="s">
        <v>73</v>
      </c>
      <c r="C190" t="s">
        <v>37</v>
      </c>
      <c r="D190" t="s">
        <v>29</v>
      </c>
      <c r="E190" t="s">
        <v>2278</v>
      </c>
      <c r="F190">
        <v>2024</v>
      </c>
      <c r="G190" t="s">
        <v>2279</v>
      </c>
      <c r="H190">
        <v>1500</v>
      </c>
      <c r="I190">
        <v>142</v>
      </c>
      <c r="J190" cm="1">
        <f t="array" aca="1" ref="J190" ca="1">_xlfn.UNIQUE(Table1_1[#All],2,FALSE)</f>
        <v>0</v>
      </c>
    </row>
    <row r="191" spans="1:10" x14ac:dyDescent="0.3">
      <c r="A191" t="s">
        <v>1267</v>
      </c>
      <c r="B191" t="s">
        <v>64</v>
      </c>
      <c r="C191" t="s">
        <v>2276</v>
      </c>
      <c r="D191" t="s">
        <v>2277</v>
      </c>
      <c r="E191" t="s">
        <v>2278</v>
      </c>
      <c r="F191">
        <v>2024</v>
      </c>
      <c r="G191" t="s">
        <v>2283</v>
      </c>
      <c r="H191">
        <v>500</v>
      </c>
      <c r="I191">
        <v>158</v>
      </c>
      <c r="J191" cm="1">
        <f t="array" aca="1" ref="J191" ca="1">_xlfn.UNIQUE(Table1_1[#All],2,FALSE)</f>
        <v>0</v>
      </c>
    </row>
    <row r="192" spans="1:10" x14ac:dyDescent="0.3">
      <c r="A192" t="s">
        <v>886</v>
      </c>
      <c r="B192" t="s">
        <v>73</v>
      </c>
      <c r="C192" t="s">
        <v>37</v>
      </c>
      <c r="D192" t="s">
        <v>2281</v>
      </c>
      <c r="E192" t="s">
        <v>2282</v>
      </c>
      <c r="F192">
        <v>2021</v>
      </c>
      <c r="G192" t="s">
        <v>2289</v>
      </c>
      <c r="H192">
        <v>1500</v>
      </c>
      <c r="I192">
        <v>138</v>
      </c>
      <c r="J192" cm="1">
        <f t="array" aca="1" ref="J192" ca="1">_xlfn.UNIQUE(Table1_1[#All],2,FALSE)</f>
        <v>0</v>
      </c>
    </row>
    <row r="193" spans="1:10" x14ac:dyDescent="0.3">
      <c r="A193" t="s">
        <v>597</v>
      </c>
      <c r="B193" t="s">
        <v>98</v>
      </c>
      <c r="C193" t="s">
        <v>2280</v>
      </c>
      <c r="D193" t="s">
        <v>29</v>
      </c>
      <c r="E193" t="s">
        <v>2278</v>
      </c>
      <c r="F193">
        <v>2021</v>
      </c>
      <c r="G193" t="s">
        <v>2283</v>
      </c>
      <c r="H193">
        <v>1500</v>
      </c>
      <c r="I193">
        <v>219</v>
      </c>
      <c r="J193" cm="1">
        <f t="array" aca="1" ref="J193" ca="1">_xlfn.UNIQUE(Table1_1[#All],2,FALSE)</f>
        <v>0</v>
      </c>
    </row>
    <row r="194" spans="1:10" x14ac:dyDescent="0.3">
      <c r="A194" t="s">
        <v>914</v>
      </c>
      <c r="B194" t="s">
        <v>64</v>
      </c>
      <c r="C194" t="s">
        <v>2288</v>
      </c>
      <c r="D194" t="s">
        <v>29</v>
      </c>
      <c r="E194" t="s">
        <v>2287</v>
      </c>
      <c r="F194">
        <v>2021</v>
      </c>
      <c r="G194" t="s">
        <v>2285</v>
      </c>
      <c r="H194">
        <v>700</v>
      </c>
      <c r="I194">
        <v>110</v>
      </c>
      <c r="J194" cm="1">
        <f t="array" aca="1" ref="J194" ca="1">_xlfn.UNIQUE(Table1_1[#All],2,FALSE)</f>
        <v>0</v>
      </c>
    </row>
    <row r="195" spans="1:10" x14ac:dyDescent="0.3">
      <c r="A195" t="s">
        <v>306</v>
      </c>
      <c r="B195" t="s">
        <v>73</v>
      </c>
      <c r="C195" t="s">
        <v>19</v>
      </c>
      <c r="D195" t="s">
        <v>2286</v>
      </c>
      <c r="E195" t="s">
        <v>2282</v>
      </c>
      <c r="F195">
        <v>2022</v>
      </c>
      <c r="G195" t="s">
        <v>2289</v>
      </c>
      <c r="H195">
        <v>700</v>
      </c>
      <c r="I195">
        <v>44</v>
      </c>
      <c r="J195" cm="1">
        <f t="array" aca="1" ref="J195" ca="1">_xlfn.UNIQUE(Table1_1[#All],2,FALSE)</f>
        <v>0</v>
      </c>
    </row>
    <row r="196" spans="1:10" x14ac:dyDescent="0.3">
      <c r="A196" t="s">
        <v>362</v>
      </c>
      <c r="B196" t="s">
        <v>57</v>
      </c>
      <c r="C196" t="s">
        <v>2276</v>
      </c>
      <c r="D196" t="s">
        <v>2284</v>
      </c>
      <c r="E196" t="s">
        <v>2287</v>
      </c>
      <c r="F196">
        <v>2024</v>
      </c>
      <c r="G196" t="s">
        <v>2283</v>
      </c>
      <c r="H196">
        <v>500</v>
      </c>
      <c r="I196">
        <v>59</v>
      </c>
      <c r="J196" cm="1">
        <f t="array" aca="1" ref="J196" ca="1">_xlfn.UNIQUE(Table1_1[#All],2,FALSE)</f>
        <v>0</v>
      </c>
    </row>
    <row r="197" spans="1:10" x14ac:dyDescent="0.3">
      <c r="A197" t="s">
        <v>976</v>
      </c>
      <c r="B197" t="s">
        <v>64</v>
      </c>
      <c r="C197" t="s">
        <v>2276</v>
      </c>
      <c r="D197" t="s">
        <v>2277</v>
      </c>
      <c r="E197" t="s">
        <v>2282</v>
      </c>
      <c r="F197">
        <v>2024</v>
      </c>
      <c r="G197" t="s">
        <v>2285</v>
      </c>
      <c r="H197">
        <v>1200</v>
      </c>
      <c r="I197">
        <v>85</v>
      </c>
      <c r="J197" cm="1">
        <f t="array" aca="1" ref="J197" ca="1">_xlfn.UNIQUE(Table1_1[#All],2,FALSE)</f>
        <v>0</v>
      </c>
    </row>
    <row r="198" spans="1:10" x14ac:dyDescent="0.3">
      <c r="A198" t="s">
        <v>839</v>
      </c>
      <c r="B198" t="s">
        <v>57</v>
      </c>
      <c r="C198" t="s">
        <v>37</v>
      </c>
      <c r="D198" t="s">
        <v>2284</v>
      </c>
      <c r="E198" t="s">
        <v>2287</v>
      </c>
      <c r="F198">
        <v>2023</v>
      </c>
      <c r="G198" t="s">
        <v>2279</v>
      </c>
      <c r="H198">
        <v>500</v>
      </c>
      <c r="I198">
        <v>235</v>
      </c>
      <c r="J198" cm="1">
        <f t="array" aca="1" ref="J198" ca="1">_xlfn.UNIQUE(Table1_1[#All],2,FALSE)</f>
        <v>0</v>
      </c>
    </row>
    <row r="199" spans="1:10" x14ac:dyDescent="0.3">
      <c r="A199" t="s">
        <v>2292</v>
      </c>
      <c r="B199" t="s">
        <v>28</v>
      </c>
      <c r="C199" t="s">
        <v>2276</v>
      </c>
      <c r="D199" t="s">
        <v>2277</v>
      </c>
      <c r="E199" t="s">
        <v>2282</v>
      </c>
      <c r="F199">
        <v>2024</v>
      </c>
      <c r="G199" t="s">
        <v>2289</v>
      </c>
      <c r="H199">
        <v>500</v>
      </c>
      <c r="I199">
        <v>133</v>
      </c>
      <c r="J199" cm="1">
        <f t="array" aca="1" ref="J199" ca="1">_xlfn.UNIQUE(Table1_1[#All],2,FALSE)</f>
        <v>0</v>
      </c>
    </row>
    <row r="200" spans="1:10" x14ac:dyDescent="0.3">
      <c r="A200" t="s">
        <v>2293</v>
      </c>
      <c r="B200" t="s">
        <v>57</v>
      </c>
      <c r="C200" t="s">
        <v>2280</v>
      </c>
      <c r="D200" t="s">
        <v>2277</v>
      </c>
      <c r="E200" t="s">
        <v>2282</v>
      </c>
      <c r="F200">
        <v>2021</v>
      </c>
      <c r="G200" t="s">
        <v>2279</v>
      </c>
      <c r="H200">
        <v>500</v>
      </c>
      <c r="I200">
        <v>120</v>
      </c>
      <c r="J200" cm="1">
        <f t="array" aca="1" ref="J200" ca="1">_xlfn.UNIQUE(Table1_1[#All],2,FALSE)</f>
        <v>0</v>
      </c>
    </row>
    <row r="201" spans="1:10" x14ac:dyDescent="0.3">
      <c r="A201" t="s">
        <v>2294</v>
      </c>
      <c r="B201" t="s">
        <v>98</v>
      </c>
      <c r="C201" t="s">
        <v>2280</v>
      </c>
      <c r="D201" t="s">
        <v>2286</v>
      </c>
      <c r="E201" t="s">
        <v>2287</v>
      </c>
      <c r="F201">
        <v>2022</v>
      </c>
      <c r="G201" t="s">
        <v>2279</v>
      </c>
      <c r="H201">
        <v>1500</v>
      </c>
      <c r="I201">
        <v>199</v>
      </c>
      <c r="J201" cm="1">
        <f t="array" aca="1" ref="J201" ca="1">_xlfn.UNIQUE(Table1_1[#All],2,FALSE)</f>
        <v>0</v>
      </c>
    </row>
    <row r="202" spans="1:10" x14ac:dyDescent="0.3">
      <c r="A202" t="s">
        <v>2296</v>
      </c>
      <c r="B202" t="s">
        <v>64</v>
      </c>
      <c r="C202" t="s">
        <v>2280</v>
      </c>
      <c r="D202" t="s">
        <v>2286</v>
      </c>
      <c r="E202" t="s">
        <v>2282</v>
      </c>
      <c r="F202">
        <v>2022</v>
      </c>
      <c r="G202" t="s">
        <v>2285</v>
      </c>
      <c r="H202">
        <v>1500</v>
      </c>
      <c r="I202">
        <v>157</v>
      </c>
      <c r="J202" cm="1">
        <f t="array" aca="1" ref="J202" ca="1">_xlfn.UNIQUE(Table1_1[#All],2,FALSE)</f>
        <v>0</v>
      </c>
    </row>
    <row r="203" spans="1:10" x14ac:dyDescent="0.3">
      <c r="A203" t="s">
        <v>2297</v>
      </c>
      <c r="B203" t="s">
        <v>64</v>
      </c>
      <c r="C203" t="s">
        <v>19</v>
      </c>
      <c r="D203" t="s">
        <v>29</v>
      </c>
      <c r="E203" t="s">
        <v>2278</v>
      </c>
      <c r="F203">
        <v>2024</v>
      </c>
      <c r="G203" t="s">
        <v>2279</v>
      </c>
      <c r="H203">
        <v>500</v>
      </c>
      <c r="I203">
        <v>37</v>
      </c>
      <c r="J203" cm="1">
        <f t="array" aca="1" ref="J203" ca="1">_xlfn.UNIQUE(Table1_1[#All],2,FALSE)</f>
        <v>0</v>
      </c>
    </row>
    <row r="204" spans="1:10" x14ac:dyDescent="0.3">
      <c r="A204" t="s">
        <v>2298</v>
      </c>
      <c r="B204" t="s">
        <v>64</v>
      </c>
      <c r="C204" t="s">
        <v>2276</v>
      </c>
      <c r="D204" t="s">
        <v>2284</v>
      </c>
      <c r="E204" t="s">
        <v>2282</v>
      </c>
      <c r="F204">
        <v>2024</v>
      </c>
      <c r="G204" t="s">
        <v>2279</v>
      </c>
      <c r="H204">
        <v>900</v>
      </c>
      <c r="I204">
        <v>227</v>
      </c>
      <c r="J204" cm="1">
        <f t="array" aca="1" ref="J204" ca="1">_xlfn.UNIQUE(Table1_1[#All],2,FALSE)</f>
        <v>0</v>
      </c>
    </row>
    <row r="205" spans="1:10" x14ac:dyDescent="0.3">
      <c r="A205" t="s">
        <v>2299</v>
      </c>
      <c r="B205" t="s">
        <v>28</v>
      </c>
      <c r="C205" t="s">
        <v>37</v>
      </c>
      <c r="D205" t="s">
        <v>2281</v>
      </c>
      <c r="E205" t="s">
        <v>2282</v>
      </c>
      <c r="F205">
        <v>2023</v>
      </c>
      <c r="G205" t="s">
        <v>2285</v>
      </c>
      <c r="H205">
        <v>1500</v>
      </c>
      <c r="I205">
        <v>221</v>
      </c>
      <c r="J205" cm="1">
        <f t="array" aca="1" ref="J205" ca="1">_xlfn.UNIQUE(Table1_1[#All],2,FALSE)</f>
        <v>0</v>
      </c>
    </row>
    <row r="206" spans="1:10" x14ac:dyDescent="0.3">
      <c r="A206" t="s">
        <v>2301</v>
      </c>
      <c r="B206" t="s">
        <v>73</v>
      </c>
      <c r="C206" t="s">
        <v>19</v>
      </c>
      <c r="D206" t="s">
        <v>2277</v>
      </c>
      <c r="E206" t="s">
        <v>2282</v>
      </c>
      <c r="F206">
        <v>2021</v>
      </c>
      <c r="G206" t="s">
        <v>2279</v>
      </c>
      <c r="H206">
        <v>900</v>
      </c>
      <c r="I206">
        <v>215</v>
      </c>
      <c r="J206" cm="1">
        <f t="array" aca="1" ref="J206" ca="1">_xlfn.UNIQUE(Table1_1[#All],2,FALSE)</f>
        <v>0</v>
      </c>
    </row>
    <row r="207" spans="1:10" x14ac:dyDescent="0.3">
      <c r="A207" t="s">
        <v>2302</v>
      </c>
      <c r="B207" t="s">
        <v>73</v>
      </c>
      <c r="C207" t="s">
        <v>2276</v>
      </c>
      <c r="D207" t="s">
        <v>2281</v>
      </c>
      <c r="E207" t="s">
        <v>2282</v>
      </c>
      <c r="F207">
        <v>2021</v>
      </c>
      <c r="G207" t="s">
        <v>2283</v>
      </c>
      <c r="H207">
        <v>500</v>
      </c>
      <c r="I207">
        <v>52</v>
      </c>
      <c r="J207" cm="1">
        <f t="array" aca="1" ref="J207" ca="1">_xlfn.UNIQUE(Table1_1[#All],2,FALSE)</f>
        <v>0</v>
      </c>
    </row>
    <row r="208" spans="1:10" x14ac:dyDescent="0.3">
      <c r="A208" t="s">
        <v>2304</v>
      </c>
      <c r="B208" t="s">
        <v>64</v>
      </c>
      <c r="C208" t="s">
        <v>2276</v>
      </c>
      <c r="D208" t="s">
        <v>2286</v>
      </c>
      <c r="E208" t="s">
        <v>2278</v>
      </c>
      <c r="F208">
        <v>2023</v>
      </c>
      <c r="G208" t="s">
        <v>2279</v>
      </c>
      <c r="H208">
        <v>1500</v>
      </c>
      <c r="I208">
        <v>89</v>
      </c>
      <c r="J208" cm="1">
        <f t="array" aca="1" ref="J208" ca="1">_xlfn.UNIQUE(Table1_1[#All],2,FALSE)</f>
        <v>0</v>
      </c>
    </row>
    <row r="209" spans="1:10" x14ac:dyDescent="0.3">
      <c r="A209" t="s">
        <v>2305</v>
      </c>
      <c r="B209" t="s">
        <v>64</v>
      </c>
      <c r="C209" t="s">
        <v>19</v>
      </c>
      <c r="D209" t="s">
        <v>2284</v>
      </c>
      <c r="E209" t="s">
        <v>2287</v>
      </c>
      <c r="F209">
        <v>2021</v>
      </c>
      <c r="G209" t="s">
        <v>2279</v>
      </c>
      <c r="H209">
        <v>1200</v>
      </c>
      <c r="I209">
        <v>126</v>
      </c>
      <c r="J209" cm="1">
        <f t="array" aca="1" ref="J209" ca="1">_xlfn.UNIQUE(Table1_1[#All],2,FALSE)</f>
        <v>0</v>
      </c>
    </row>
    <row r="210" spans="1:10" x14ac:dyDescent="0.3">
      <c r="A210" t="s">
        <v>2306</v>
      </c>
      <c r="B210" t="s">
        <v>28</v>
      </c>
      <c r="C210" t="s">
        <v>19</v>
      </c>
      <c r="D210" t="s">
        <v>29</v>
      </c>
      <c r="E210" t="s">
        <v>2278</v>
      </c>
      <c r="F210">
        <v>2023</v>
      </c>
      <c r="G210" t="s">
        <v>2289</v>
      </c>
      <c r="H210">
        <v>1500</v>
      </c>
      <c r="I210">
        <v>113</v>
      </c>
      <c r="J210" cm="1">
        <f t="array" aca="1" ref="J210" ca="1">_xlfn.UNIQUE(Table1_1[#All],2,FALSE)</f>
        <v>0</v>
      </c>
    </row>
    <row r="211" spans="1:10" x14ac:dyDescent="0.3">
      <c r="A211" t="s">
        <v>2307</v>
      </c>
      <c r="B211" t="s">
        <v>64</v>
      </c>
      <c r="C211" t="s">
        <v>37</v>
      </c>
      <c r="D211" t="s">
        <v>2281</v>
      </c>
      <c r="E211" t="s">
        <v>2278</v>
      </c>
      <c r="F211">
        <v>2023</v>
      </c>
      <c r="G211" t="s">
        <v>2289</v>
      </c>
      <c r="H211">
        <v>500</v>
      </c>
      <c r="I211">
        <v>137</v>
      </c>
      <c r="J211" cm="1">
        <f t="array" aca="1" ref="J211" ca="1">_xlfn.UNIQUE(Table1_1[#All],2,FALSE)</f>
        <v>0</v>
      </c>
    </row>
    <row r="212" spans="1:10" x14ac:dyDescent="0.3">
      <c r="A212" t="s">
        <v>2309</v>
      </c>
      <c r="B212" t="s">
        <v>28</v>
      </c>
      <c r="C212" t="s">
        <v>37</v>
      </c>
      <c r="D212" t="s">
        <v>2281</v>
      </c>
      <c r="E212" t="s">
        <v>2278</v>
      </c>
      <c r="F212">
        <v>2022</v>
      </c>
      <c r="G212" t="s">
        <v>2279</v>
      </c>
      <c r="H212">
        <v>900</v>
      </c>
      <c r="I212">
        <v>194</v>
      </c>
      <c r="J212" cm="1">
        <f t="array" aca="1" ref="J212" ca="1">_xlfn.UNIQUE(Table1_1[#All],2,FALSE)</f>
        <v>0</v>
      </c>
    </row>
    <row r="213" spans="1:10" x14ac:dyDescent="0.3">
      <c r="A213" t="s">
        <v>2310</v>
      </c>
      <c r="B213" t="s">
        <v>64</v>
      </c>
      <c r="C213" t="s">
        <v>2280</v>
      </c>
      <c r="D213" t="s">
        <v>2277</v>
      </c>
      <c r="E213" t="s">
        <v>2287</v>
      </c>
      <c r="F213">
        <v>2023</v>
      </c>
      <c r="G213" t="s">
        <v>2289</v>
      </c>
      <c r="H213">
        <v>900</v>
      </c>
      <c r="I213">
        <v>269</v>
      </c>
      <c r="J213" cm="1">
        <f t="array" aca="1" ref="J213" ca="1">_xlfn.UNIQUE(Table1_1[#All],2,FALSE)</f>
        <v>0</v>
      </c>
    </row>
    <row r="214" spans="1:10" x14ac:dyDescent="0.3">
      <c r="A214" t="s">
        <v>2313</v>
      </c>
      <c r="B214" t="s">
        <v>98</v>
      </c>
      <c r="C214" t="s">
        <v>2288</v>
      </c>
      <c r="D214" t="s">
        <v>29</v>
      </c>
      <c r="E214" t="s">
        <v>2282</v>
      </c>
      <c r="F214">
        <v>2021</v>
      </c>
      <c r="G214" t="s">
        <v>2283</v>
      </c>
      <c r="H214">
        <v>1500</v>
      </c>
      <c r="I214">
        <v>68</v>
      </c>
      <c r="J214" cm="1">
        <f t="array" aca="1" ref="J214" ca="1">_xlfn.UNIQUE(Table1_1[#All],2,FALSE)</f>
        <v>0</v>
      </c>
    </row>
    <row r="215" spans="1:10" x14ac:dyDescent="0.3">
      <c r="A215" t="s">
        <v>2315</v>
      </c>
      <c r="B215" t="s">
        <v>64</v>
      </c>
      <c r="C215" t="s">
        <v>2288</v>
      </c>
      <c r="D215" t="s">
        <v>2277</v>
      </c>
      <c r="E215" t="s">
        <v>2282</v>
      </c>
      <c r="F215">
        <v>2023</v>
      </c>
      <c r="G215" t="s">
        <v>2283</v>
      </c>
      <c r="H215">
        <v>700</v>
      </c>
      <c r="I215">
        <v>230</v>
      </c>
      <c r="J215" cm="1">
        <f t="array" aca="1" ref="J215" ca="1">_xlfn.UNIQUE(Table1_1[#All],2,FALSE)</f>
        <v>0</v>
      </c>
    </row>
    <row r="216" spans="1:10" x14ac:dyDescent="0.3">
      <c r="A216" t="s">
        <v>2317</v>
      </c>
      <c r="B216" t="s">
        <v>64</v>
      </c>
      <c r="C216" t="s">
        <v>2280</v>
      </c>
      <c r="D216" t="s">
        <v>2284</v>
      </c>
      <c r="E216" t="s">
        <v>2278</v>
      </c>
      <c r="F216">
        <v>2023</v>
      </c>
      <c r="G216" t="s">
        <v>2283</v>
      </c>
      <c r="H216">
        <v>700</v>
      </c>
      <c r="I216">
        <v>76</v>
      </c>
      <c r="J216" cm="1">
        <f t="array" aca="1" ref="J216" ca="1">_xlfn.UNIQUE(Table1_1[#All],2,FALSE)</f>
        <v>0</v>
      </c>
    </row>
    <row r="217" spans="1:10" x14ac:dyDescent="0.3">
      <c r="A217" t="s">
        <v>2320</v>
      </c>
      <c r="B217" t="s">
        <v>64</v>
      </c>
      <c r="C217" t="s">
        <v>2280</v>
      </c>
      <c r="D217" t="s">
        <v>2281</v>
      </c>
      <c r="E217" t="s">
        <v>2278</v>
      </c>
      <c r="F217">
        <v>2023</v>
      </c>
      <c r="G217" t="s">
        <v>2283</v>
      </c>
      <c r="H217">
        <v>700</v>
      </c>
      <c r="I217">
        <v>165</v>
      </c>
      <c r="J217" cm="1">
        <f t="array" aca="1" ref="J217" ca="1">_xlfn.UNIQUE(Table1_1[#All],2,FALSE)</f>
        <v>0</v>
      </c>
    </row>
    <row r="218" spans="1:10" x14ac:dyDescent="0.3">
      <c r="A218" t="s">
        <v>2323</v>
      </c>
      <c r="B218" t="s">
        <v>73</v>
      </c>
      <c r="C218" t="s">
        <v>2280</v>
      </c>
      <c r="D218" t="s">
        <v>2281</v>
      </c>
      <c r="E218" t="s">
        <v>2282</v>
      </c>
      <c r="F218">
        <v>2024</v>
      </c>
      <c r="G218" t="s">
        <v>2285</v>
      </c>
      <c r="H218">
        <v>900</v>
      </c>
      <c r="I218">
        <v>90</v>
      </c>
      <c r="J218" cm="1">
        <f t="array" aca="1" ref="J218" ca="1">_xlfn.UNIQUE(Table1_1[#All],2,FALSE)</f>
        <v>0</v>
      </c>
    </row>
    <row r="219" spans="1:10" x14ac:dyDescent="0.3">
      <c r="A219" t="s">
        <v>2324</v>
      </c>
      <c r="B219" t="s">
        <v>73</v>
      </c>
      <c r="C219" t="s">
        <v>2288</v>
      </c>
      <c r="D219" t="s">
        <v>2277</v>
      </c>
      <c r="E219" t="s">
        <v>2278</v>
      </c>
      <c r="F219">
        <v>2021</v>
      </c>
      <c r="G219" t="s">
        <v>2289</v>
      </c>
      <c r="H219">
        <v>700</v>
      </c>
      <c r="I219">
        <v>232</v>
      </c>
      <c r="J219" cm="1">
        <f t="array" aca="1" ref="J219" ca="1">_xlfn.UNIQUE(Table1_1[#All],2,FALSE)</f>
        <v>0</v>
      </c>
    </row>
    <row r="220" spans="1:10" x14ac:dyDescent="0.3">
      <c r="A220" t="s">
        <v>2327</v>
      </c>
      <c r="B220" t="s">
        <v>57</v>
      </c>
      <c r="C220" t="s">
        <v>37</v>
      </c>
      <c r="D220" t="s">
        <v>2286</v>
      </c>
      <c r="E220" t="s">
        <v>2287</v>
      </c>
      <c r="F220">
        <v>2024</v>
      </c>
      <c r="G220" t="s">
        <v>2285</v>
      </c>
      <c r="H220">
        <v>1500</v>
      </c>
      <c r="I220">
        <v>256</v>
      </c>
      <c r="J220" cm="1">
        <f t="array" aca="1" ref="J220" ca="1">_xlfn.UNIQUE(Table1_1[#All],2,FALSE)</f>
        <v>0</v>
      </c>
    </row>
    <row r="221" spans="1:10" x14ac:dyDescent="0.3">
      <c r="A221" t="s">
        <v>2328</v>
      </c>
      <c r="B221" t="s">
        <v>98</v>
      </c>
      <c r="C221" t="s">
        <v>19</v>
      </c>
      <c r="D221" t="s">
        <v>2286</v>
      </c>
      <c r="E221" t="s">
        <v>2287</v>
      </c>
      <c r="F221">
        <v>2022</v>
      </c>
      <c r="G221" t="s">
        <v>2285</v>
      </c>
      <c r="H221">
        <v>900</v>
      </c>
      <c r="I221">
        <v>26</v>
      </c>
      <c r="J221" cm="1">
        <f t="array" aca="1" ref="J221" ca="1">_xlfn.UNIQUE(Table1_1[#All],2,FALSE)</f>
        <v>0</v>
      </c>
    </row>
    <row r="222" spans="1:10" x14ac:dyDescent="0.3">
      <c r="A222" t="s">
        <v>2329</v>
      </c>
      <c r="B222" t="s">
        <v>64</v>
      </c>
      <c r="C222" t="s">
        <v>2280</v>
      </c>
      <c r="D222" t="s">
        <v>2277</v>
      </c>
      <c r="E222" t="s">
        <v>2278</v>
      </c>
      <c r="F222">
        <v>2021</v>
      </c>
      <c r="G222" t="s">
        <v>2285</v>
      </c>
      <c r="H222">
        <v>1200</v>
      </c>
      <c r="I222">
        <v>160</v>
      </c>
      <c r="J222" cm="1">
        <f t="array" aca="1" ref="J222" ca="1">_xlfn.UNIQUE(Table1_1[#All],2,FALSE)</f>
        <v>0</v>
      </c>
    </row>
    <row r="223" spans="1:10" x14ac:dyDescent="0.3">
      <c r="A223" t="s">
        <v>2330</v>
      </c>
      <c r="B223" t="s">
        <v>57</v>
      </c>
      <c r="C223" t="s">
        <v>2276</v>
      </c>
      <c r="D223" t="s">
        <v>2281</v>
      </c>
      <c r="E223" t="s">
        <v>2287</v>
      </c>
      <c r="F223">
        <v>2022</v>
      </c>
      <c r="G223" t="s">
        <v>2279</v>
      </c>
      <c r="H223">
        <v>1200</v>
      </c>
      <c r="I223">
        <v>298</v>
      </c>
      <c r="J223" cm="1">
        <f t="array" aca="1" ref="J223" ca="1">_xlfn.UNIQUE(Table1_1[#All],2,FALSE)</f>
        <v>0</v>
      </c>
    </row>
    <row r="224" spans="1:10" x14ac:dyDescent="0.3">
      <c r="A224" t="s">
        <v>2331</v>
      </c>
      <c r="B224" t="s">
        <v>64</v>
      </c>
      <c r="C224" t="s">
        <v>19</v>
      </c>
      <c r="D224" t="s">
        <v>2284</v>
      </c>
      <c r="E224" t="s">
        <v>2287</v>
      </c>
      <c r="F224">
        <v>2023</v>
      </c>
      <c r="G224" t="s">
        <v>2285</v>
      </c>
      <c r="H224">
        <v>1500</v>
      </c>
      <c r="I224">
        <v>52</v>
      </c>
      <c r="J224" cm="1">
        <f t="array" aca="1" ref="J224" ca="1">_xlfn.UNIQUE(Table1_1[#All],2,FALSE)</f>
        <v>0</v>
      </c>
    </row>
    <row r="225" spans="1:10" x14ac:dyDescent="0.3">
      <c r="A225" t="s">
        <v>2333</v>
      </c>
      <c r="B225" t="s">
        <v>28</v>
      </c>
      <c r="C225" t="s">
        <v>2276</v>
      </c>
      <c r="D225" t="s">
        <v>2281</v>
      </c>
      <c r="E225" t="s">
        <v>2287</v>
      </c>
      <c r="F225">
        <v>2022</v>
      </c>
      <c r="G225" t="s">
        <v>2285</v>
      </c>
      <c r="H225">
        <v>700</v>
      </c>
      <c r="I225">
        <v>274</v>
      </c>
      <c r="J225" cm="1">
        <f t="array" aca="1" ref="J225" ca="1">_xlfn.UNIQUE(Table1_1[#All],2,FALSE)</f>
        <v>0</v>
      </c>
    </row>
    <row r="226" spans="1:10" x14ac:dyDescent="0.3">
      <c r="A226" t="s">
        <v>2334</v>
      </c>
      <c r="B226" t="s">
        <v>64</v>
      </c>
      <c r="C226" t="s">
        <v>37</v>
      </c>
      <c r="D226" t="s">
        <v>2277</v>
      </c>
      <c r="E226" t="s">
        <v>2282</v>
      </c>
      <c r="F226">
        <v>2024</v>
      </c>
      <c r="G226" t="s">
        <v>2285</v>
      </c>
      <c r="H226">
        <v>500</v>
      </c>
      <c r="I226">
        <v>48</v>
      </c>
      <c r="J226" cm="1">
        <f t="array" aca="1" ref="J226" ca="1">_xlfn.UNIQUE(Table1_1[#All],2,FALSE)</f>
        <v>0</v>
      </c>
    </row>
    <row r="227" spans="1:10" x14ac:dyDescent="0.3">
      <c r="A227" t="s">
        <v>2335</v>
      </c>
      <c r="B227" t="s">
        <v>57</v>
      </c>
      <c r="C227" t="s">
        <v>2276</v>
      </c>
      <c r="D227" t="s">
        <v>2281</v>
      </c>
      <c r="E227" t="s">
        <v>2287</v>
      </c>
      <c r="F227">
        <v>2023</v>
      </c>
      <c r="G227" t="s">
        <v>2279</v>
      </c>
      <c r="H227">
        <v>700</v>
      </c>
      <c r="I227">
        <v>183</v>
      </c>
      <c r="J227" cm="1">
        <f t="array" aca="1" ref="J227" ca="1">_xlfn.UNIQUE(Table1_1[#All],2,FALSE)</f>
        <v>0</v>
      </c>
    </row>
    <row r="228" spans="1:10" x14ac:dyDescent="0.3">
      <c r="A228" t="s">
        <v>2336</v>
      </c>
      <c r="B228" t="s">
        <v>73</v>
      </c>
      <c r="C228" t="s">
        <v>2288</v>
      </c>
      <c r="D228" t="s">
        <v>2286</v>
      </c>
      <c r="E228" t="s">
        <v>2287</v>
      </c>
      <c r="F228">
        <v>2021</v>
      </c>
      <c r="G228" t="s">
        <v>2283</v>
      </c>
      <c r="H228">
        <v>1200</v>
      </c>
      <c r="I228">
        <v>225</v>
      </c>
      <c r="J228" cm="1">
        <f t="array" aca="1" ref="J228" ca="1">_xlfn.UNIQUE(Table1_1[#All],2,FALSE)</f>
        <v>0</v>
      </c>
    </row>
    <row r="229" spans="1:10" x14ac:dyDescent="0.3">
      <c r="A229" t="s">
        <v>2337</v>
      </c>
      <c r="B229" t="s">
        <v>98</v>
      </c>
      <c r="C229" t="s">
        <v>2280</v>
      </c>
      <c r="D229" t="s">
        <v>2281</v>
      </c>
      <c r="E229" t="s">
        <v>2282</v>
      </c>
      <c r="F229">
        <v>2022</v>
      </c>
      <c r="G229" t="s">
        <v>2289</v>
      </c>
      <c r="H229">
        <v>1200</v>
      </c>
      <c r="I229">
        <v>126</v>
      </c>
      <c r="J229" cm="1">
        <f t="array" aca="1" ref="J229" ca="1">_xlfn.UNIQUE(Table1_1[#All],2,FALSE)</f>
        <v>0</v>
      </c>
    </row>
    <row r="230" spans="1:10" x14ac:dyDescent="0.3">
      <c r="A230" t="s">
        <v>2338</v>
      </c>
      <c r="B230" t="s">
        <v>64</v>
      </c>
      <c r="C230" t="s">
        <v>2288</v>
      </c>
      <c r="D230" t="s">
        <v>2277</v>
      </c>
      <c r="E230" t="s">
        <v>2287</v>
      </c>
      <c r="F230">
        <v>2022</v>
      </c>
      <c r="G230" t="s">
        <v>2285</v>
      </c>
      <c r="H230">
        <v>700</v>
      </c>
      <c r="I230">
        <v>78</v>
      </c>
      <c r="J230" cm="1">
        <f t="array" aca="1" ref="J230" ca="1">_xlfn.UNIQUE(Table1_1[#All],2,FALSE)</f>
        <v>0</v>
      </c>
    </row>
    <row r="231" spans="1:10" x14ac:dyDescent="0.3">
      <c r="A231" t="s">
        <v>2341</v>
      </c>
      <c r="B231" t="s">
        <v>57</v>
      </c>
      <c r="C231" t="s">
        <v>19</v>
      </c>
      <c r="D231" t="s">
        <v>29</v>
      </c>
      <c r="E231" t="s">
        <v>2278</v>
      </c>
      <c r="F231">
        <v>2021</v>
      </c>
      <c r="G231" t="s">
        <v>2285</v>
      </c>
      <c r="H231">
        <v>1500</v>
      </c>
      <c r="I231">
        <v>173</v>
      </c>
      <c r="J231" cm="1">
        <f t="array" aca="1" ref="J231" ca="1">_xlfn.UNIQUE(Table1_1[#All],2,FALSE)</f>
        <v>0</v>
      </c>
    </row>
    <row r="232" spans="1:10" x14ac:dyDescent="0.3">
      <c r="A232" t="s">
        <v>2342</v>
      </c>
      <c r="B232" t="s">
        <v>98</v>
      </c>
      <c r="C232" t="s">
        <v>19</v>
      </c>
      <c r="D232" t="s">
        <v>2284</v>
      </c>
      <c r="E232" t="s">
        <v>2278</v>
      </c>
      <c r="F232">
        <v>2022</v>
      </c>
      <c r="G232" t="s">
        <v>2285</v>
      </c>
      <c r="H232">
        <v>900</v>
      </c>
      <c r="I232">
        <v>297</v>
      </c>
      <c r="J232" cm="1">
        <f t="array" aca="1" ref="J232" ca="1">_xlfn.UNIQUE(Table1_1[#All],2,FALSE)</f>
        <v>0</v>
      </c>
    </row>
    <row r="233" spans="1:10" x14ac:dyDescent="0.3">
      <c r="A233" t="s">
        <v>2343</v>
      </c>
      <c r="B233" t="s">
        <v>98</v>
      </c>
      <c r="C233" t="s">
        <v>2280</v>
      </c>
      <c r="D233" t="s">
        <v>2284</v>
      </c>
      <c r="E233" t="s">
        <v>2287</v>
      </c>
      <c r="F233">
        <v>2022</v>
      </c>
      <c r="G233" t="s">
        <v>2283</v>
      </c>
      <c r="H233">
        <v>900</v>
      </c>
      <c r="I233">
        <v>95</v>
      </c>
      <c r="J233" cm="1">
        <f t="array" aca="1" ref="J233" ca="1">_xlfn.UNIQUE(Table1_1[#All],2,FALSE)</f>
        <v>0</v>
      </c>
    </row>
    <row r="234" spans="1:10" x14ac:dyDescent="0.3">
      <c r="A234" t="s">
        <v>2344</v>
      </c>
      <c r="B234" t="s">
        <v>57</v>
      </c>
      <c r="C234" t="s">
        <v>2276</v>
      </c>
      <c r="D234" t="s">
        <v>2284</v>
      </c>
      <c r="E234" t="s">
        <v>2282</v>
      </c>
      <c r="F234">
        <v>2022</v>
      </c>
      <c r="G234" t="s">
        <v>2285</v>
      </c>
      <c r="H234">
        <v>500</v>
      </c>
      <c r="I234">
        <v>147</v>
      </c>
      <c r="J234" cm="1">
        <f t="array" aca="1" ref="J234" ca="1">_xlfn.UNIQUE(Table1_1[#All],2,FALSE)</f>
        <v>0</v>
      </c>
    </row>
    <row r="235" spans="1:10" x14ac:dyDescent="0.3">
      <c r="A235" t="s">
        <v>2345</v>
      </c>
      <c r="B235" t="s">
        <v>64</v>
      </c>
      <c r="C235" t="s">
        <v>2276</v>
      </c>
      <c r="D235" t="s">
        <v>29</v>
      </c>
      <c r="E235" t="s">
        <v>2282</v>
      </c>
      <c r="F235">
        <v>2024</v>
      </c>
      <c r="G235" t="s">
        <v>2285</v>
      </c>
      <c r="H235">
        <v>1200</v>
      </c>
      <c r="I235">
        <v>64</v>
      </c>
      <c r="J235" cm="1">
        <f t="array" aca="1" ref="J235" ca="1">_xlfn.UNIQUE(Table1_1[#All],2,FALSE)</f>
        <v>0</v>
      </c>
    </row>
    <row r="236" spans="1:10" x14ac:dyDescent="0.3">
      <c r="A236" t="s">
        <v>2347</v>
      </c>
      <c r="B236" t="s">
        <v>28</v>
      </c>
      <c r="C236" t="s">
        <v>37</v>
      </c>
      <c r="D236" t="s">
        <v>2286</v>
      </c>
      <c r="E236" t="s">
        <v>2282</v>
      </c>
      <c r="F236">
        <v>2023</v>
      </c>
      <c r="G236" t="s">
        <v>2279</v>
      </c>
      <c r="H236">
        <v>1500</v>
      </c>
      <c r="I236">
        <v>211</v>
      </c>
      <c r="J236" cm="1">
        <f t="array" aca="1" ref="J236" ca="1">_xlfn.UNIQUE(Table1_1[#All],2,FALSE)</f>
        <v>0</v>
      </c>
    </row>
    <row r="237" spans="1:10" x14ac:dyDescent="0.3">
      <c r="A237" t="s">
        <v>2348</v>
      </c>
      <c r="B237" t="s">
        <v>73</v>
      </c>
      <c r="C237" t="s">
        <v>37</v>
      </c>
      <c r="D237" t="s">
        <v>2281</v>
      </c>
      <c r="E237" t="s">
        <v>2282</v>
      </c>
      <c r="F237">
        <v>2021</v>
      </c>
      <c r="G237" t="s">
        <v>2279</v>
      </c>
      <c r="H237">
        <v>900</v>
      </c>
      <c r="I237">
        <v>130</v>
      </c>
      <c r="J237" cm="1">
        <f t="array" aca="1" ref="J237" ca="1">_xlfn.UNIQUE(Table1_1[#All],2,FALSE)</f>
        <v>0</v>
      </c>
    </row>
    <row r="238" spans="1:10" x14ac:dyDescent="0.3">
      <c r="A238" t="s">
        <v>2349</v>
      </c>
      <c r="B238" t="s">
        <v>64</v>
      </c>
      <c r="C238" t="s">
        <v>2288</v>
      </c>
      <c r="D238" t="s">
        <v>2284</v>
      </c>
      <c r="E238" t="s">
        <v>2287</v>
      </c>
      <c r="F238">
        <v>2021</v>
      </c>
      <c r="G238" t="s">
        <v>2279</v>
      </c>
      <c r="H238">
        <v>900</v>
      </c>
      <c r="I238">
        <v>245</v>
      </c>
      <c r="J238" cm="1">
        <f t="array" aca="1" ref="J238" ca="1">_xlfn.UNIQUE(Table1_1[#All],2,FALSE)</f>
        <v>0</v>
      </c>
    </row>
    <row r="239" spans="1:10" x14ac:dyDescent="0.3">
      <c r="A239" t="s">
        <v>2350</v>
      </c>
      <c r="B239" t="s">
        <v>64</v>
      </c>
      <c r="C239" t="s">
        <v>19</v>
      </c>
      <c r="D239" t="s">
        <v>2277</v>
      </c>
      <c r="E239" t="s">
        <v>2278</v>
      </c>
      <c r="F239">
        <v>2021</v>
      </c>
      <c r="G239" t="s">
        <v>2283</v>
      </c>
      <c r="H239">
        <v>500</v>
      </c>
      <c r="I239">
        <v>230</v>
      </c>
      <c r="J239" cm="1">
        <f t="array" aca="1" ref="J239" ca="1">_xlfn.UNIQUE(Table1_1[#All],2,FALSE)</f>
        <v>0</v>
      </c>
    </row>
    <row r="240" spans="1:10" x14ac:dyDescent="0.3">
      <c r="A240" t="s">
        <v>2351</v>
      </c>
      <c r="B240" t="s">
        <v>73</v>
      </c>
      <c r="C240" t="s">
        <v>37</v>
      </c>
      <c r="D240" t="s">
        <v>2286</v>
      </c>
      <c r="E240" t="s">
        <v>2278</v>
      </c>
      <c r="F240">
        <v>2024</v>
      </c>
      <c r="G240" t="s">
        <v>2285</v>
      </c>
      <c r="H240">
        <v>500</v>
      </c>
      <c r="I240">
        <v>279</v>
      </c>
      <c r="J240" cm="1">
        <f t="array" aca="1" ref="J240" ca="1">_xlfn.UNIQUE(Table1_1[#All],2,FALSE)</f>
        <v>0</v>
      </c>
    </row>
    <row r="241" spans="1:10" x14ac:dyDescent="0.3">
      <c r="A241" t="s">
        <v>2353</v>
      </c>
      <c r="B241" t="s">
        <v>64</v>
      </c>
      <c r="C241" t="s">
        <v>2288</v>
      </c>
      <c r="D241" t="s">
        <v>2284</v>
      </c>
      <c r="E241" t="s">
        <v>2282</v>
      </c>
      <c r="F241">
        <v>2022</v>
      </c>
      <c r="G241" t="s">
        <v>2279</v>
      </c>
      <c r="H241">
        <v>700</v>
      </c>
      <c r="I241">
        <v>70</v>
      </c>
      <c r="J241" cm="1">
        <f t="array" aca="1" ref="J241" ca="1">_xlfn.UNIQUE(Table1_1[#All],2,FALSE)</f>
        <v>0</v>
      </c>
    </row>
    <row r="242" spans="1:10" x14ac:dyDescent="0.3">
      <c r="A242" t="s">
        <v>2355</v>
      </c>
      <c r="B242" t="s">
        <v>28</v>
      </c>
      <c r="C242" t="s">
        <v>2288</v>
      </c>
      <c r="D242" t="s">
        <v>2286</v>
      </c>
      <c r="E242" t="s">
        <v>2278</v>
      </c>
      <c r="F242">
        <v>2023</v>
      </c>
      <c r="G242" t="s">
        <v>2289</v>
      </c>
      <c r="H242">
        <v>1500</v>
      </c>
      <c r="I242">
        <v>161</v>
      </c>
      <c r="J242" cm="1">
        <f t="array" aca="1" ref="J242" ca="1">_xlfn.UNIQUE(Table1_1[#All],2,FALSE)</f>
        <v>0</v>
      </c>
    </row>
    <row r="243" spans="1:10" x14ac:dyDescent="0.3">
      <c r="A243" t="s">
        <v>2356</v>
      </c>
      <c r="B243" t="s">
        <v>57</v>
      </c>
      <c r="C243" t="s">
        <v>2276</v>
      </c>
      <c r="D243" t="s">
        <v>2281</v>
      </c>
      <c r="E243" t="s">
        <v>2278</v>
      </c>
      <c r="F243">
        <v>2024</v>
      </c>
      <c r="G243" t="s">
        <v>2279</v>
      </c>
      <c r="H243">
        <v>900</v>
      </c>
      <c r="I243">
        <v>26</v>
      </c>
      <c r="J243" cm="1">
        <f t="array" aca="1" ref="J243" ca="1">_xlfn.UNIQUE(Table1_1[#All],2,FALSE)</f>
        <v>0</v>
      </c>
    </row>
    <row r="244" spans="1:10" x14ac:dyDescent="0.3">
      <c r="A244" t="s">
        <v>2358</v>
      </c>
      <c r="B244" t="s">
        <v>57</v>
      </c>
      <c r="C244" t="s">
        <v>2288</v>
      </c>
      <c r="D244" t="s">
        <v>2281</v>
      </c>
      <c r="E244" t="s">
        <v>2282</v>
      </c>
      <c r="F244">
        <v>2024</v>
      </c>
      <c r="G244" t="s">
        <v>2285</v>
      </c>
      <c r="H244">
        <v>1200</v>
      </c>
      <c r="I244">
        <v>158</v>
      </c>
      <c r="J244" cm="1">
        <f t="array" aca="1" ref="J244" ca="1">_xlfn.UNIQUE(Table1_1[#All],2,FALSE)</f>
        <v>0</v>
      </c>
    </row>
    <row r="245" spans="1:10" x14ac:dyDescent="0.3">
      <c r="A245" t="s">
        <v>2359</v>
      </c>
      <c r="B245" t="s">
        <v>28</v>
      </c>
      <c r="C245" t="s">
        <v>19</v>
      </c>
      <c r="D245" t="s">
        <v>2277</v>
      </c>
      <c r="E245" t="s">
        <v>2278</v>
      </c>
      <c r="F245">
        <v>2022</v>
      </c>
      <c r="G245" t="s">
        <v>2289</v>
      </c>
      <c r="H245">
        <v>1500</v>
      </c>
      <c r="I245">
        <v>197</v>
      </c>
      <c r="J245" cm="1">
        <f t="array" aca="1" ref="J245" ca="1">_xlfn.UNIQUE(Table1_1[#All],2,FALSE)</f>
        <v>0</v>
      </c>
    </row>
    <row r="246" spans="1:10" x14ac:dyDescent="0.3">
      <c r="A246" t="s">
        <v>2361</v>
      </c>
      <c r="B246" t="s">
        <v>64</v>
      </c>
      <c r="C246" t="s">
        <v>37</v>
      </c>
      <c r="D246" t="s">
        <v>29</v>
      </c>
      <c r="E246" t="s">
        <v>2278</v>
      </c>
      <c r="F246">
        <v>2021</v>
      </c>
      <c r="G246" t="s">
        <v>2289</v>
      </c>
      <c r="H246">
        <v>1200</v>
      </c>
      <c r="I246">
        <v>67</v>
      </c>
      <c r="J246" cm="1">
        <f t="array" aca="1" ref="J246" ca="1">_xlfn.UNIQUE(Table1_1[#All],2,FALSE)</f>
        <v>0</v>
      </c>
    </row>
    <row r="247" spans="1:10" x14ac:dyDescent="0.3">
      <c r="A247" t="s">
        <v>2364</v>
      </c>
      <c r="B247" t="s">
        <v>28</v>
      </c>
      <c r="C247" t="s">
        <v>2276</v>
      </c>
      <c r="D247" t="s">
        <v>29</v>
      </c>
      <c r="E247" t="s">
        <v>2278</v>
      </c>
      <c r="F247">
        <v>2024</v>
      </c>
      <c r="G247" t="s">
        <v>2283</v>
      </c>
      <c r="H247">
        <v>700</v>
      </c>
      <c r="I247">
        <v>252</v>
      </c>
      <c r="J247" cm="1">
        <f t="array" aca="1" ref="J247" ca="1">_xlfn.UNIQUE(Table1_1[#All],2,FALSE)</f>
        <v>0</v>
      </c>
    </row>
    <row r="248" spans="1:10" x14ac:dyDescent="0.3">
      <c r="A248" t="s">
        <v>2366</v>
      </c>
      <c r="B248" t="s">
        <v>64</v>
      </c>
      <c r="C248" t="s">
        <v>2276</v>
      </c>
      <c r="D248" t="s">
        <v>29</v>
      </c>
      <c r="E248" t="s">
        <v>2278</v>
      </c>
      <c r="F248">
        <v>2022</v>
      </c>
      <c r="G248" t="s">
        <v>2289</v>
      </c>
      <c r="H248">
        <v>700</v>
      </c>
      <c r="I248">
        <v>272</v>
      </c>
      <c r="J248" cm="1">
        <f t="array" aca="1" ref="J248" ca="1">_xlfn.UNIQUE(Table1_1[#All],2,FALSE)</f>
        <v>0</v>
      </c>
    </row>
    <row r="249" spans="1:10" x14ac:dyDescent="0.3">
      <c r="A249" t="s">
        <v>2367</v>
      </c>
      <c r="B249" t="s">
        <v>98</v>
      </c>
      <c r="C249" t="s">
        <v>19</v>
      </c>
      <c r="D249" t="s">
        <v>2277</v>
      </c>
      <c r="E249" t="s">
        <v>2287</v>
      </c>
      <c r="F249">
        <v>2022</v>
      </c>
      <c r="G249" t="s">
        <v>2285</v>
      </c>
      <c r="H249">
        <v>1500</v>
      </c>
      <c r="I249">
        <v>150</v>
      </c>
      <c r="J249" cm="1">
        <f t="array" aca="1" ref="J249" ca="1">_xlfn.UNIQUE(Table1_1[#All],2,FALSE)</f>
        <v>0</v>
      </c>
    </row>
    <row r="250" spans="1:10" x14ac:dyDescent="0.3">
      <c r="A250" t="s">
        <v>2368</v>
      </c>
      <c r="B250" t="s">
        <v>73</v>
      </c>
      <c r="C250" t="s">
        <v>37</v>
      </c>
      <c r="D250" t="s">
        <v>2277</v>
      </c>
      <c r="E250" t="s">
        <v>2287</v>
      </c>
      <c r="F250">
        <v>2023</v>
      </c>
      <c r="G250" t="s">
        <v>2289</v>
      </c>
      <c r="H250">
        <v>1500</v>
      </c>
      <c r="I250">
        <v>205</v>
      </c>
      <c r="J250" cm="1">
        <f t="array" aca="1" ref="J250" ca="1">_xlfn.UNIQUE(Table1_1[#All],2,FALSE)</f>
        <v>0</v>
      </c>
    </row>
    <row r="251" spans="1:10" x14ac:dyDescent="0.3">
      <c r="A251" t="s">
        <v>2369</v>
      </c>
      <c r="B251" t="s">
        <v>57</v>
      </c>
      <c r="C251" t="s">
        <v>19</v>
      </c>
      <c r="D251" t="s">
        <v>2284</v>
      </c>
      <c r="E251" t="s">
        <v>2287</v>
      </c>
      <c r="F251">
        <v>2021</v>
      </c>
      <c r="G251" t="s">
        <v>2283</v>
      </c>
      <c r="H251">
        <v>900</v>
      </c>
      <c r="I251">
        <v>155</v>
      </c>
      <c r="J251" cm="1">
        <f t="array" aca="1" ref="J251" ca="1">_xlfn.UNIQUE(Table1_1[#All],2,FALSE)</f>
        <v>0</v>
      </c>
    </row>
    <row r="252" spans="1:10" x14ac:dyDescent="0.3">
      <c r="A252" t="s">
        <v>2371</v>
      </c>
      <c r="B252" t="s">
        <v>98</v>
      </c>
      <c r="C252" t="s">
        <v>37</v>
      </c>
      <c r="D252" t="s">
        <v>2281</v>
      </c>
      <c r="E252" t="s">
        <v>2282</v>
      </c>
      <c r="F252">
        <v>2023</v>
      </c>
      <c r="G252" t="s">
        <v>2289</v>
      </c>
      <c r="H252">
        <v>700</v>
      </c>
      <c r="I252">
        <v>158</v>
      </c>
      <c r="J252" cm="1">
        <f t="array" aca="1" ref="J252" ca="1">_xlfn.UNIQUE(Table1_1[#All],2,FALSE)</f>
        <v>0</v>
      </c>
    </row>
    <row r="253" spans="1:10" x14ac:dyDescent="0.3">
      <c r="A253" t="s">
        <v>2373</v>
      </c>
      <c r="B253" t="s">
        <v>57</v>
      </c>
      <c r="C253" t="s">
        <v>37</v>
      </c>
      <c r="D253" t="s">
        <v>2277</v>
      </c>
      <c r="E253" t="s">
        <v>2278</v>
      </c>
      <c r="F253">
        <v>2023</v>
      </c>
      <c r="G253" t="s">
        <v>2285</v>
      </c>
      <c r="H253">
        <v>900</v>
      </c>
      <c r="I253">
        <v>269</v>
      </c>
      <c r="J253" cm="1">
        <f t="array" aca="1" ref="J253" ca="1">_xlfn.UNIQUE(Table1_1[#All],2,FALSE)</f>
        <v>0</v>
      </c>
    </row>
    <row r="254" spans="1:10" x14ac:dyDescent="0.3">
      <c r="A254" t="s">
        <v>2374</v>
      </c>
      <c r="B254" t="s">
        <v>28</v>
      </c>
      <c r="C254" t="s">
        <v>2276</v>
      </c>
      <c r="D254" t="s">
        <v>2277</v>
      </c>
      <c r="E254" t="s">
        <v>2287</v>
      </c>
      <c r="F254">
        <v>2022</v>
      </c>
      <c r="G254" t="s">
        <v>2285</v>
      </c>
      <c r="H254">
        <v>900</v>
      </c>
      <c r="I254">
        <v>252</v>
      </c>
      <c r="J254" cm="1">
        <f t="array" aca="1" ref="J254" ca="1">_xlfn.UNIQUE(Table1_1[#All],2,FALSE)</f>
        <v>0</v>
      </c>
    </row>
    <row r="255" spans="1:10" x14ac:dyDescent="0.3">
      <c r="A255" t="s">
        <v>2376</v>
      </c>
      <c r="B255" t="s">
        <v>64</v>
      </c>
      <c r="C255" t="s">
        <v>37</v>
      </c>
      <c r="D255" t="s">
        <v>2277</v>
      </c>
      <c r="E255" t="s">
        <v>2282</v>
      </c>
      <c r="F255">
        <v>2023</v>
      </c>
      <c r="G255" t="s">
        <v>2283</v>
      </c>
      <c r="H255">
        <v>1500</v>
      </c>
      <c r="I255">
        <v>107</v>
      </c>
      <c r="J255" cm="1">
        <f t="array" aca="1" ref="J255" ca="1">_xlfn.UNIQUE(Table1_1[#All],2,FALSE)</f>
        <v>0</v>
      </c>
    </row>
    <row r="256" spans="1:10" x14ac:dyDescent="0.3">
      <c r="A256" t="s">
        <v>2380</v>
      </c>
      <c r="B256" t="s">
        <v>64</v>
      </c>
      <c r="C256" t="s">
        <v>2288</v>
      </c>
      <c r="D256" t="s">
        <v>2284</v>
      </c>
      <c r="E256" t="s">
        <v>2282</v>
      </c>
      <c r="F256">
        <v>2023</v>
      </c>
      <c r="G256" t="s">
        <v>2285</v>
      </c>
      <c r="H256">
        <v>500</v>
      </c>
      <c r="I256">
        <v>109</v>
      </c>
      <c r="J256" cm="1">
        <f t="array" aca="1" ref="J256" ca="1">_xlfn.UNIQUE(Table1_1[#All],2,FALSE)</f>
        <v>0</v>
      </c>
    </row>
    <row r="257" spans="1:10" x14ac:dyDescent="0.3">
      <c r="A257" t="s">
        <v>2381</v>
      </c>
      <c r="B257" t="s">
        <v>98</v>
      </c>
      <c r="C257" t="s">
        <v>2288</v>
      </c>
      <c r="D257" t="s">
        <v>2284</v>
      </c>
      <c r="E257" t="s">
        <v>2282</v>
      </c>
      <c r="F257">
        <v>2021</v>
      </c>
      <c r="G257" t="s">
        <v>2283</v>
      </c>
      <c r="H257">
        <v>700</v>
      </c>
      <c r="I257">
        <v>214</v>
      </c>
      <c r="J257" cm="1">
        <f t="array" aca="1" ref="J257" ca="1">_xlfn.UNIQUE(Table1_1[#All],2,FALSE)</f>
        <v>0</v>
      </c>
    </row>
    <row r="258" spans="1:10" x14ac:dyDescent="0.3">
      <c r="A258" t="s">
        <v>2382</v>
      </c>
      <c r="B258" t="s">
        <v>98</v>
      </c>
      <c r="C258" t="s">
        <v>19</v>
      </c>
      <c r="D258" t="s">
        <v>2281</v>
      </c>
      <c r="E258" t="s">
        <v>2282</v>
      </c>
      <c r="F258">
        <v>2023</v>
      </c>
      <c r="G258" t="s">
        <v>2285</v>
      </c>
      <c r="H258">
        <v>700</v>
      </c>
      <c r="I258">
        <v>72</v>
      </c>
      <c r="J258" cm="1">
        <f t="array" aca="1" ref="J258" ca="1">_xlfn.UNIQUE(Table1_1[#All],2,FALSE)</f>
        <v>0</v>
      </c>
    </row>
    <row r="259" spans="1:10" x14ac:dyDescent="0.3">
      <c r="A259" t="s">
        <v>2384</v>
      </c>
      <c r="B259" t="s">
        <v>73</v>
      </c>
      <c r="C259" t="s">
        <v>19</v>
      </c>
      <c r="D259" t="s">
        <v>2286</v>
      </c>
      <c r="E259" t="s">
        <v>2278</v>
      </c>
      <c r="F259">
        <v>2024</v>
      </c>
      <c r="G259" t="s">
        <v>2285</v>
      </c>
      <c r="H259">
        <v>1500</v>
      </c>
      <c r="I259">
        <v>106</v>
      </c>
      <c r="J259" cm="1">
        <f t="array" aca="1" ref="J259" ca="1">_xlfn.UNIQUE(Table1_1[#All],2,FALSE)</f>
        <v>0</v>
      </c>
    </row>
    <row r="260" spans="1:10" x14ac:dyDescent="0.3">
      <c r="A260" t="s">
        <v>2385</v>
      </c>
      <c r="B260" t="s">
        <v>28</v>
      </c>
      <c r="C260" t="s">
        <v>2276</v>
      </c>
      <c r="D260" t="s">
        <v>2286</v>
      </c>
      <c r="E260" t="s">
        <v>2282</v>
      </c>
      <c r="F260">
        <v>2021</v>
      </c>
      <c r="G260" t="s">
        <v>2279</v>
      </c>
      <c r="H260">
        <v>1500</v>
      </c>
      <c r="I260">
        <v>211</v>
      </c>
      <c r="J260" cm="1">
        <f t="array" aca="1" ref="J260" ca="1">_xlfn.UNIQUE(Table1_1[#All],2,FALSE)</f>
        <v>0</v>
      </c>
    </row>
    <row r="261" spans="1:10" x14ac:dyDescent="0.3">
      <c r="A261" t="s">
        <v>2388</v>
      </c>
      <c r="B261" t="s">
        <v>73</v>
      </c>
      <c r="C261" t="s">
        <v>2276</v>
      </c>
      <c r="D261" t="s">
        <v>29</v>
      </c>
      <c r="E261" t="s">
        <v>2287</v>
      </c>
      <c r="F261">
        <v>2021</v>
      </c>
      <c r="G261" t="s">
        <v>2289</v>
      </c>
      <c r="H261">
        <v>1200</v>
      </c>
      <c r="I261">
        <v>107</v>
      </c>
      <c r="J261" cm="1">
        <f t="array" aca="1" ref="J261" ca="1">_xlfn.UNIQUE(Table1_1[#All],2,FALSE)</f>
        <v>0</v>
      </c>
    </row>
    <row r="262" spans="1:10" x14ac:dyDescent="0.3">
      <c r="A262" t="s">
        <v>2389</v>
      </c>
      <c r="B262" t="s">
        <v>57</v>
      </c>
      <c r="C262" t="s">
        <v>2276</v>
      </c>
      <c r="D262" t="s">
        <v>29</v>
      </c>
      <c r="E262" t="s">
        <v>2287</v>
      </c>
      <c r="F262">
        <v>2023</v>
      </c>
      <c r="G262" t="s">
        <v>2289</v>
      </c>
      <c r="H262">
        <v>700</v>
      </c>
      <c r="I262">
        <v>205</v>
      </c>
      <c r="J262" cm="1">
        <f t="array" aca="1" ref="J262" ca="1">_xlfn.UNIQUE(Table1_1[#All],2,FALSE)</f>
        <v>0</v>
      </c>
    </row>
    <row r="263" spans="1:10" x14ac:dyDescent="0.3">
      <c r="A263" t="s">
        <v>2390</v>
      </c>
      <c r="B263" t="s">
        <v>98</v>
      </c>
      <c r="C263" t="s">
        <v>37</v>
      </c>
      <c r="D263" t="s">
        <v>2281</v>
      </c>
      <c r="E263" t="s">
        <v>2287</v>
      </c>
      <c r="F263">
        <v>2022</v>
      </c>
      <c r="G263" t="s">
        <v>2279</v>
      </c>
      <c r="H263">
        <v>700</v>
      </c>
      <c r="I263">
        <v>273</v>
      </c>
      <c r="J263" cm="1">
        <f t="array" aca="1" ref="J263" ca="1">_xlfn.UNIQUE(Table1_1[#All],2,FALSE)</f>
        <v>0</v>
      </c>
    </row>
    <row r="264" spans="1:10" x14ac:dyDescent="0.3">
      <c r="A264" t="s">
        <v>2391</v>
      </c>
      <c r="B264" t="s">
        <v>57</v>
      </c>
      <c r="C264" t="s">
        <v>2288</v>
      </c>
      <c r="D264" t="s">
        <v>2284</v>
      </c>
      <c r="E264" t="s">
        <v>2278</v>
      </c>
      <c r="F264">
        <v>2023</v>
      </c>
      <c r="G264" t="s">
        <v>2289</v>
      </c>
      <c r="H264">
        <v>700</v>
      </c>
      <c r="I264">
        <v>104</v>
      </c>
      <c r="J264" cm="1">
        <f t="array" aca="1" ref="J264" ca="1">_xlfn.UNIQUE(Table1_1[#All],2,FALSE)</f>
        <v>0</v>
      </c>
    </row>
    <row r="265" spans="1:10" x14ac:dyDescent="0.3">
      <c r="A265" t="s">
        <v>2393</v>
      </c>
      <c r="B265" t="s">
        <v>28</v>
      </c>
      <c r="C265" t="s">
        <v>37</v>
      </c>
      <c r="D265" t="s">
        <v>29</v>
      </c>
      <c r="E265" t="s">
        <v>2287</v>
      </c>
      <c r="F265">
        <v>2024</v>
      </c>
      <c r="G265" t="s">
        <v>2283</v>
      </c>
      <c r="H265">
        <v>500</v>
      </c>
      <c r="I265">
        <v>298</v>
      </c>
      <c r="J265" cm="1">
        <f t="array" aca="1" ref="J265" ca="1">_xlfn.UNIQUE(Table1_1[#All],2,FALSE)</f>
        <v>0</v>
      </c>
    </row>
    <row r="266" spans="1:10" x14ac:dyDescent="0.3">
      <c r="A266" t="s">
        <v>2394</v>
      </c>
      <c r="B266" t="s">
        <v>28</v>
      </c>
      <c r="C266" t="s">
        <v>37</v>
      </c>
      <c r="D266" t="s">
        <v>2284</v>
      </c>
      <c r="E266" t="s">
        <v>2287</v>
      </c>
      <c r="F266">
        <v>2023</v>
      </c>
      <c r="G266" t="s">
        <v>2289</v>
      </c>
      <c r="H266">
        <v>1500</v>
      </c>
      <c r="I266">
        <v>88</v>
      </c>
      <c r="J266" cm="1">
        <f t="array" aca="1" ref="J266" ca="1">_xlfn.UNIQUE(Table1_1[#All],2,FALSE)</f>
        <v>0</v>
      </c>
    </row>
    <row r="267" spans="1:10" x14ac:dyDescent="0.3">
      <c r="A267" t="s">
        <v>2395</v>
      </c>
      <c r="B267" t="s">
        <v>73</v>
      </c>
      <c r="C267" t="s">
        <v>37</v>
      </c>
      <c r="D267" t="s">
        <v>2284</v>
      </c>
      <c r="E267" t="s">
        <v>2282</v>
      </c>
      <c r="F267">
        <v>2023</v>
      </c>
      <c r="G267" t="s">
        <v>2279</v>
      </c>
      <c r="H267">
        <v>900</v>
      </c>
      <c r="I267">
        <v>59</v>
      </c>
      <c r="J267" cm="1">
        <f t="array" aca="1" ref="J267" ca="1">_xlfn.UNIQUE(Table1_1[#All],2,FALSE)</f>
        <v>0</v>
      </c>
    </row>
    <row r="268" spans="1:10" x14ac:dyDescent="0.3">
      <c r="A268" t="s">
        <v>2396</v>
      </c>
      <c r="B268" t="s">
        <v>64</v>
      </c>
      <c r="C268" t="s">
        <v>19</v>
      </c>
      <c r="D268" t="s">
        <v>2277</v>
      </c>
      <c r="E268" t="s">
        <v>2282</v>
      </c>
      <c r="F268">
        <v>2022</v>
      </c>
      <c r="G268" t="s">
        <v>2279</v>
      </c>
      <c r="H268">
        <v>500</v>
      </c>
      <c r="I268">
        <v>171</v>
      </c>
      <c r="J268" cm="1">
        <f t="array" aca="1" ref="J268" ca="1">_xlfn.UNIQUE(Table1_1[#All],2,FALSE)</f>
        <v>0</v>
      </c>
    </row>
    <row r="269" spans="1:10" x14ac:dyDescent="0.3">
      <c r="A269" t="s">
        <v>2397</v>
      </c>
      <c r="B269" t="s">
        <v>28</v>
      </c>
      <c r="C269" t="s">
        <v>2288</v>
      </c>
      <c r="D269" t="s">
        <v>2284</v>
      </c>
      <c r="E269" t="s">
        <v>2278</v>
      </c>
      <c r="F269">
        <v>2022</v>
      </c>
      <c r="G269" t="s">
        <v>2279</v>
      </c>
      <c r="H269">
        <v>700</v>
      </c>
      <c r="I269">
        <v>295</v>
      </c>
      <c r="J269" cm="1">
        <f t="array" aca="1" ref="J269" ca="1">_xlfn.UNIQUE(Table1_1[#All],2,FALSE)</f>
        <v>0</v>
      </c>
    </row>
    <row r="270" spans="1:10" x14ac:dyDescent="0.3">
      <c r="A270" t="s">
        <v>2400</v>
      </c>
      <c r="B270" t="s">
        <v>57</v>
      </c>
      <c r="C270" t="s">
        <v>2276</v>
      </c>
      <c r="D270" t="s">
        <v>2281</v>
      </c>
      <c r="E270" t="s">
        <v>2287</v>
      </c>
      <c r="F270">
        <v>2021</v>
      </c>
      <c r="G270" t="s">
        <v>2283</v>
      </c>
      <c r="H270">
        <v>1500</v>
      </c>
      <c r="I270">
        <v>149</v>
      </c>
      <c r="J270" cm="1">
        <f t="array" aca="1" ref="J270" ca="1">_xlfn.UNIQUE(Table1_1[#All],2,FALSE)</f>
        <v>0</v>
      </c>
    </row>
    <row r="271" spans="1:10" x14ac:dyDescent="0.3">
      <c r="A271" t="s">
        <v>2401</v>
      </c>
      <c r="B271" t="s">
        <v>28</v>
      </c>
      <c r="C271" t="s">
        <v>19</v>
      </c>
      <c r="D271" t="s">
        <v>2281</v>
      </c>
      <c r="E271" t="s">
        <v>2278</v>
      </c>
      <c r="F271">
        <v>2021</v>
      </c>
      <c r="G271" t="s">
        <v>2289</v>
      </c>
      <c r="H271">
        <v>500</v>
      </c>
      <c r="I271">
        <v>34</v>
      </c>
      <c r="J271" cm="1">
        <f t="array" aca="1" ref="J271" ca="1">_xlfn.UNIQUE(Table1_1[#All],2,FALSE)</f>
        <v>0</v>
      </c>
    </row>
    <row r="272" spans="1:10" x14ac:dyDescent="0.3">
      <c r="A272" t="s">
        <v>2402</v>
      </c>
      <c r="B272" t="s">
        <v>57</v>
      </c>
      <c r="C272" t="s">
        <v>37</v>
      </c>
      <c r="D272" t="s">
        <v>2286</v>
      </c>
      <c r="E272" t="s">
        <v>2287</v>
      </c>
      <c r="F272">
        <v>2024</v>
      </c>
      <c r="G272" t="s">
        <v>2283</v>
      </c>
      <c r="H272">
        <v>1200</v>
      </c>
      <c r="I272">
        <v>176</v>
      </c>
      <c r="J272" cm="1">
        <f t="array" aca="1" ref="J272" ca="1">_xlfn.UNIQUE(Table1_1[#All],2,FALSE)</f>
        <v>0</v>
      </c>
    </row>
    <row r="273" spans="1:10" x14ac:dyDescent="0.3">
      <c r="A273" t="s">
        <v>2404</v>
      </c>
      <c r="B273" t="s">
        <v>57</v>
      </c>
      <c r="C273" t="s">
        <v>2276</v>
      </c>
      <c r="D273" t="s">
        <v>2281</v>
      </c>
      <c r="E273" t="s">
        <v>2287</v>
      </c>
      <c r="F273">
        <v>2022</v>
      </c>
      <c r="G273" t="s">
        <v>2289</v>
      </c>
      <c r="H273">
        <v>900</v>
      </c>
      <c r="I273">
        <v>113</v>
      </c>
      <c r="J273" cm="1">
        <f t="array" aca="1" ref="J273" ca="1">_xlfn.UNIQUE(Table1_1[#All],2,FALSE)</f>
        <v>0</v>
      </c>
    </row>
    <row r="274" spans="1:10" x14ac:dyDescent="0.3">
      <c r="A274" t="s">
        <v>2405</v>
      </c>
      <c r="B274" t="s">
        <v>98</v>
      </c>
      <c r="C274" t="s">
        <v>19</v>
      </c>
      <c r="D274" t="s">
        <v>2286</v>
      </c>
      <c r="E274" t="s">
        <v>2278</v>
      </c>
      <c r="F274">
        <v>2021</v>
      </c>
      <c r="G274" t="s">
        <v>2283</v>
      </c>
      <c r="H274">
        <v>500</v>
      </c>
      <c r="I274">
        <v>82</v>
      </c>
      <c r="J274" cm="1">
        <f t="array" aca="1" ref="J274" ca="1">_xlfn.UNIQUE(Table1_1[#All],2,FALSE)</f>
        <v>0</v>
      </c>
    </row>
    <row r="275" spans="1:10" x14ac:dyDescent="0.3">
      <c r="A275" t="s">
        <v>2406</v>
      </c>
      <c r="B275" t="s">
        <v>98</v>
      </c>
      <c r="C275" t="s">
        <v>2280</v>
      </c>
      <c r="D275" t="s">
        <v>2281</v>
      </c>
      <c r="E275" t="s">
        <v>2287</v>
      </c>
      <c r="F275">
        <v>2022</v>
      </c>
      <c r="G275" t="s">
        <v>2283</v>
      </c>
      <c r="H275">
        <v>1200</v>
      </c>
      <c r="I275">
        <v>141</v>
      </c>
      <c r="J275" cm="1">
        <f t="array" aca="1" ref="J275" ca="1">_xlfn.UNIQUE(Table1_1[#All],2,FALSE)</f>
        <v>0</v>
      </c>
    </row>
    <row r="276" spans="1:10" x14ac:dyDescent="0.3">
      <c r="A276" t="s">
        <v>2407</v>
      </c>
      <c r="B276" t="s">
        <v>73</v>
      </c>
      <c r="C276" t="s">
        <v>2288</v>
      </c>
      <c r="D276" t="s">
        <v>2281</v>
      </c>
      <c r="E276" t="s">
        <v>2287</v>
      </c>
      <c r="F276">
        <v>2024</v>
      </c>
      <c r="G276" t="s">
        <v>2289</v>
      </c>
      <c r="H276">
        <v>1500</v>
      </c>
      <c r="I276">
        <v>91</v>
      </c>
      <c r="J276" cm="1">
        <f t="array" aca="1" ref="J276" ca="1">_xlfn.UNIQUE(Table1_1[#All],2,FALSE)</f>
        <v>0</v>
      </c>
    </row>
    <row r="277" spans="1:10" x14ac:dyDescent="0.3">
      <c r="A277" t="s">
        <v>2409</v>
      </c>
      <c r="B277" t="s">
        <v>73</v>
      </c>
      <c r="C277" t="s">
        <v>2280</v>
      </c>
      <c r="D277" t="s">
        <v>2286</v>
      </c>
      <c r="E277" t="s">
        <v>2282</v>
      </c>
      <c r="F277">
        <v>2024</v>
      </c>
      <c r="G277" t="s">
        <v>2283</v>
      </c>
      <c r="H277">
        <v>1500</v>
      </c>
      <c r="I277">
        <v>56</v>
      </c>
      <c r="J277" cm="1">
        <f t="array" aca="1" ref="J277" ca="1">_xlfn.UNIQUE(Table1_1[#All],2,FALSE)</f>
        <v>0</v>
      </c>
    </row>
    <row r="278" spans="1:10" x14ac:dyDescent="0.3">
      <c r="A278" t="s">
        <v>2410</v>
      </c>
      <c r="B278" t="s">
        <v>57</v>
      </c>
      <c r="C278" t="s">
        <v>19</v>
      </c>
      <c r="D278" t="s">
        <v>2286</v>
      </c>
      <c r="E278" t="s">
        <v>2278</v>
      </c>
      <c r="F278">
        <v>2022</v>
      </c>
      <c r="G278" t="s">
        <v>2285</v>
      </c>
      <c r="H278">
        <v>1500</v>
      </c>
      <c r="I278">
        <v>296</v>
      </c>
      <c r="J278" cm="1">
        <f t="array" aca="1" ref="J278" ca="1">_xlfn.UNIQUE(Table1_1[#All],2,FALSE)</f>
        <v>0</v>
      </c>
    </row>
    <row r="279" spans="1:10" x14ac:dyDescent="0.3">
      <c r="A279" t="s">
        <v>2412</v>
      </c>
      <c r="B279" t="s">
        <v>64</v>
      </c>
      <c r="C279" t="s">
        <v>37</v>
      </c>
      <c r="D279" t="s">
        <v>29</v>
      </c>
      <c r="E279" t="s">
        <v>2287</v>
      </c>
      <c r="F279">
        <v>2021</v>
      </c>
      <c r="G279" t="s">
        <v>2289</v>
      </c>
      <c r="H279">
        <v>900</v>
      </c>
      <c r="I279">
        <v>44</v>
      </c>
      <c r="J279" cm="1">
        <f t="array" aca="1" ref="J279" ca="1">_xlfn.UNIQUE(Table1_1[#All],2,FALSE)</f>
        <v>0</v>
      </c>
    </row>
    <row r="280" spans="1:10" x14ac:dyDescent="0.3">
      <c r="A280" t="s">
        <v>2414</v>
      </c>
      <c r="B280" t="s">
        <v>73</v>
      </c>
      <c r="C280" t="s">
        <v>2288</v>
      </c>
      <c r="D280" t="s">
        <v>2277</v>
      </c>
      <c r="E280" t="s">
        <v>2287</v>
      </c>
      <c r="F280">
        <v>2023</v>
      </c>
      <c r="G280" t="s">
        <v>2285</v>
      </c>
      <c r="H280">
        <v>500</v>
      </c>
      <c r="I280">
        <v>183</v>
      </c>
      <c r="J280" cm="1">
        <f t="array" aca="1" ref="J280" ca="1">_xlfn.UNIQUE(Table1_1[#All],2,FALSE)</f>
        <v>0</v>
      </c>
    </row>
    <row r="281" spans="1:10" x14ac:dyDescent="0.3">
      <c r="A281" t="s">
        <v>2416</v>
      </c>
      <c r="B281" t="s">
        <v>28</v>
      </c>
      <c r="C281" t="s">
        <v>2276</v>
      </c>
      <c r="D281" t="s">
        <v>2277</v>
      </c>
      <c r="E281" t="s">
        <v>2278</v>
      </c>
      <c r="F281">
        <v>2023</v>
      </c>
      <c r="G281" t="s">
        <v>2283</v>
      </c>
      <c r="H281">
        <v>1200</v>
      </c>
      <c r="I281">
        <v>242</v>
      </c>
      <c r="J281" cm="1">
        <f t="array" aca="1" ref="J281" ca="1">_xlfn.UNIQUE(Table1_1[#All],2,FALSE)</f>
        <v>0</v>
      </c>
    </row>
    <row r="282" spans="1:10" x14ac:dyDescent="0.3">
      <c r="A282" t="s">
        <v>2418</v>
      </c>
      <c r="B282" t="s">
        <v>73</v>
      </c>
      <c r="C282" t="s">
        <v>37</v>
      </c>
      <c r="D282" t="s">
        <v>2277</v>
      </c>
      <c r="E282" t="s">
        <v>2282</v>
      </c>
      <c r="F282">
        <v>2024</v>
      </c>
      <c r="G282" t="s">
        <v>2283</v>
      </c>
      <c r="H282">
        <v>900</v>
      </c>
      <c r="I282">
        <v>139</v>
      </c>
      <c r="J282" cm="1">
        <f t="array" aca="1" ref="J282" ca="1">_xlfn.UNIQUE(Table1_1[#All],2,FALSE)</f>
        <v>0</v>
      </c>
    </row>
    <row r="283" spans="1:10" x14ac:dyDescent="0.3">
      <c r="A283" t="s">
        <v>2420</v>
      </c>
      <c r="B283" t="s">
        <v>64</v>
      </c>
      <c r="C283" t="s">
        <v>2280</v>
      </c>
      <c r="D283" t="s">
        <v>2286</v>
      </c>
      <c r="E283" t="s">
        <v>2278</v>
      </c>
      <c r="F283">
        <v>2021</v>
      </c>
      <c r="G283" t="s">
        <v>2289</v>
      </c>
      <c r="H283">
        <v>700</v>
      </c>
      <c r="I283">
        <v>235</v>
      </c>
      <c r="J283" cm="1">
        <f t="array" aca="1" ref="J283" ca="1">_xlfn.UNIQUE(Table1_1[#All],2,FALSE)</f>
        <v>0</v>
      </c>
    </row>
    <row r="284" spans="1:10" x14ac:dyDescent="0.3">
      <c r="A284" t="s">
        <v>2422</v>
      </c>
      <c r="B284" t="s">
        <v>73</v>
      </c>
      <c r="C284" t="s">
        <v>2288</v>
      </c>
      <c r="D284" t="s">
        <v>2277</v>
      </c>
      <c r="E284" t="s">
        <v>2278</v>
      </c>
      <c r="F284">
        <v>2021</v>
      </c>
      <c r="G284" t="s">
        <v>2283</v>
      </c>
      <c r="H284">
        <v>1200</v>
      </c>
      <c r="I284">
        <v>192</v>
      </c>
      <c r="J284" cm="1">
        <f t="array" aca="1" ref="J284" ca="1">_xlfn.UNIQUE(Table1_1[#All],2,FALSE)</f>
        <v>0</v>
      </c>
    </row>
    <row r="285" spans="1:10" x14ac:dyDescent="0.3">
      <c r="A285" t="s">
        <v>2423</v>
      </c>
      <c r="B285" t="s">
        <v>57</v>
      </c>
      <c r="C285" t="s">
        <v>2280</v>
      </c>
      <c r="D285" t="s">
        <v>2286</v>
      </c>
      <c r="E285" t="s">
        <v>2278</v>
      </c>
      <c r="F285">
        <v>2023</v>
      </c>
      <c r="G285" t="s">
        <v>2285</v>
      </c>
      <c r="H285">
        <v>700</v>
      </c>
      <c r="I285">
        <v>288</v>
      </c>
      <c r="J285" cm="1">
        <f t="array" aca="1" ref="J285" ca="1">_xlfn.UNIQUE(Table1_1[#All],2,FALSE)</f>
        <v>0</v>
      </c>
    </row>
    <row r="286" spans="1:10" x14ac:dyDescent="0.3">
      <c r="A286" t="s">
        <v>2424</v>
      </c>
      <c r="B286" t="s">
        <v>73</v>
      </c>
      <c r="C286" t="s">
        <v>37</v>
      </c>
      <c r="D286" t="s">
        <v>2284</v>
      </c>
      <c r="E286" t="s">
        <v>2287</v>
      </c>
      <c r="F286">
        <v>2021</v>
      </c>
      <c r="G286" t="s">
        <v>2279</v>
      </c>
      <c r="H286">
        <v>1500</v>
      </c>
      <c r="I286">
        <v>290</v>
      </c>
      <c r="J286" cm="1">
        <f t="array" aca="1" ref="J286" ca="1">_xlfn.UNIQUE(Table1_1[#All],2,FALSE)</f>
        <v>0</v>
      </c>
    </row>
    <row r="287" spans="1:10" x14ac:dyDescent="0.3">
      <c r="A287" t="s">
        <v>2425</v>
      </c>
      <c r="B287" t="s">
        <v>73</v>
      </c>
      <c r="C287" t="s">
        <v>2288</v>
      </c>
      <c r="D287" t="s">
        <v>2286</v>
      </c>
      <c r="E287" t="s">
        <v>2278</v>
      </c>
      <c r="F287">
        <v>2024</v>
      </c>
      <c r="G287" t="s">
        <v>2279</v>
      </c>
      <c r="H287">
        <v>500</v>
      </c>
      <c r="I287">
        <v>120</v>
      </c>
      <c r="J287" cm="1">
        <f t="array" aca="1" ref="J287" ca="1">_xlfn.UNIQUE(Table1_1[#All],2,FALSE)</f>
        <v>0</v>
      </c>
    </row>
    <row r="288" spans="1:10" x14ac:dyDescent="0.3">
      <c r="A288" t="s">
        <v>2426</v>
      </c>
      <c r="B288" t="s">
        <v>98</v>
      </c>
      <c r="C288" t="s">
        <v>2280</v>
      </c>
      <c r="D288" t="s">
        <v>2284</v>
      </c>
      <c r="E288" t="s">
        <v>2287</v>
      </c>
      <c r="F288">
        <v>2024</v>
      </c>
      <c r="G288" t="s">
        <v>2283</v>
      </c>
      <c r="H288">
        <v>900</v>
      </c>
      <c r="I288">
        <v>107</v>
      </c>
      <c r="J288" cm="1">
        <f t="array" aca="1" ref="J288" ca="1">_xlfn.UNIQUE(Table1_1[#All],2,FALSE)</f>
        <v>0</v>
      </c>
    </row>
    <row r="289" spans="1:10" x14ac:dyDescent="0.3">
      <c r="A289" t="s">
        <v>2427</v>
      </c>
      <c r="B289" t="s">
        <v>28</v>
      </c>
      <c r="C289" t="s">
        <v>37</v>
      </c>
      <c r="D289" t="s">
        <v>2284</v>
      </c>
      <c r="E289" t="s">
        <v>2278</v>
      </c>
      <c r="F289">
        <v>2023</v>
      </c>
      <c r="G289" t="s">
        <v>2279</v>
      </c>
      <c r="H289">
        <v>900</v>
      </c>
      <c r="I289">
        <v>121</v>
      </c>
      <c r="J289" cm="1">
        <f t="array" aca="1" ref="J289" ca="1">_xlfn.UNIQUE(Table1_1[#All],2,FALSE)</f>
        <v>0</v>
      </c>
    </row>
    <row r="290" spans="1:10" x14ac:dyDescent="0.3">
      <c r="A290" t="s">
        <v>2428</v>
      </c>
      <c r="B290" t="s">
        <v>57</v>
      </c>
      <c r="C290" t="s">
        <v>37</v>
      </c>
      <c r="D290" t="s">
        <v>2281</v>
      </c>
      <c r="E290" t="s">
        <v>2278</v>
      </c>
      <c r="F290">
        <v>2023</v>
      </c>
      <c r="G290" t="s">
        <v>2279</v>
      </c>
      <c r="H290">
        <v>500</v>
      </c>
      <c r="I290">
        <v>54</v>
      </c>
      <c r="J290" cm="1">
        <f t="array" aca="1" ref="J290" ca="1">_xlfn.UNIQUE(Table1_1[#All],2,FALSE)</f>
        <v>0</v>
      </c>
    </row>
    <row r="291" spans="1:10" x14ac:dyDescent="0.3">
      <c r="A291" t="s">
        <v>2430</v>
      </c>
      <c r="B291" t="s">
        <v>57</v>
      </c>
      <c r="C291" t="s">
        <v>2280</v>
      </c>
      <c r="D291" t="s">
        <v>2284</v>
      </c>
      <c r="E291" t="s">
        <v>2282</v>
      </c>
      <c r="F291">
        <v>2022</v>
      </c>
      <c r="G291" t="s">
        <v>2289</v>
      </c>
      <c r="H291">
        <v>500</v>
      </c>
      <c r="I291">
        <v>215</v>
      </c>
      <c r="J291" cm="1">
        <f t="array" aca="1" ref="J291" ca="1">_xlfn.UNIQUE(Table1_1[#All],2,FALSE)</f>
        <v>0</v>
      </c>
    </row>
    <row r="292" spans="1:10" x14ac:dyDescent="0.3">
      <c r="A292" t="s">
        <v>2431</v>
      </c>
      <c r="B292" t="s">
        <v>28</v>
      </c>
      <c r="C292" t="s">
        <v>37</v>
      </c>
      <c r="D292" t="s">
        <v>2284</v>
      </c>
      <c r="E292" t="s">
        <v>2278</v>
      </c>
      <c r="F292">
        <v>2022</v>
      </c>
      <c r="G292" t="s">
        <v>2279</v>
      </c>
      <c r="H292">
        <v>900</v>
      </c>
      <c r="I292">
        <v>91</v>
      </c>
      <c r="J292" cm="1">
        <f t="array" aca="1" ref="J292" ca="1">_xlfn.UNIQUE(Table1_1[#All],2,FALSE)</f>
        <v>0</v>
      </c>
    </row>
    <row r="293" spans="1:10" x14ac:dyDescent="0.3">
      <c r="A293" t="s">
        <v>2432</v>
      </c>
      <c r="B293" t="s">
        <v>73</v>
      </c>
      <c r="C293" t="s">
        <v>2280</v>
      </c>
      <c r="D293" t="s">
        <v>2281</v>
      </c>
      <c r="E293" t="s">
        <v>2278</v>
      </c>
      <c r="F293">
        <v>2022</v>
      </c>
      <c r="G293" t="s">
        <v>2283</v>
      </c>
      <c r="H293">
        <v>500</v>
      </c>
      <c r="I293">
        <v>262</v>
      </c>
      <c r="J293" cm="1">
        <f t="array" aca="1" ref="J293" ca="1">_xlfn.UNIQUE(Table1_1[#All],2,FALSE)</f>
        <v>0</v>
      </c>
    </row>
    <row r="294" spans="1:10" x14ac:dyDescent="0.3">
      <c r="A294" t="s">
        <v>2434</v>
      </c>
      <c r="B294" t="s">
        <v>64</v>
      </c>
      <c r="C294" t="s">
        <v>2276</v>
      </c>
      <c r="D294" t="s">
        <v>29</v>
      </c>
      <c r="E294" t="s">
        <v>2278</v>
      </c>
      <c r="F294">
        <v>2023</v>
      </c>
      <c r="G294" t="s">
        <v>2289</v>
      </c>
      <c r="H294">
        <v>500</v>
      </c>
      <c r="I294">
        <v>177</v>
      </c>
      <c r="J294" cm="1">
        <f t="array" aca="1" ref="J294" ca="1">_xlfn.UNIQUE(Table1_1[#All],2,FALSE)</f>
        <v>0</v>
      </c>
    </row>
    <row r="295" spans="1:10" x14ac:dyDescent="0.3">
      <c r="A295" t="s">
        <v>2435</v>
      </c>
      <c r="B295" t="s">
        <v>57</v>
      </c>
      <c r="C295" t="s">
        <v>2288</v>
      </c>
      <c r="D295" t="s">
        <v>2286</v>
      </c>
      <c r="E295" t="s">
        <v>2282</v>
      </c>
      <c r="F295">
        <v>2021</v>
      </c>
      <c r="G295" t="s">
        <v>2283</v>
      </c>
      <c r="H295">
        <v>1200</v>
      </c>
      <c r="I295">
        <v>200</v>
      </c>
      <c r="J295" cm="1">
        <f t="array" aca="1" ref="J295" ca="1">_xlfn.UNIQUE(Table1_1[#All],2,FALSE)</f>
        <v>0</v>
      </c>
    </row>
    <row r="296" spans="1:10" x14ac:dyDescent="0.3">
      <c r="A296" t="s">
        <v>2436</v>
      </c>
      <c r="B296" t="s">
        <v>57</v>
      </c>
      <c r="C296" t="s">
        <v>2288</v>
      </c>
      <c r="D296" t="s">
        <v>2286</v>
      </c>
      <c r="E296" t="s">
        <v>2282</v>
      </c>
      <c r="F296">
        <v>2024</v>
      </c>
      <c r="G296" t="s">
        <v>2279</v>
      </c>
      <c r="H296">
        <v>1200</v>
      </c>
      <c r="I296">
        <v>188</v>
      </c>
      <c r="J296" cm="1">
        <f t="array" aca="1" ref="J296" ca="1">_xlfn.UNIQUE(Table1_1[#All],2,FALSE)</f>
        <v>0</v>
      </c>
    </row>
    <row r="297" spans="1:10" x14ac:dyDescent="0.3">
      <c r="A297" t="s">
        <v>2438</v>
      </c>
      <c r="B297" t="s">
        <v>57</v>
      </c>
      <c r="C297" t="s">
        <v>2276</v>
      </c>
      <c r="D297" t="s">
        <v>2284</v>
      </c>
      <c r="E297" t="s">
        <v>2278</v>
      </c>
      <c r="F297">
        <v>2021</v>
      </c>
      <c r="G297" t="s">
        <v>2289</v>
      </c>
      <c r="H297">
        <v>1200</v>
      </c>
      <c r="I297">
        <v>287</v>
      </c>
      <c r="J297" cm="1">
        <f t="array" aca="1" ref="J297" ca="1">_xlfn.UNIQUE(Table1_1[#All],2,FALSE)</f>
        <v>0</v>
      </c>
    </row>
    <row r="298" spans="1:10" x14ac:dyDescent="0.3">
      <c r="A298" t="s">
        <v>2440</v>
      </c>
      <c r="B298" t="s">
        <v>28</v>
      </c>
      <c r="C298" t="s">
        <v>2276</v>
      </c>
      <c r="D298" t="s">
        <v>2281</v>
      </c>
      <c r="E298" t="s">
        <v>2282</v>
      </c>
      <c r="F298">
        <v>2021</v>
      </c>
      <c r="G298" t="s">
        <v>2283</v>
      </c>
      <c r="H298">
        <v>500</v>
      </c>
      <c r="I298">
        <v>23</v>
      </c>
      <c r="J298" cm="1">
        <f t="array" aca="1" ref="J298" ca="1">_xlfn.UNIQUE(Table1_1[#All],2,FALSE)</f>
        <v>0</v>
      </c>
    </row>
    <row r="299" spans="1:10" x14ac:dyDescent="0.3">
      <c r="A299" t="s">
        <v>2441</v>
      </c>
      <c r="B299" t="s">
        <v>98</v>
      </c>
      <c r="C299" t="s">
        <v>37</v>
      </c>
      <c r="D299" t="s">
        <v>2286</v>
      </c>
      <c r="E299" t="s">
        <v>2287</v>
      </c>
      <c r="F299">
        <v>2024</v>
      </c>
      <c r="G299" t="s">
        <v>2285</v>
      </c>
      <c r="H299">
        <v>900</v>
      </c>
      <c r="I299">
        <v>196</v>
      </c>
      <c r="J299" cm="1">
        <f t="array" aca="1" ref="J299" ca="1">_xlfn.UNIQUE(Table1_1[#All],2,FALSE)</f>
        <v>0</v>
      </c>
    </row>
    <row r="300" spans="1:10" x14ac:dyDescent="0.3">
      <c r="A300" t="s">
        <v>2443</v>
      </c>
      <c r="B300" t="s">
        <v>57</v>
      </c>
      <c r="C300" t="s">
        <v>37</v>
      </c>
      <c r="D300" t="s">
        <v>2281</v>
      </c>
      <c r="E300" t="s">
        <v>2282</v>
      </c>
      <c r="F300">
        <v>2021</v>
      </c>
      <c r="G300" t="s">
        <v>2279</v>
      </c>
      <c r="H300">
        <v>1500</v>
      </c>
      <c r="I300">
        <v>267</v>
      </c>
      <c r="J300" cm="1">
        <f t="array" aca="1" ref="J300" ca="1">_xlfn.UNIQUE(Table1_1[#All],2,FALSE)</f>
        <v>0</v>
      </c>
    </row>
    <row r="301" spans="1:10" x14ac:dyDescent="0.3">
      <c r="A301" t="s">
        <v>2444</v>
      </c>
      <c r="B301" t="s">
        <v>73</v>
      </c>
      <c r="C301" t="s">
        <v>37</v>
      </c>
      <c r="D301" t="s">
        <v>2277</v>
      </c>
      <c r="E301" t="s">
        <v>2282</v>
      </c>
      <c r="F301">
        <v>2024</v>
      </c>
      <c r="G301" t="s">
        <v>2285</v>
      </c>
      <c r="H301">
        <v>700</v>
      </c>
      <c r="I301">
        <v>46</v>
      </c>
      <c r="J301" cm="1">
        <f t="array" aca="1" ref="J301" ca="1">_xlfn.UNIQUE(Table1_1[#All],2,FALSE)</f>
        <v>0</v>
      </c>
    </row>
    <row r="302" spans="1:10" x14ac:dyDescent="0.3">
      <c r="A302" t="s">
        <v>2445</v>
      </c>
      <c r="B302" t="s">
        <v>28</v>
      </c>
      <c r="C302" t="s">
        <v>19</v>
      </c>
      <c r="D302" t="s">
        <v>2281</v>
      </c>
      <c r="E302" t="s">
        <v>2278</v>
      </c>
      <c r="F302">
        <v>2024</v>
      </c>
      <c r="G302" t="s">
        <v>2279</v>
      </c>
      <c r="H302">
        <v>1500</v>
      </c>
      <c r="I302">
        <v>246</v>
      </c>
      <c r="J302" cm="1">
        <f t="array" aca="1" ref="J302" ca="1">_xlfn.UNIQUE(Table1_1[#All],2,FALSE)</f>
        <v>0</v>
      </c>
    </row>
    <row r="303" spans="1:10" x14ac:dyDescent="0.3">
      <c r="A303" t="s">
        <v>2446</v>
      </c>
      <c r="B303" t="s">
        <v>73</v>
      </c>
      <c r="C303" t="s">
        <v>2276</v>
      </c>
      <c r="D303" t="s">
        <v>2281</v>
      </c>
      <c r="E303" t="s">
        <v>2282</v>
      </c>
      <c r="F303">
        <v>2023</v>
      </c>
      <c r="G303" t="s">
        <v>2279</v>
      </c>
      <c r="H303">
        <v>1200</v>
      </c>
      <c r="I303">
        <v>127</v>
      </c>
      <c r="J303" cm="1">
        <f t="array" aca="1" ref="J303" ca="1">_xlfn.UNIQUE(Table1_1[#All],2,FALSE)</f>
        <v>0</v>
      </c>
    </row>
    <row r="304" spans="1:10" x14ac:dyDescent="0.3">
      <c r="A304" t="s">
        <v>2449</v>
      </c>
      <c r="B304" t="s">
        <v>57</v>
      </c>
      <c r="C304" t="s">
        <v>2288</v>
      </c>
      <c r="D304" t="s">
        <v>29</v>
      </c>
      <c r="E304" t="s">
        <v>2278</v>
      </c>
      <c r="F304">
        <v>2023</v>
      </c>
      <c r="G304" t="s">
        <v>2289</v>
      </c>
      <c r="H304">
        <v>1200</v>
      </c>
      <c r="I304">
        <v>233</v>
      </c>
      <c r="J304" cm="1">
        <f t="array" aca="1" ref="J304" ca="1">_xlfn.UNIQUE(Table1_1[#All],2,FALSE)</f>
        <v>0</v>
      </c>
    </row>
    <row r="305" spans="1:10" x14ac:dyDescent="0.3">
      <c r="A305" t="s">
        <v>2451</v>
      </c>
      <c r="B305" t="s">
        <v>28</v>
      </c>
      <c r="C305" t="s">
        <v>2288</v>
      </c>
      <c r="D305" t="s">
        <v>2277</v>
      </c>
      <c r="E305" t="s">
        <v>2278</v>
      </c>
      <c r="F305">
        <v>2022</v>
      </c>
      <c r="G305" t="s">
        <v>2285</v>
      </c>
      <c r="H305">
        <v>700</v>
      </c>
      <c r="I305">
        <v>120</v>
      </c>
      <c r="J305" cm="1">
        <f t="array" aca="1" ref="J305" ca="1">_xlfn.UNIQUE(Table1_1[#All],2,FALSE)</f>
        <v>0</v>
      </c>
    </row>
    <row r="306" spans="1:10" x14ac:dyDescent="0.3">
      <c r="A306" t="s">
        <v>2452</v>
      </c>
      <c r="B306" t="s">
        <v>64</v>
      </c>
      <c r="C306" t="s">
        <v>19</v>
      </c>
      <c r="D306" t="s">
        <v>2281</v>
      </c>
      <c r="E306" t="s">
        <v>2287</v>
      </c>
      <c r="F306">
        <v>2024</v>
      </c>
      <c r="G306" t="s">
        <v>2285</v>
      </c>
      <c r="H306">
        <v>1200</v>
      </c>
      <c r="I306">
        <v>75</v>
      </c>
      <c r="J306" cm="1">
        <f t="array" aca="1" ref="J306" ca="1">_xlfn.UNIQUE(Table1_1[#All],2,FALSE)</f>
        <v>0</v>
      </c>
    </row>
    <row r="307" spans="1:10" x14ac:dyDescent="0.3">
      <c r="A307" t="s">
        <v>2453</v>
      </c>
      <c r="B307" t="s">
        <v>57</v>
      </c>
      <c r="C307" t="s">
        <v>19</v>
      </c>
      <c r="D307" t="s">
        <v>2284</v>
      </c>
      <c r="E307" t="s">
        <v>2278</v>
      </c>
      <c r="F307">
        <v>2023</v>
      </c>
      <c r="G307" t="s">
        <v>2289</v>
      </c>
      <c r="H307">
        <v>900</v>
      </c>
      <c r="I307">
        <v>26</v>
      </c>
      <c r="J307" cm="1">
        <f t="array" aca="1" ref="J307" ca="1">_xlfn.UNIQUE(Table1_1[#All],2,FALSE)</f>
        <v>0</v>
      </c>
    </row>
    <row r="308" spans="1:10" x14ac:dyDescent="0.3">
      <c r="A308" t="s">
        <v>2454</v>
      </c>
      <c r="B308" t="s">
        <v>28</v>
      </c>
      <c r="C308" t="s">
        <v>2276</v>
      </c>
      <c r="D308" t="s">
        <v>29</v>
      </c>
      <c r="E308" t="s">
        <v>2282</v>
      </c>
      <c r="F308">
        <v>2022</v>
      </c>
      <c r="G308" t="s">
        <v>2283</v>
      </c>
      <c r="H308">
        <v>500</v>
      </c>
      <c r="I308">
        <v>109</v>
      </c>
      <c r="J308" cm="1">
        <f t="array" aca="1" ref="J308" ca="1">_xlfn.UNIQUE(Table1_1[#All],2,FALSE)</f>
        <v>0</v>
      </c>
    </row>
    <row r="309" spans="1:10" x14ac:dyDescent="0.3">
      <c r="A309" t="s">
        <v>2457</v>
      </c>
      <c r="B309" t="s">
        <v>98</v>
      </c>
      <c r="C309" t="s">
        <v>2280</v>
      </c>
      <c r="D309" t="s">
        <v>29</v>
      </c>
      <c r="E309" t="s">
        <v>2278</v>
      </c>
      <c r="F309">
        <v>2021</v>
      </c>
      <c r="G309" t="s">
        <v>2289</v>
      </c>
      <c r="H309">
        <v>700</v>
      </c>
      <c r="I309">
        <v>114</v>
      </c>
      <c r="J309" cm="1">
        <f t="array" aca="1" ref="J309" ca="1">_xlfn.UNIQUE(Table1_1[#All],2,FALSE)</f>
        <v>0</v>
      </c>
    </row>
    <row r="310" spans="1:10" x14ac:dyDescent="0.3">
      <c r="A310" t="s">
        <v>2459</v>
      </c>
      <c r="B310" t="s">
        <v>98</v>
      </c>
      <c r="C310" t="s">
        <v>37</v>
      </c>
      <c r="D310" t="s">
        <v>2286</v>
      </c>
      <c r="E310" t="s">
        <v>2287</v>
      </c>
      <c r="F310">
        <v>2024</v>
      </c>
      <c r="G310" t="s">
        <v>2279</v>
      </c>
      <c r="H310">
        <v>500</v>
      </c>
      <c r="I310">
        <v>214</v>
      </c>
      <c r="J310" cm="1">
        <f t="array" aca="1" ref="J310" ca="1">_xlfn.UNIQUE(Table1_1[#All],2,FALSE)</f>
        <v>0</v>
      </c>
    </row>
    <row r="311" spans="1:10" x14ac:dyDescent="0.3">
      <c r="A311" t="s">
        <v>2460</v>
      </c>
      <c r="B311" t="s">
        <v>28</v>
      </c>
      <c r="C311" t="s">
        <v>2276</v>
      </c>
      <c r="D311" t="s">
        <v>2277</v>
      </c>
      <c r="E311" t="s">
        <v>2287</v>
      </c>
      <c r="F311">
        <v>2022</v>
      </c>
      <c r="G311" t="s">
        <v>2289</v>
      </c>
      <c r="H311">
        <v>900</v>
      </c>
      <c r="I311">
        <v>276</v>
      </c>
      <c r="J311" cm="1">
        <f t="array" aca="1" ref="J311" ca="1">_xlfn.UNIQUE(Table1_1[#All],2,FALSE)</f>
        <v>0</v>
      </c>
    </row>
    <row r="312" spans="1:10" x14ac:dyDescent="0.3">
      <c r="A312" t="s">
        <v>2461</v>
      </c>
      <c r="B312" t="s">
        <v>64</v>
      </c>
      <c r="C312" t="s">
        <v>2280</v>
      </c>
      <c r="D312" t="s">
        <v>29</v>
      </c>
      <c r="E312" t="s">
        <v>2287</v>
      </c>
      <c r="F312">
        <v>2021</v>
      </c>
      <c r="G312" t="s">
        <v>2289</v>
      </c>
      <c r="H312">
        <v>900</v>
      </c>
      <c r="I312">
        <v>299</v>
      </c>
      <c r="J312" cm="1">
        <f t="array" aca="1" ref="J312" ca="1">_xlfn.UNIQUE(Table1_1[#All],2,FALSE)</f>
        <v>0</v>
      </c>
    </row>
    <row r="313" spans="1:10" x14ac:dyDescent="0.3">
      <c r="A313" t="s">
        <v>2462</v>
      </c>
      <c r="B313" t="s">
        <v>28</v>
      </c>
      <c r="C313" t="s">
        <v>2276</v>
      </c>
      <c r="D313" t="s">
        <v>2277</v>
      </c>
      <c r="E313" t="s">
        <v>2287</v>
      </c>
      <c r="F313">
        <v>2023</v>
      </c>
      <c r="G313" t="s">
        <v>2283</v>
      </c>
      <c r="H313">
        <v>900</v>
      </c>
      <c r="I313">
        <v>91</v>
      </c>
      <c r="J313" cm="1">
        <f t="array" aca="1" ref="J313" ca="1">_xlfn.UNIQUE(Table1_1[#All],2,FALSE)</f>
        <v>0</v>
      </c>
    </row>
    <row r="314" spans="1:10" x14ac:dyDescent="0.3">
      <c r="A314" t="s">
        <v>2463</v>
      </c>
      <c r="B314" t="s">
        <v>28</v>
      </c>
      <c r="C314" t="s">
        <v>2288</v>
      </c>
      <c r="D314" t="s">
        <v>2284</v>
      </c>
      <c r="E314" t="s">
        <v>2282</v>
      </c>
      <c r="F314">
        <v>2024</v>
      </c>
      <c r="G314" t="s">
        <v>2285</v>
      </c>
      <c r="H314">
        <v>700</v>
      </c>
      <c r="I314">
        <v>247</v>
      </c>
      <c r="J314" cm="1">
        <f t="array" aca="1" ref="J314" ca="1">_xlfn.UNIQUE(Table1_1[#All],2,FALSE)</f>
        <v>0</v>
      </c>
    </row>
    <row r="315" spans="1:10" x14ac:dyDescent="0.3">
      <c r="A315" t="s">
        <v>2465</v>
      </c>
      <c r="B315" t="s">
        <v>98</v>
      </c>
      <c r="C315" t="s">
        <v>2288</v>
      </c>
      <c r="D315" t="s">
        <v>2277</v>
      </c>
      <c r="E315" t="s">
        <v>2287</v>
      </c>
      <c r="F315">
        <v>2024</v>
      </c>
      <c r="G315" t="s">
        <v>2285</v>
      </c>
      <c r="H315">
        <v>700</v>
      </c>
      <c r="I315">
        <v>249</v>
      </c>
      <c r="J315" cm="1">
        <f t="array" aca="1" ref="J315" ca="1">_xlfn.UNIQUE(Table1_1[#All],2,FALSE)</f>
        <v>0</v>
      </c>
    </row>
    <row r="316" spans="1:10" x14ac:dyDescent="0.3">
      <c r="A316" t="s">
        <v>2466</v>
      </c>
      <c r="B316" t="s">
        <v>98</v>
      </c>
      <c r="C316" t="s">
        <v>2280</v>
      </c>
      <c r="D316" t="s">
        <v>2284</v>
      </c>
      <c r="E316" t="s">
        <v>2278</v>
      </c>
      <c r="F316">
        <v>2024</v>
      </c>
      <c r="G316" t="s">
        <v>2279</v>
      </c>
      <c r="H316">
        <v>1200</v>
      </c>
      <c r="I316">
        <v>87</v>
      </c>
      <c r="J316" cm="1">
        <f t="array" aca="1" ref="J316" ca="1">_xlfn.UNIQUE(Table1_1[#All],2,FALSE)</f>
        <v>0</v>
      </c>
    </row>
    <row r="317" spans="1:10" x14ac:dyDescent="0.3">
      <c r="A317" t="s">
        <v>2467</v>
      </c>
      <c r="B317" t="s">
        <v>73</v>
      </c>
      <c r="C317" t="s">
        <v>2288</v>
      </c>
      <c r="D317" t="s">
        <v>2277</v>
      </c>
      <c r="E317" t="s">
        <v>2287</v>
      </c>
      <c r="F317">
        <v>2022</v>
      </c>
      <c r="G317" t="s">
        <v>2289</v>
      </c>
      <c r="H317">
        <v>900</v>
      </c>
      <c r="I317">
        <v>244</v>
      </c>
      <c r="J317" cm="1">
        <f t="array" aca="1" ref="J317" ca="1">_xlfn.UNIQUE(Table1_1[#All],2,FALSE)</f>
        <v>0</v>
      </c>
    </row>
    <row r="318" spans="1:10" x14ac:dyDescent="0.3">
      <c r="A318" t="s">
        <v>2469</v>
      </c>
      <c r="B318" t="s">
        <v>28</v>
      </c>
      <c r="C318" t="s">
        <v>2280</v>
      </c>
      <c r="D318" t="s">
        <v>2284</v>
      </c>
      <c r="E318" t="s">
        <v>2278</v>
      </c>
      <c r="F318">
        <v>2021</v>
      </c>
      <c r="G318" t="s">
        <v>2285</v>
      </c>
      <c r="H318">
        <v>900</v>
      </c>
      <c r="I318">
        <v>137</v>
      </c>
      <c r="J318" cm="1">
        <f t="array" aca="1" ref="J318" ca="1">_xlfn.UNIQUE(Table1_1[#All],2,FALSE)</f>
        <v>0</v>
      </c>
    </row>
    <row r="319" spans="1:10" x14ac:dyDescent="0.3">
      <c r="A319" t="s">
        <v>2470</v>
      </c>
      <c r="B319" t="s">
        <v>28</v>
      </c>
      <c r="C319" t="s">
        <v>2288</v>
      </c>
      <c r="D319" t="s">
        <v>29</v>
      </c>
      <c r="E319" t="s">
        <v>2278</v>
      </c>
      <c r="F319">
        <v>2024</v>
      </c>
      <c r="G319" t="s">
        <v>2279</v>
      </c>
      <c r="H319">
        <v>900</v>
      </c>
      <c r="I319">
        <v>242</v>
      </c>
      <c r="J319" cm="1">
        <f t="array" aca="1" ref="J319" ca="1">_xlfn.UNIQUE(Table1_1[#All],2,FALSE)</f>
        <v>0</v>
      </c>
    </row>
    <row r="320" spans="1:10" x14ac:dyDescent="0.3">
      <c r="A320" t="s">
        <v>2472</v>
      </c>
      <c r="B320" t="s">
        <v>98</v>
      </c>
      <c r="C320" t="s">
        <v>2276</v>
      </c>
      <c r="D320" t="s">
        <v>2281</v>
      </c>
      <c r="E320" t="s">
        <v>2278</v>
      </c>
      <c r="F320">
        <v>2022</v>
      </c>
      <c r="G320" t="s">
        <v>2289</v>
      </c>
      <c r="H320">
        <v>700</v>
      </c>
      <c r="I320">
        <v>209</v>
      </c>
      <c r="J320" cm="1">
        <f t="array" aca="1" ref="J320" ca="1">_xlfn.UNIQUE(Table1_1[#All],2,FALSE)</f>
        <v>0</v>
      </c>
    </row>
    <row r="321" spans="1:10" x14ac:dyDescent="0.3">
      <c r="A321" t="s">
        <v>2473</v>
      </c>
      <c r="B321" t="s">
        <v>28</v>
      </c>
      <c r="C321" t="s">
        <v>2280</v>
      </c>
      <c r="D321" t="s">
        <v>2281</v>
      </c>
      <c r="E321" t="s">
        <v>2278</v>
      </c>
      <c r="F321">
        <v>2022</v>
      </c>
      <c r="G321" t="s">
        <v>2279</v>
      </c>
      <c r="H321">
        <v>1500</v>
      </c>
      <c r="I321">
        <v>211</v>
      </c>
      <c r="J321" cm="1">
        <f t="array" aca="1" ref="J321" ca="1">_xlfn.UNIQUE(Table1_1[#All],2,FALSE)</f>
        <v>0</v>
      </c>
    </row>
    <row r="322" spans="1:10" x14ac:dyDescent="0.3">
      <c r="A322" t="s">
        <v>2474</v>
      </c>
      <c r="B322" t="s">
        <v>98</v>
      </c>
      <c r="C322" t="s">
        <v>19</v>
      </c>
      <c r="D322" t="s">
        <v>29</v>
      </c>
      <c r="E322" t="s">
        <v>2282</v>
      </c>
      <c r="F322">
        <v>2022</v>
      </c>
      <c r="G322" t="s">
        <v>2285</v>
      </c>
      <c r="H322">
        <v>700</v>
      </c>
      <c r="I322">
        <v>118</v>
      </c>
      <c r="J322" cm="1">
        <f t="array" aca="1" ref="J322" ca="1">_xlfn.UNIQUE(Table1_1[#All],2,FALSE)</f>
        <v>0</v>
      </c>
    </row>
    <row r="323" spans="1:10" x14ac:dyDescent="0.3">
      <c r="A323" t="s">
        <v>2475</v>
      </c>
      <c r="B323" t="s">
        <v>73</v>
      </c>
      <c r="C323" t="s">
        <v>2288</v>
      </c>
      <c r="D323" t="s">
        <v>2277</v>
      </c>
      <c r="E323" t="s">
        <v>2282</v>
      </c>
      <c r="F323">
        <v>2023</v>
      </c>
      <c r="G323" t="s">
        <v>2285</v>
      </c>
      <c r="H323">
        <v>1200</v>
      </c>
      <c r="I323">
        <v>225</v>
      </c>
      <c r="J323" cm="1">
        <f t="array" aca="1" ref="J323" ca="1">_xlfn.UNIQUE(Table1_1[#All],2,FALSE)</f>
        <v>0</v>
      </c>
    </row>
    <row r="324" spans="1:10" x14ac:dyDescent="0.3">
      <c r="A324" t="s">
        <v>2476</v>
      </c>
      <c r="B324" t="s">
        <v>98</v>
      </c>
      <c r="C324" t="s">
        <v>2276</v>
      </c>
      <c r="D324" t="s">
        <v>29</v>
      </c>
      <c r="E324" t="s">
        <v>2278</v>
      </c>
      <c r="F324">
        <v>2022</v>
      </c>
      <c r="G324" t="s">
        <v>2285</v>
      </c>
      <c r="H324">
        <v>1500</v>
      </c>
      <c r="I324">
        <v>74</v>
      </c>
      <c r="J324" cm="1">
        <f t="array" aca="1" ref="J324" ca="1">_xlfn.UNIQUE(Table1_1[#All],2,FALSE)</f>
        <v>0</v>
      </c>
    </row>
    <row r="325" spans="1:10" x14ac:dyDescent="0.3">
      <c r="A325" t="s">
        <v>2478</v>
      </c>
      <c r="B325" t="s">
        <v>57</v>
      </c>
      <c r="C325" t="s">
        <v>2288</v>
      </c>
      <c r="D325" t="s">
        <v>29</v>
      </c>
      <c r="E325" t="s">
        <v>2287</v>
      </c>
      <c r="F325">
        <v>2022</v>
      </c>
      <c r="G325" t="s">
        <v>2285</v>
      </c>
      <c r="H325">
        <v>1500</v>
      </c>
      <c r="I325">
        <v>106</v>
      </c>
      <c r="J325" cm="1">
        <f t="array" aca="1" ref="J325" ca="1">_xlfn.UNIQUE(Table1_1[#All],2,FALSE)</f>
        <v>0</v>
      </c>
    </row>
    <row r="326" spans="1:10" x14ac:dyDescent="0.3">
      <c r="A326" t="s">
        <v>2480</v>
      </c>
      <c r="B326" t="s">
        <v>28</v>
      </c>
      <c r="C326" t="s">
        <v>37</v>
      </c>
      <c r="D326" t="s">
        <v>2286</v>
      </c>
      <c r="E326" t="s">
        <v>2287</v>
      </c>
      <c r="F326">
        <v>2021</v>
      </c>
      <c r="G326" t="s">
        <v>2283</v>
      </c>
      <c r="H326">
        <v>900</v>
      </c>
      <c r="I326">
        <v>279</v>
      </c>
      <c r="J326" cm="1">
        <f t="array" aca="1" ref="J326" ca="1">_xlfn.UNIQUE(Table1_1[#All],2,FALSE)</f>
        <v>0</v>
      </c>
    </row>
    <row r="327" spans="1:10" x14ac:dyDescent="0.3">
      <c r="A327" t="s">
        <v>2481</v>
      </c>
      <c r="B327" t="s">
        <v>73</v>
      </c>
      <c r="C327" t="s">
        <v>2276</v>
      </c>
      <c r="D327" t="s">
        <v>29</v>
      </c>
      <c r="E327" t="s">
        <v>2278</v>
      </c>
      <c r="F327">
        <v>2023</v>
      </c>
      <c r="G327" t="s">
        <v>2289</v>
      </c>
      <c r="H327">
        <v>500</v>
      </c>
      <c r="I327">
        <v>166</v>
      </c>
      <c r="J327" cm="1">
        <f t="array" aca="1" ref="J327" ca="1">_xlfn.UNIQUE(Table1_1[#All],2,FALSE)</f>
        <v>0</v>
      </c>
    </row>
    <row r="328" spans="1:10" x14ac:dyDescent="0.3">
      <c r="A328" t="s">
        <v>2483</v>
      </c>
      <c r="B328" t="s">
        <v>64</v>
      </c>
      <c r="C328" t="s">
        <v>37</v>
      </c>
      <c r="D328" t="s">
        <v>29</v>
      </c>
      <c r="E328" t="s">
        <v>2282</v>
      </c>
      <c r="F328">
        <v>2023</v>
      </c>
      <c r="G328" t="s">
        <v>2289</v>
      </c>
      <c r="H328">
        <v>1200</v>
      </c>
      <c r="I328">
        <v>94</v>
      </c>
      <c r="J328" cm="1">
        <f t="array" aca="1" ref="J328" ca="1">_xlfn.UNIQUE(Table1_1[#All],2,FALSE)</f>
        <v>0</v>
      </c>
    </row>
    <row r="329" spans="1:10" x14ac:dyDescent="0.3">
      <c r="A329" t="s">
        <v>2484</v>
      </c>
      <c r="B329" t="s">
        <v>57</v>
      </c>
      <c r="C329" t="s">
        <v>19</v>
      </c>
      <c r="D329" t="s">
        <v>29</v>
      </c>
      <c r="E329" t="s">
        <v>2282</v>
      </c>
      <c r="F329">
        <v>2022</v>
      </c>
      <c r="G329" t="s">
        <v>2289</v>
      </c>
      <c r="H329">
        <v>1500</v>
      </c>
      <c r="I329">
        <v>59</v>
      </c>
      <c r="J329" cm="1">
        <f t="array" aca="1" ref="J329" ca="1">_xlfn.UNIQUE(Table1_1[#All],2,FALSE)</f>
        <v>0</v>
      </c>
    </row>
    <row r="330" spans="1:10" x14ac:dyDescent="0.3">
      <c r="A330" t="s">
        <v>2485</v>
      </c>
      <c r="B330" t="s">
        <v>98</v>
      </c>
      <c r="C330" t="s">
        <v>2276</v>
      </c>
      <c r="D330" t="s">
        <v>2281</v>
      </c>
      <c r="E330" t="s">
        <v>2287</v>
      </c>
      <c r="F330">
        <v>2023</v>
      </c>
      <c r="G330" t="s">
        <v>2289</v>
      </c>
      <c r="H330">
        <v>700</v>
      </c>
      <c r="I330">
        <v>172</v>
      </c>
      <c r="J330" cm="1">
        <f t="array" aca="1" ref="J330" ca="1">_xlfn.UNIQUE(Table1_1[#All],2,FALSE)</f>
        <v>0</v>
      </c>
    </row>
    <row r="331" spans="1:10" x14ac:dyDescent="0.3">
      <c r="A331" t="s">
        <v>2486</v>
      </c>
      <c r="B331" t="s">
        <v>57</v>
      </c>
      <c r="C331" t="s">
        <v>2280</v>
      </c>
      <c r="D331" t="s">
        <v>29</v>
      </c>
      <c r="E331" t="s">
        <v>2278</v>
      </c>
      <c r="F331">
        <v>2023</v>
      </c>
      <c r="G331" t="s">
        <v>2283</v>
      </c>
      <c r="H331">
        <v>1500</v>
      </c>
      <c r="I331">
        <v>87</v>
      </c>
      <c r="J331" cm="1">
        <f t="array" aca="1" ref="J331" ca="1">_xlfn.UNIQUE(Table1_1[#All],2,FALSE)</f>
        <v>0</v>
      </c>
    </row>
    <row r="332" spans="1:10" x14ac:dyDescent="0.3">
      <c r="A332" t="s">
        <v>2487</v>
      </c>
      <c r="B332" t="s">
        <v>64</v>
      </c>
      <c r="C332" t="s">
        <v>2288</v>
      </c>
      <c r="D332" t="s">
        <v>2286</v>
      </c>
      <c r="E332" t="s">
        <v>2287</v>
      </c>
      <c r="F332">
        <v>2022</v>
      </c>
      <c r="G332" t="s">
        <v>2285</v>
      </c>
      <c r="H332">
        <v>1500</v>
      </c>
      <c r="I332">
        <v>123</v>
      </c>
      <c r="J332" cm="1">
        <f t="array" aca="1" ref="J332" ca="1">_xlfn.UNIQUE(Table1_1[#All],2,FALSE)</f>
        <v>0</v>
      </c>
    </row>
    <row r="333" spans="1:10" x14ac:dyDescent="0.3">
      <c r="A333" t="s">
        <v>2488</v>
      </c>
      <c r="B333" t="s">
        <v>73</v>
      </c>
      <c r="C333" t="s">
        <v>37</v>
      </c>
      <c r="D333" t="s">
        <v>2286</v>
      </c>
      <c r="E333" t="s">
        <v>2282</v>
      </c>
      <c r="F333">
        <v>2024</v>
      </c>
      <c r="G333" t="s">
        <v>2285</v>
      </c>
      <c r="H333">
        <v>1500</v>
      </c>
      <c r="I333">
        <v>73</v>
      </c>
      <c r="J333" cm="1">
        <f t="array" aca="1" ref="J333" ca="1">_xlfn.UNIQUE(Table1_1[#All],2,FALSE)</f>
        <v>0</v>
      </c>
    </row>
    <row r="334" spans="1:10" x14ac:dyDescent="0.3">
      <c r="A334" t="s">
        <v>2489</v>
      </c>
      <c r="B334" t="s">
        <v>98</v>
      </c>
      <c r="C334" t="s">
        <v>2276</v>
      </c>
      <c r="D334" t="s">
        <v>2277</v>
      </c>
      <c r="E334" t="s">
        <v>2287</v>
      </c>
      <c r="F334">
        <v>2022</v>
      </c>
      <c r="G334" t="s">
        <v>2283</v>
      </c>
      <c r="H334">
        <v>500</v>
      </c>
      <c r="I334">
        <v>101</v>
      </c>
      <c r="J334" cm="1">
        <f t="array" aca="1" ref="J334" ca="1">_xlfn.UNIQUE(Table1_1[#All],2,FALSE)</f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92B9-39A5-45DA-90EE-2F3E4F890EE2}">
  <dimension ref="A1:I57"/>
  <sheetViews>
    <sheetView workbookViewId="0"/>
  </sheetViews>
  <sheetFormatPr defaultRowHeight="14.4" x14ac:dyDescent="0.3"/>
  <cols>
    <col min="1" max="1" width="14.109375" bestFit="1" customWidth="1"/>
    <col min="2" max="2" width="11.33203125" bestFit="1" customWidth="1"/>
    <col min="3" max="3" width="6.44140625" bestFit="1" customWidth="1"/>
    <col min="4" max="4" width="9.33203125" bestFit="1" customWidth="1"/>
    <col min="5" max="5" width="9" bestFit="1" customWidth="1"/>
    <col min="6" max="6" width="13.44140625" bestFit="1" customWidth="1"/>
    <col min="7" max="7" width="14" bestFit="1" customWidth="1"/>
    <col min="8" max="8" width="12.77734375" bestFit="1" customWidth="1"/>
    <col min="9" max="9" width="20.33203125" bestFit="1" customWidth="1"/>
  </cols>
  <sheetData>
    <row r="1" spans="1:9" x14ac:dyDescent="0.3">
      <c r="A1" t="s">
        <v>2490</v>
      </c>
      <c r="B1" t="s">
        <v>2491</v>
      </c>
      <c r="C1" t="s">
        <v>2492</v>
      </c>
      <c r="D1" t="s">
        <v>2271</v>
      </c>
      <c r="E1" t="s">
        <v>10</v>
      </c>
      <c r="F1" t="s">
        <v>2493</v>
      </c>
      <c r="G1" t="s">
        <v>2494</v>
      </c>
      <c r="H1" t="s">
        <v>2495</v>
      </c>
      <c r="I1" t="s">
        <v>2496</v>
      </c>
    </row>
    <row r="2" spans="1:9" x14ac:dyDescent="0.3">
      <c r="A2" t="s">
        <v>2518</v>
      </c>
      <c r="B2" t="s">
        <v>2519</v>
      </c>
      <c r="C2">
        <v>31</v>
      </c>
      <c r="D2" t="s">
        <v>30</v>
      </c>
      <c r="E2" t="s">
        <v>21</v>
      </c>
      <c r="F2" t="s">
        <v>2499</v>
      </c>
      <c r="G2">
        <v>8</v>
      </c>
      <c r="H2">
        <v>2143.2800000000002</v>
      </c>
      <c r="I2" s="3">
        <v>45489</v>
      </c>
    </row>
    <row r="3" spans="1:9" x14ac:dyDescent="0.3">
      <c r="A3" t="s">
        <v>2523</v>
      </c>
      <c r="B3" t="s">
        <v>2502</v>
      </c>
      <c r="C3">
        <v>49</v>
      </c>
      <c r="D3" t="s">
        <v>2506</v>
      </c>
      <c r="E3" t="s">
        <v>58</v>
      </c>
      <c r="F3" t="s">
        <v>2507</v>
      </c>
      <c r="G3">
        <v>13</v>
      </c>
      <c r="H3">
        <v>4780.7</v>
      </c>
      <c r="I3" s="3">
        <v>45544</v>
      </c>
    </row>
    <row r="4" spans="1:9" x14ac:dyDescent="0.3">
      <c r="A4" t="s">
        <v>2525</v>
      </c>
      <c r="B4" t="s">
        <v>2512</v>
      </c>
      <c r="C4">
        <v>27</v>
      </c>
      <c r="D4" t="s">
        <v>2506</v>
      </c>
      <c r="E4" t="s">
        <v>21</v>
      </c>
      <c r="F4" t="s">
        <v>2499</v>
      </c>
      <c r="G4">
        <v>7</v>
      </c>
      <c r="H4">
        <v>11630.7</v>
      </c>
      <c r="I4" s="3">
        <v>44982</v>
      </c>
    </row>
    <row r="5" spans="1:9" x14ac:dyDescent="0.3">
      <c r="A5" t="s">
        <v>2537</v>
      </c>
      <c r="B5" t="s">
        <v>2502</v>
      </c>
      <c r="C5">
        <v>46</v>
      </c>
      <c r="D5" t="s">
        <v>2506</v>
      </c>
      <c r="E5" t="s">
        <v>38</v>
      </c>
      <c r="F5" t="s">
        <v>2503</v>
      </c>
      <c r="G5">
        <v>8</v>
      </c>
      <c r="H5">
        <v>17069.400000000001</v>
      </c>
      <c r="I5" s="3">
        <v>45179</v>
      </c>
    </row>
    <row r="6" spans="1:9" x14ac:dyDescent="0.3">
      <c r="A6" t="s">
        <v>2553</v>
      </c>
      <c r="B6" t="s">
        <v>2498</v>
      </c>
      <c r="C6">
        <v>39</v>
      </c>
      <c r="D6" t="s">
        <v>30</v>
      </c>
      <c r="E6" t="s">
        <v>58</v>
      </c>
      <c r="F6" t="s">
        <v>2499</v>
      </c>
      <c r="G6">
        <v>4</v>
      </c>
      <c r="H6">
        <v>12122.59</v>
      </c>
      <c r="I6" s="3">
        <v>45546</v>
      </c>
    </row>
    <row r="7" spans="1:9" x14ac:dyDescent="0.3">
      <c r="A7" t="s">
        <v>2574</v>
      </c>
      <c r="B7" t="s">
        <v>2512</v>
      </c>
      <c r="C7">
        <v>31</v>
      </c>
      <c r="D7" t="s">
        <v>2506</v>
      </c>
      <c r="E7" t="s">
        <v>58</v>
      </c>
      <c r="F7" t="s">
        <v>2507</v>
      </c>
      <c r="G7">
        <v>9</v>
      </c>
      <c r="H7">
        <v>8908.8799999999992</v>
      </c>
      <c r="I7" s="3">
        <v>45382</v>
      </c>
    </row>
    <row r="8" spans="1:9" x14ac:dyDescent="0.3">
      <c r="A8" t="s">
        <v>2576</v>
      </c>
      <c r="B8" t="s">
        <v>2498</v>
      </c>
      <c r="C8">
        <v>21</v>
      </c>
      <c r="D8" t="s">
        <v>30</v>
      </c>
      <c r="E8" t="s">
        <v>58</v>
      </c>
      <c r="F8" t="s">
        <v>2503</v>
      </c>
      <c r="G8">
        <v>20</v>
      </c>
      <c r="H8">
        <v>3909.91</v>
      </c>
      <c r="I8" s="3">
        <v>45184</v>
      </c>
    </row>
    <row r="9" spans="1:9" x14ac:dyDescent="0.3">
      <c r="A9" t="s">
        <v>2583</v>
      </c>
      <c r="B9" t="s">
        <v>2498</v>
      </c>
      <c r="C9">
        <v>24</v>
      </c>
      <c r="D9" t="s">
        <v>30</v>
      </c>
      <c r="E9" t="s">
        <v>38</v>
      </c>
      <c r="F9" t="s">
        <v>2499</v>
      </c>
      <c r="G9">
        <v>13</v>
      </c>
      <c r="H9">
        <v>2249.41</v>
      </c>
      <c r="I9" s="3">
        <v>45573</v>
      </c>
    </row>
    <row r="10" spans="1:9" x14ac:dyDescent="0.3">
      <c r="A10" t="s">
        <v>2612</v>
      </c>
      <c r="B10" t="s">
        <v>2498</v>
      </c>
      <c r="C10">
        <v>31</v>
      </c>
      <c r="D10" t="s">
        <v>2506</v>
      </c>
      <c r="E10" t="s">
        <v>58</v>
      </c>
      <c r="F10" t="s">
        <v>2503</v>
      </c>
      <c r="G10">
        <v>15</v>
      </c>
      <c r="H10">
        <v>17750.27</v>
      </c>
      <c r="I10" s="3">
        <v>45655</v>
      </c>
    </row>
    <row r="11" spans="1:9" x14ac:dyDescent="0.3">
      <c r="A11" t="s">
        <v>2615</v>
      </c>
      <c r="B11" t="s">
        <v>2547</v>
      </c>
      <c r="C11">
        <v>28</v>
      </c>
      <c r="D11" t="s">
        <v>30</v>
      </c>
      <c r="E11" t="s">
        <v>58</v>
      </c>
      <c r="F11" t="s">
        <v>2507</v>
      </c>
      <c r="G11">
        <v>7</v>
      </c>
      <c r="H11">
        <v>13113.38</v>
      </c>
      <c r="I11" s="3">
        <v>45140</v>
      </c>
    </row>
    <row r="12" spans="1:9" x14ac:dyDescent="0.3">
      <c r="A12" t="s">
        <v>2617</v>
      </c>
      <c r="B12" t="s">
        <v>2547</v>
      </c>
      <c r="C12">
        <v>21</v>
      </c>
      <c r="D12" t="s">
        <v>2506</v>
      </c>
      <c r="E12" t="s">
        <v>38</v>
      </c>
      <c r="F12" t="s">
        <v>2507</v>
      </c>
      <c r="G12">
        <v>20</v>
      </c>
      <c r="H12">
        <v>8619.07</v>
      </c>
      <c r="I12" s="3">
        <v>45466</v>
      </c>
    </row>
    <row r="13" spans="1:9" x14ac:dyDescent="0.3">
      <c r="A13" t="s">
        <v>2618</v>
      </c>
      <c r="B13" t="s">
        <v>2502</v>
      </c>
      <c r="C13">
        <v>30</v>
      </c>
      <c r="D13" t="s">
        <v>2506</v>
      </c>
      <c r="E13" t="s">
        <v>38</v>
      </c>
      <c r="F13" t="s">
        <v>2503</v>
      </c>
      <c r="G13">
        <v>17</v>
      </c>
      <c r="H13">
        <v>15375.7</v>
      </c>
      <c r="I13" s="3">
        <v>45360</v>
      </c>
    </row>
    <row r="14" spans="1:9" x14ac:dyDescent="0.3">
      <c r="A14" t="s">
        <v>2620</v>
      </c>
      <c r="B14" t="s">
        <v>2528</v>
      </c>
      <c r="C14">
        <v>43</v>
      </c>
      <c r="D14" t="s">
        <v>30</v>
      </c>
      <c r="E14" t="s">
        <v>58</v>
      </c>
      <c r="F14" t="s">
        <v>2503</v>
      </c>
      <c r="G14">
        <v>9</v>
      </c>
      <c r="H14">
        <v>12055.07</v>
      </c>
      <c r="I14" s="3">
        <v>45565</v>
      </c>
    </row>
    <row r="15" spans="1:9" x14ac:dyDescent="0.3">
      <c r="A15" t="s">
        <v>2625</v>
      </c>
      <c r="B15" t="s">
        <v>2512</v>
      </c>
      <c r="C15">
        <v>52</v>
      </c>
      <c r="D15" t="s">
        <v>2506</v>
      </c>
      <c r="E15" t="s">
        <v>58</v>
      </c>
      <c r="F15" t="s">
        <v>2499</v>
      </c>
      <c r="G15">
        <v>5</v>
      </c>
      <c r="H15">
        <v>2054.9299999999998</v>
      </c>
      <c r="I15" s="3">
        <v>45419</v>
      </c>
    </row>
    <row r="16" spans="1:9" x14ac:dyDescent="0.3">
      <c r="A16" t="s">
        <v>2627</v>
      </c>
      <c r="B16" t="s">
        <v>2512</v>
      </c>
      <c r="C16">
        <v>22</v>
      </c>
      <c r="D16" t="s">
        <v>30</v>
      </c>
      <c r="E16" t="s">
        <v>58</v>
      </c>
      <c r="F16" t="s">
        <v>2499</v>
      </c>
      <c r="G16">
        <v>11</v>
      </c>
      <c r="H16">
        <v>7770.59</v>
      </c>
      <c r="I16" s="3">
        <v>45244</v>
      </c>
    </row>
    <row r="17" spans="1:9" x14ac:dyDescent="0.3">
      <c r="A17" t="s">
        <v>2628</v>
      </c>
      <c r="B17" t="s">
        <v>2547</v>
      </c>
      <c r="C17">
        <v>18</v>
      </c>
      <c r="D17" t="s">
        <v>2506</v>
      </c>
      <c r="E17" t="s">
        <v>58</v>
      </c>
      <c r="F17" t="s">
        <v>2499</v>
      </c>
      <c r="G17">
        <v>1</v>
      </c>
      <c r="H17">
        <v>6235.17</v>
      </c>
      <c r="I17" s="3">
        <v>45281</v>
      </c>
    </row>
    <row r="18" spans="1:9" x14ac:dyDescent="0.3">
      <c r="A18" t="s">
        <v>2647</v>
      </c>
      <c r="B18" t="s">
        <v>2505</v>
      </c>
      <c r="C18">
        <v>32</v>
      </c>
      <c r="D18" t="s">
        <v>2506</v>
      </c>
      <c r="E18" t="s">
        <v>58</v>
      </c>
      <c r="F18" t="s">
        <v>2499</v>
      </c>
      <c r="G18">
        <v>19</v>
      </c>
      <c r="H18">
        <v>12531.8</v>
      </c>
      <c r="I18" s="3">
        <v>45467</v>
      </c>
    </row>
    <row r="19" spans="1:9" x14ac:dyDescent="0.3">
      <c r="A19" t="s">
        <v>2654</v>
      </c>
      <c r="B19" t="s">
        <v>2564</v>
      </c>
      <c r="C19">
        <v>18</v>
      </c>
      <c r="D19" t="s">
        <v>2506</v>
      </c>
      <c r="E19" t="s">
        <v>58</v>
      </c>
      <c r="F19" t="s">
        <v>2503</v>
      </c>
      <c r="G19">
        <v>5</v>
      </c>
      <c r="H19">
        <v>18634.669999999998</v>
      </c>
      <c r="I19" s="3">
        <v>45115</v>
      </c>
    </row>
    <row r="20" spans="1:9" x14ac:dyDescent="0.3">
      <c r="A20" t="s">
        <v>2659</v>
      </c>
      <c r="B20" t="s">
        <v>2502</v>
      </c>
      <c r="C20">
        <v>30</v>
      </c>
      <c r="D20" t="s">
        <v>2506</v>
      </c>
      <c r="E20" t="s">
        <v>31</v>
      </c>
      <c r="F20" t="s">
        <v>2503</v>
      </c>
      <c r="G20">
        <v>20</v>
      </c>
      <c r="H20">
        <v>12658.45</v>
      </c>
      <c r="I20" s="3">
        <v>45532</v>
      </c>
    </row>
    <row r="21" spans="1:9" x14ac:dyDescent="0.3">
      <c r="A21" t="s">
        <v>2666</v>
      </c>
      <c r="B21" t="s">
        <v>2564</v>
      </c>
      <c r="C21">
        <v>27</v>
      </c>
      <c r="D21" t="s">
        <v>30</v>
      </c>
      <c r="E21" t="s">
        <v>21</v>
      </c>
      <c r="F21" t="s">
        <v>2503</v>
      </c>
      <c r="G21">
        <v>1</v>
      </c>
      <c r="H21">
        <v>7344.3</v>
      </c>
      <c r="I21" s="3">
        <v>45586</v>
      </c>
    </row>
    <row r="22" spans="1:9" x14ac:dyDescent="0.3">
      <c r="A22" t="s">
        <v>2687</v>
      </c>
      <c r="B22" t="s">
        <v>2607</v>
      </c>
      <c r="C22">
        <v>31</v>
      </c>
      <c r="D22" t="s">
        <v>2506</v>
      </c>
      <c r="E22" t="s">
        <v>31</v>
      </c>
      <c r="F22" t="s">
        <v>2507</v>
      </c>
      <c r="G22">
        <v>6</v>
      </c>
      <c r="H22">
        <v>7561.16</v>
      </c>
      <c r="I22" s="3">
        <v>45594</v>
      </c>
    </row>
    <row r="23" spans="1:9" x14ac:dyDescent="0.3">
      <c r="A23" t="s">
        <v>2705</v>
      </c>
      <c r="B23" t="s">
        <v>2505</v>
      </c>
      <c r="C23">
        <v>26</v>
      </c>
      <c r="D23" t="s">
        <v>30</v>
      </c>
      <c r="E23" t="s">
        <v>31</v>
      </c>
      <c r="F23" t="s">
        <v>2507</v>
      </c>
      <c r="G23">
        <v>2</v>
      </c>
      <c r="H23">
        <v>2910.73</v>
      </c>
      <c r="I23" s="3">
        <v>45404</v>
      </c>
    </row>
    <row r="24" spans="1:9" x14ac:dyDescent="0.3">
      <c r="A24" t="s">
        <v>2709</v>
      </c>
      <c r="B24" t="s">
        <v>2564</v>
      </c>
      <c r="C24">
        <v>49</v>
      </c>
      <c r="D24" t="s">
        <v>30</v>
      </c>
      <c r="E24" t="s">
        <v>31</v>
      </c>
      <c r="F24" t="s">
        <v>2499</v>
      </c>
      <c r="G24">
        <v>14</v>
      </c>
      <c r="H24">
        <v>19108.740000000002</v>
      </c>
      <c r="I24" s="3">
        <v>45061</v>
      </c>
    </row>
    <row r="25" spans="1:9" x14ac:dyDescent="0.3">
      <c r="A25" t="s">
        <v>2711</v>
      </c>
      <c r="B25" t="s">
        <v>2502</v>
      </c>
      <c r="C25">
        <v>21</v>
      </c>
      <c r="D25" t="s">
        <v>2506</v>
      </c>
      <c r="E25" t="s">
        <v>38</v>
      </c>
      <c r="F25" t="s">
        <v>2503</v>
      </c>
      <c r="G25">
        <v>7</v>
      </c>
      <c r="H25">
        <v>11222.66</v>
      </c>
      <c r="I25" s="3">
        <v>45377</v>
      </c>
    </row>
    <row r="26" spans="1:9" x14ac:dyDescent="0.3">
      <c r="A26" t="s">
        <v>2714</v>
      </c>
      <c r="B26" t="s">
        <v>2512</v>
      </c>
      <c r="C26">
        <v>33</v>
      </c>
      <c r="D26" t="s">
        <v>30</v>
      </c>
      <c r="E26" t="s">
        <v>58</v>
      </c>
      <c r="F26" t="s">
        <v>2499</v>
      </c>
      <c r="G26">
        <v>19</v>
      </c>
      <c r="H26">
        <v>3154.31</v>
      </c>
      <c r="I26" s="3">
        <v>45567</v>
      </c>
    </row>
    <row r="27" spans="1:9" x14ac:dyDescent="0.3">
      <c r="A27" t="s">
        <v>2720</v>
      </c>
      <c r="B27" t="s">
        <v>2607</v>
      </c>
      <c r="C27">
        <v>25</v>
      </c>
      <c r="D27" t="s">
        <v>30</v>
      </c>
      <c r="E27" t="s">
        <v>38</v>
      </c>
      <c r="F27" t="s">
        <v>2499</v>
      </c>
      <c r="G27">
        <v>15</v>
      </c>
      <c r="H27">
        <v>8893</v>
      </c>
      <c r="I27" s="3">
        <v>45304</v>
      </c>
    </row>
    <row r="28" spans="1:9" x14ac:dyDescent="0.3">
      <c r="A28" t="s">
        <v>2723</v>
      </c>
      <c r="B28" t="s">
        <v>2505</v>
      </c>
      <c r="C28">
        <v>29</v>
      </c>
      <c r="D28" t="s">
        <v>2506</v>
      </c>
      <c r="E28" t="s">
        <v>31</v>
      </c>
      <c r="F28" t="s">
        <v>2499</v>
      </c>
      <c r="G28">
        <v>4</v>
      </c>
      <c r="H28">
        <v>11068.32</v>
      </c>
      <c r="I28" s="3">
        <v>45485</v>
      </c>
    </row>
    <row r="29" spans="1:9" x14ac:dyDescent="0.3">
      <c r="A29" t="s">
        <v>2725</v>
      </c>
      <c r="B29" t="s">
        <v>2515</v>
      </c>
      <c r="C29">
        <v>28</v>
      </c>
      <c r="D29" t="s">
        <v>30</v>
      </c>
      <c r="E29" t="s">
        <v>58</v>
      </c>
      <c r="F29" t="s">
        <v>2503</v>
      </c>
      <c r="G29">
        <v>2</v>
      </c>
      <c r="H29">
        <v>12602.15</v>
      </c>
      <c r="I29" s="3">
        <v>45414</v>
      </c>
    </row>
    <row r="30" spans="1:9" x14ac:dyDescent="0.3">
      <c r="A30" t="s">
        <v>2728</v>
      </c>
      <c r="B30" t="s">
        <v>2564</v>
      </c>
      <c r="C30">
        <v>48</v>
      </c>
      <c r="D30" t="s">
        <v>2506</v>
      </c>
      <c r="E30" t="s">
        <v>21</v>
      </c>
      <c r="F30" t="s">
        <v>2507</v>
      </c>
      <c r="G30">
        <v>13</v>
      </c>
      <c r="H30">
        <v>4509.58</v>
      </c>
      <c r="I30" s="3">
        <v>45583</v>
      </c>
    </row>
    <row r="31" spans="1:9" x14ac:dyDescent="0.3">
      <c r="A31" t="s">
        <v>2733</v>
      </c>
      <c r="B31" t="s">
        <v>2564</v>
      </c>
      <c r="C31">
        <v>40</v>
      </c>
      <c r="D31" t="s">
        <v>2506</v>
      </c>
      <c r="E31" t="s">
        <v>31</v>
      </c>
      <c r="F31" t="s">
        <v>2503</v>
      </c>
      <c r="G31">
        <v>18</v>
      </c>
      <c r="H31">
        <v>19462.11</v>
      </c>
      <c r="I31" s="3">
        <v>45560</v>
      </c>
    </row>
    <row r="32" spans="1:9" x14ac:dyDescent="0.3">
      <c r="A32" t="s">
        <v>2736</v>
      </c>
      <c r="B32" t="s">
        <v>2512</v>
      </c>
      <c r="C32">
        <v>43</v>
      </c>
      <c r="D32" t="s">
        <v>30</v>
      </c>
      <c r="E32" t="s">
        <v>38</v>
      </c>
      <c r="F32" t="s">
        <v>2499</v>
      </c>
      <c r="G32">
        <v>11</v>
      </c>
      <c r="H32">
        <v>18142.68</v>
      </c>
      <c r="I32" s="3">
        <v>45036</v>
      </c>
    </row>
    <row r="33" spans="1:9" x14ac:dyDescent="0.3">
      <c r="A33" t="s">
        <v>2745</v>
      </c>
      <c r="B33" t="s">
        <v>2547</v>
      </c>
      <c r="C33">
        <v>35</v>
      </c>
      <c r="D33" t="s">
        <v>30</v>
      </c>
      <c r="E33" t="s">
        <v>58</v>
      </c>
      <c r="F33" t="s">
        <v>2503</v>
      </c>
      <c r="G33">
        <v>7</v>
      </c>
      <c r="H33">
        <v>2495.36</v>
      </c>
      <c r="I33" s="3">
        <v>45199</v>
      </c>
    </row>
    <row r="34" spans="1:9" x14ac:dyDescent="0.3">
      <c r="A34" t="s">
        <v>2750</v>
      </c>
      <c r="B34" t="s">
        <v>2498</v>
      </c>
      <c r="C34">
        <v>31</v>
      </c>
      <c r="D34" t="s">
        <v>2506</v>
      </c>
      <c r="E34" t="s">
        <v>31</v>
      </c>
      <c r="F34" t="s">
        <v>2507</v>
      </c>
      <c r="G34">
        <v>14</v>
      </c>
      <c r="H34">
        <v>8814.25</v>
      </c>
      <c r="I34" s="3">
        <v>45525</v>
      </c>
    </row>
    <row r="35" spans="1:9" x14ac:dyDescent="0.3">
      <c r="A35" t="s">
        <v>2751</v>
      </c>
      <c r="B35" t="s">
        <v>2607</v>
      </c>
      <c r="C35">
        <v>47</v>
      </c>
      <c r="D35" t="s">
        <v>2506</v>
      </c>
      <c r="E35" t="s">
        <v>31</v>
      </c>
      <c r="F35" t="s">
        <v>2503</v>
      </c>
      <c r="G35">
        <v>8</v>
      </c>
      <c r="H35">
        <v>13690.34</v>
      </c>
      <c r="I35" s="3">
        <v>45227</v>
      </c>
    </row>
    <row r="36" spans="1:9" x14ac:dyDescent="0.3">
      <c r="A36" t="s">
        <v>2759</v>
      </c>
      <c r="B36" t="s">
        <v>2502</v>
      </c>
      <c r="C36">
        <v>31</v>
      </c>
      <c r="D36" t="s">
        <v>30</v>
      </c>
      <c r="E36" t="s">
        <v>38</v>
      </c>
      <c r="F36" t="s">
        <v>2499</v>
      </c>
      <c r="G36">
        <v>5</v>
      </c>
      <c r="H36">
        <v>17936.8</v>
      </c>
      <c r="I36" s="3">
        <v>45322</v>
      </c>
    </row>
    <row r="37" spans="1:9" x14ac:dyDescent="0.3">
      <c r="A37" t="s">
        <v>2765</v>
      </c>
      <c r="B37" t="s">
        <v>2498</v>
      </c>
      <c r="C37">
        <v>52</v>
      </c>
      <c r="D37" t="s">
        <v>2506</v>
      </c>
      <c r="E37" t="s">
        <v>31</v>
      </c>
      <c r="F37" t="s">
        <v>2507</v>
      </c>
      <c r="G37">
        <v>19</v>
      </c>
      <c r="H37">
        <v>3931.49</v>
      </c>
      <c r="I37" s="3">
        <v>45425</v>
      </c>
    </row>
    <row r="38" spans="1:9" x14ac:dyDescent="0.3">
      <c r="A38" t="s">
        <v>2792</v>
      </c>
      <c r="B38" t="s">
        <v>2515</v>
      </c>
      <c r="C38">
        <v>43</v>
      </c>
      <c r="D38" t="s">
        <v>30</v>
      </c>
      <c r="E38" t="s">
        <v>58</v>
      </c>
      <c r="F38" t="s">
        <v>2503</v>
      </c>
      <c r="G38">
        <v>16</v>
      </c>
      <c r="H38">
        <v>6986.87</v>
      </c>
      <c r="I38" s="3">
        <v>45408</v>
      </c>
    </row>
    <row r="39" spans="1:9" x14ac:dyDescent="0.3">
      <c r="A39" t="s">
        <v>2808</v>
      </c>
      <c r="B39" t="s">
        <v>2519</v>
      </c>
      <c r="C39">
        <v>42</v>
      </c>
      <c r="D39" t="s">
        <v>30</v>
      </c>
      <c r="E39" t="s">
        <v>58</v>
      </c>
      <c r="F39" t="s">
        <v>2507</v>
      </c>
      <c r="G39">
        <v>5</v>
      </c>
      <c r="H39">
        <v>6324.89</v>
      </c>
      <c r="I39" s="3">
        <v>45012</v>
      </c>
    </row>
    <row r="40" spans="1:9" x14ac:dyDescent="0.3">
      <c r="A40" t="s">
        <v>2813</v>
      </c>
      <c r="B40" t="s">
        <v>2519</v>
      </c>
      <c r="C40">
        <v>50</v>
      </c>
      <c r="D40" t="s">
        <v>30</v>
      </c>
      <c r="E40" t="s">
        <v>31</v>
      </c>
      <c r="F40" t="s">
        <v>2499</v>
      </c>
      <c r="G40">
        <v>8</v>
      </c>
      <c r="H40">
        <v>6745.73</v>
      </c>
      <c r="I40" s="3">
        <v>45048</v>
      </c>
    </row>
    <row r="41" spans="1:9" x14ac:dyDescent="0.3">
      <c r="A41" t="s">
        <v>2836</v>
      </c>
      <c r="B41" t="s">
        <v>2502</v>
      </c>
      <c r="C41">
        <v>30</v>
      </c>
      <c r="D41" t="s">
        <v>30</v>
      </c>
      <c r="E41" t="s">
        <v>21</v>
      </c>
      <c r="F41" t="s">
        <v>2503</v>
      </c>
      <c r="G41">
        <v>14</v>
      </c>
      <c r="H41">
        <v>9345.8700000000008</v>
      </c>
      <c r="I41" s="3">
        <v>45177</v>
      </c>
    </row>
    <row r="42" spans="1:9" x14ac:dyDescent="0.3">
      <c r="A42" t="s">
        <v>2837</v>
      </c>
      <c r="B42" t="s">
        <v>2519</v>
      </c>
      <c r="C42">
        <v>47</v>
      </c>
      <c r="D42" t="s">
        <v>2506</v>
      </c>
      <c r="E42" t="s">
        <v>38</v>
      </c>
      <c r="F42" t="s">
        <v>2499</v>
      </c>
      <c r="G42">
        <v>2</v>
      </c>
      <c r="H42">
        <v>16967.63</v>
      </c>
      <c r="I42" s="3">
        <v>45404</v>
      </c>
    </row>
    <row r="43" spans="1:9" x14ac:dyDescent="0.3">
      <c r="A43" t="s">
        <v>2859</v>
      </c>
      <c r="B43" t="s">
        <v>2505</v>
      </c>
      <c r="C43">
        <v>30</v>
      </c>
      <c r="D43" t="s">
        <v>2506</v>
      </c>
      <c r="E43" t="s">
        <v>31</v>
      </c>
      <c r="F43" t="s">
        <v>2503</v>
      </c>
      <c r="G43">
        <v>10</v>
      </c>
      <c r="H43">
        <v>12786.13</v>
      </c>
      <c r="I43" s="3">
        <v>45108</v>
      </c>
    </row>
    <row r="44" spans="1:9" x14ac:dyDescent="0.3">
      <c r="A44" t="s">
        <v>2877</v>
      </c>
      <c r="B44" t="s">
        <v>2547</v>
      </c>
      <c r="C44">
        <v>24</v>
      </c>
      <c r="D44" t="s">
        <v>30</v>
      </c>
      <c r="E44" t="s">
        <v>58</v>
      </c>
      <c r="F44" t="s">
        <v>2507</v>
      </c>
      <c r="G44">
        <v>19</v>
      </c>
      <c r="H44">
        <v>15218.36</v>
      </c>
      <c r="I44" s="3">
        <v>45160</v>
      </c>
    </row>
    <row r="45" spans="1:9" x14ac:dyDescent="0.3">
      <c r="A45" t="s">
        <v>2899</v>
      </c>
      <c r="B45" t="s">
        <v>2547</v>
      </c>
      <c r="C45">
        <v>49</v>
      </c>
      <c r="D45" t="s">
        <v>30</v>
      </c>
      <c r="E45" t="s">
        <v>21</v>
      </c>
      <c r="F45" t="s">
        <v>2507</v>
      </c>
      <c r="G45">
        <v>4</v>
      </c>
      <c r="H45">
        <v>16593.11</v>
      </c>
      <c r="I45" s="3">
        <v>45454</v>
      </c>
    </row>
    <row r="46" spans="1:9" x14ac:dyDescent="0.3">
      <c r="A46" t="s">
        <v>2901</v>
      </c>
      <c r="B46" t="s">
        <v>2607</v>
      </c>
      <c r="C46">
        <v>39</v>
      </c>
      <c r="D46" t="s">
        <v>2506</v>
      </c>
      <c r="E46" t="s">
        <v>58</v>
      </c>
      <c r="F46" t="s">
        <v>2503</v>
      </c>
      <c r="G46">
        <v>3</v>
      </c>
      <c r="H46">
        <v>9349.02</v>
      </c>
      <c r="I46" s="3">
        <v>45372</v>
      </c>
    </row>
    <row r="47" spans="1:9" x14ac:dyDescent="0.3">
      <c r="A47" t="s">
        <v>2927</v>
      </c>
      <c r="B47" t="s">
        <v>2515</v>
      </c>
      <c r="C47">
        <v>45</v>
      </c>
      <c r="D47" t="s">
        <v>30</v>
      </c>
      <c r="E47" t="s">
        <v>21</v>
      </c>
      <c r="F47" t="s">
        <v>2507</v>
      </c>
      <c r="G47">
        <v>13</v>
      </c>
      <c r="H47">
        <v>12950.91</v>
      </c>
      <c r="I47" s="3">
        <v>45038</v>
      </c>
    </row>
    <row r="48" spans="1:9" x14ac:dyDescent="0.3">
      <c r="A48" t="s">
        <v>2931</v>
      </c>
      <c r="B48" t="s">
        <v>2498</v>
      </c>
      <c r="C48">
        <v>18</v>
      </c>
      <c r="D48" t="s">
        <v>2506</v>
      </c>
      <c r="E48" t="s">
        <v>21</v>
      </c>
      <c r="F48" t="s">
        <v>2503</v>
      </c>
      <c r="G48">
        <v>5</v>
      </c>
      <c r="H48">
        <v>8584.7900000000009</v>
      </c>
      <c r="I48" s="3">
        <v>45122</v>
      </c>
    </row>
    <row r="49" spans="1:9" x14ac:dyDescent="0.3">
      <c r="A49" t="s">
        <v>2933</v>
      </c>
      <c r="B49" t="s">
        <v>2519</v>
      </c>
      <c r="C49">
        <v>54</v>
      </c>
      <c r="D49" t="s">
        <v>2506</v>
      </c>
      <c r="E49" t="s">
        <v>21</v>
      </c>
      <c r="F49" t="s">
        <v>2499</v>
      </c>
      <c r="G49">
        <v>16</v>
      </c>
      <c r="H49">
        <v>9655.0300000000007</v>
      </c>
      <c r="I49" s="3">
        <v>45450</v>
      </c>
    </row>
    <row r="50" spans="1:9" x14ac:dyDescent="0.3">
      <c r="A50" t="s">
        <v>2941</v>
      </c>
      <c r="B50" t="s">
        <v>2607</v>
      </c>
      <c r="C50">
        <v>39</v>
      </c>
      <c r="D50" t="s">
        <v>30</v>
      </c>
      <c r="E50" t="s">
        <v>31</v>
      </c>
      <c r="F50" t="s">
        <v>2499</v>
      </c>
      <c r="G50">
        <v>17</v>
      </c>
      <c r="H50">
        <v>14262.89</v>
      </c>
      <c r="I50" s="3">
        <v>45634</v>
      </c>
    </row>
    <row r="51" spans="1:9" x14ac:dyDescent="0.3">
      <c r="A51" t="s">
        <v>2947</v>
      </c>
      <c r="B51" t="s">
        <v>2505</v>
      </c>
      <c r="C51">
        <v>39</v>
      </c>
      <c r="D51" t="s">
        <v>2506</v>
      </c>
      <c r="E51" t="s">
        <v>58</v>
      </c>
      <c r="F51" t="s">
        <v>2499</v>
      </c>
      <c r="G51">
        <v>13</v>
      </c>
      <c r="H51">
        <v>19334.14</v>
      </c>
      <c r="I51" s="3">
        <v>45207</v>
      </c>
    </row>
    <row r="52" spans="1:9" x14ac:dyDescent="0.3">
      <c r="A52" t="s">
        <v>2948</v>
      </c>
      <c r="B52" t="s">
        <v>2502</v>
      </c>
      <c r="C52">
        <v>38</v>
      </c>
      <c r="D52" t="s">
        <v>2506</v>
      </c>
      <c r="E52" t="s">
        <v>38</v>
      </c>
      <c r="F52" t="s">
        <v>2503</v>
      </c>
      <c r="G52">
        <v>10</v>
      </c>
      <c r="H52">
        <v>7135</v>
      </c>
      <c r="I52" s="3">
        <v>45073</v>
      </c>
    </row>
    <row r="53" spans="1:9" x14ac:dyDescent="0.3">
      <c r="A53" t="s">
        <v>2959</v>
      </c>
      <c r="B53" t="s">
        <v>2512</v>
      </c>
      <c r="C53">
        <v>52</v>
      </c>
      <c r="D53" t="s">
        <v>30</v>
      </c>
      <c r="E53" t="s">
        <v>38</v>
      </c>
      <c r="F53" t="s">
        <v>2499</v>
      </c>
      <c r="G53">
        <v>2</v>
      </c>
      <c r="H53">
        <v>3385.23</v>
      </c>
      <c r="I53" s="3">
        <v>45416</v>
      </c>
    </row>
    <row r="54" spans="1:9" x14ac:dyDescent="0.3">
      <c r="A54" t="s">
        <v>2966</v>
      </c>
      <c r="B54" t="s">
        <v>2547</v>
      </c>
      <c r="C54">
        <v>30</v>
      </c>
      <c r="D54" t="s">
        <v>30</v>
      </c>
      <c r="E54" t="s">
        <v>21</v>
      </c>
      <c r="F54" t="s">
        <v>2503</v>
      </c>
      <c r="G54">
        <v>19</v>
      </c>
      <c r="H54">
        <v>5107.3999999999996</v>
      </c>
      <c r="I54" s="3">
        <v>45000</v>
      </c>
    </row>
    <row r="55" spans="1:9" x14ac:dyDescent="0.3">
      <c r="A55" t="s">
        <v>2975</v>
      </c>
      <c r="B55" t="s">
        <v>2528</v>
      </c>
      <c r="C55">
        <v>37</v>
      </c>
      <c r="D55" t="s">
        <v>30</v>
      </c>
      <c r="E55" t="s">
        <v>58</v>
      </c>
      <c r="F55" t="s">
        <v>2507</v>
      </c>
      <c r="G55">
        <v>13</v>
      </c>
      <c r="H55">
        <v>17319.310000000001</v>
      </c>
      <c r="I55" s="3">
        <v>44963</v>
      </c>
    </row>
    <row r="56" spans="1:9" x14ac:dyDescent="0.3">
      <c r="A56" t="s">
        <v>2977</v>
      </c>
      <c r="B56" t="s">
        <v>2512</v>
      </c>
      <c r="C56">
        <v>31</v>
      </c>
      <c r="D56" t="s">
        <v>30</v>
      </c>
      <c r="E56" t="s">
        <v>58</v>
      </c>
      <c r="F56" t="s">
        <v>2499</v>
      </c>
      <c r="G56">
        <v>13</v>
      </c>
      <c r="H56">
        <v>15770.46</v>
      </c>
      <c r="I56" s="3">
        <v>44976</v>
      </c>
    </row>
    <row r="57" spans="1:9" x14ac:dyDescent="0.3">
      <c r="A57" t="s">
        <v>2981</v>
      </c>
      <c r="B57" t="s">
        <v>2564</v>
      </c>
      <c r="C57">
        <v>25</v>
      </c>
      <c r="D57" t="s">
        <v>30</v>
      </c>
      <c r="E57" t="s">
        <v>21</v>
      </c>
      <c r="F57" t="s">
        <v>2503</v>
      </c>
      <c r="G57">
        <v>1</v>
      </c>
      <c r="H57">
        <v>11379.24</v>
      </c>
      <c r="I57" s="3">
        <v>45562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2"/>
  <sheetViews>
    <sheetView topLeftCell="F1" workbookViewId="0">
      <selection activeCell="P3" sqref="P3"/>
    </sheetView>
  </sheetViews>
  <sheetFormatPr defaultRowHeight="14.4" x14ac:dyDescent="0.3"/>
  <cols>
    <col min="1" max="1" width="10.44140625" customWidth="1"/>
    <col min="2" max="2" width="10.5546875" bestFit="1" customWidth="1"/>
    <col min="3" max="3" width="10.5546875" customWidth="1"/>
    <col min="4" max="4" width="10.109375" customWidth="1"/>
    <col min="5" max="5" width="12.33203125" customWidth="1"/>
    <col min="6" max="6" width="22.109375" bestFit="1" customWidth="1"/>
    <col min="7" max="7" width="13" bestFit="1" customWidth="1"/>
    <col min="8" max="8" width="9.33203125" customWidth="1"/>
    <col min="9" max="9" width="10.21875" customWidth="1"/>
    <col min="10" max="10" width="11.5546875" customWidth="1"/>
    <col min="11" max="11" width="12.77734375" bestFit="1" customWidth="1"/>
    <col min="12" max="12" width="8.6640625" customWidth="1"/>
    <col min="13" max="13" width="15" customWidth="1"/>
    <col min="14" max="14" width="16.44140625" customWidth="1"/>
    <col min="15" max="15" width="17.33203125" customWidth="1"/>
  </cols>
  <sheetData>
    <row r="1" spans="1:16" x14ac:dyDescent="0.3">
      <c r="A1" s="1" t="s">
        <v>0</v>
      </c>
      <c r="B1" s="4" t="s">
        <v>1</v>
      </c>
      <c r="C1" s="2" t="s">
        <v>2997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6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8" t="s">
        <v>2998</v>
      </c>
    </row>
    <row r="2" spans="1:16" x14ac:dyDescent="0.3">
      <c r="A2" t="s">
        <v>14</v>
      </c>
      <c r="B2" s="5" t="s">
        <v>15</v>
      </c>
      <c r="C2" s="3" t="str">
        <f t="shared" ref="C2:C65" si="0">TEXT(B2,"dd-mm-yyyy")</f>
        <v>21-09-2024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5942</v>
      </c>
      <c r="K2" s="7">
        <v>0.2</v>
      </c>
      <c r="L2" t="s">
        <v>21</v>
      </c>
      <c r="M2" t="s">
        <v>22</v>
      </c>
      <c r="N2" t="s">
        <v>23</v>
      </c>
      <c r="O2">
        <v>4.8</v>
      </c>
      <c r="P2">
        <f>VLOOKUP(Table2[[#This Row],[Product_ID]],Table1[#All],8,TRUE)</f>
        <v>700</v>
      </c>
    </row>
    <row r="3" spans="1:16" x14ac:dyDescent="0.3">
      <c r="A3" t="s">
        <v>24</v>
      </c>
      <c r="B3" s="5" t="s">
        <v>25</v>
      </c>
      <c r="C3" s="3" t="str">
        <f t="shared" si="0"/>
        <v>26-08-2024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5</v>
      </c>
      <c r="J3">
        <v>4991</v>
      </c>
      <c r="K3" s="7">
        <v>0.05</v>
      </c>
      <c r="L3" t="s">
        <v>31</v>
      </c>
      <c r="M3" t="s">
        <v>22</v>
      </c>
      <c r="N3" t="s">
        <v>32</v>
      </c>
      <c r="O3">
        <v>4</v>
      </c>
      <c r="P3">
        <f>VLOOKUP(Table2[[#This Row],[Product_ID]],Table1[#All],8,TRUE)</f>
        <v>900</v>
      </c>
    </row>
    <row r="4" spans="1:16" x14ac:dyDescent="0.3">
      <c r="A4" t="s">
        <v>33</v>
      </c>
      <c r="B4" s="5" t="s">
        <v>34</v>
      </c>
      <c r="C4" s="3" t="str">
        <f t="shared" si="0"/>
        <v>08-04-2023</v>
      </c>
      <c r="D4" t="s">
        <v>35</v>
      </c>
      <c r="E4" t="s">
        <v>36</v>
      </c>
      <c r="F4" t="s">
        <v>28</v>
      </c>
      <c r="G4" t="s">
        <v>37</v>
      </c>
      <c r="H4" t="s">
        <v>77</v>
      </c>
      <c r="I4">
        <v>2</v>
      </c>
      <c r="J4">
        <v>9017</v>
      </c>
      <c r="K4" s="7">
        <v>0.1</v>
      </c>
      <c r="L4" t="s">
        <v>38</v>
      </c>
      <c r="M4" t="s">
        <v>39</v>
      </c>
      <c r="N4" t="s">
        <v>32</v>
      </c>
      <c r="P4">
        <f>VLOOKUP(Table2[[#This Row],[Product_ID]],Table1[#All],8,TRUE)</f>
        <v>1500</v>
      </c>
    </row>
    <row r="5" spans="1:16" x14ac:dyDescent="0.3">
      <c r="A5" t="s">
        <v>40</v>
      </c>
      <c r="B5" s="5" t="s">
        <v>41</v>
      </c>
      <c r="C5" s="3" t="str">
        <f t="shared" si="0"/>
        <v>07-06-2024</v>
      </c>
      <c r="D5" t="s">
        <v>16</v>
      </c>
      <c r="E5" t="s">
        <v>42</v>
      </c>
      <c r="F5" t="s">
        <v>43</v>
      </c>
      <c r="G5" t="s">
        <v>29</v>
      </c>
      <c r="H5" t="s">
        <v>30</v>
      </c>
      <c r="I5">
        <v>1</v>
      </c>
      <c r="J5">
        <v>9817</v>
      </c>
      <c r="K5" s="7">
        <v>0.1</v>
      </c>
      <c r="L5" t="s">
        <v>31</v>
      </c>
      <c r="M5" t="s">
        <v>22</v>
      </c>
      <c r="N5" t="s">
        <v>32</v>
      </c>
      <c r="P5">
        <f>VLOOKUP(Table2[[#This Row],[Product_ID]],Table1[#All],8,TRUE)</f>
        <v>900</v>
      </c>
    </row>
    <row r="6" spans="1:16" x14ac:dyDescent="0.3">
      <c r="A6" t="s">
        <v>44</v>
      </c>
      <c r="B6" s="5" t="s">
        <v>45</v>
      </c>
      <c r="C6" s="3" t="str">
        <f t="shared" si="0"/>
        <v>17-05-2023</v>
      </c>
      <c r="D6" t="s">
        <v>46</v>
      </c>
      <c r="E6" t="s">
        <v>47</v>
      </c>
      <c r="F6" t="s">
        <v>43</v>
      </c>
      <c r="G6" t="s">
        <v>19</v>
      </c>
      <c r="H6" t="s">
        <v>20</v>
      </c>
      <c r="I6">
        <v>1</v>
      </c>
      <c r="J6">
        <v>2753</v>
      </c>
      <c r="K6" s="7">
        <v>0.05</v>
      </c>
      <c r="L6" t="s">
        <v>38</v>
      </c>
      <c r="M6" t="s">
        <v>39</v>
      </c>
      <c r="N6" t="s">
        <v>48</v>
      </c>
      <c r="P6">
        <f>VLOOKUP(Table2[[#This Row],[Product_ID]],Table1[#All],8,TRUE)</f>
        <v>700</v>
      </c>
    </row>
    <row r="7" spans="1:16" x14ac:dyDescent="0.3">
      <c r="A7" t="s">
        <v>49</v>
      </c>
      <c r="B7" s="5" t="s">
        <v>50</v>
      </c>
      <c r="C7" s="3" t="str">
        <f t="shared" si="0"/>
        <v>02-07-2024</v>
      </c>
      <c r="D7" t="s">
        <v>51</v>
      </c>
      <c r="E7" t="s">
        <v>52</v>
      </c>
      <c r="F7" t="s">
        <v>18</v>
      </c>
      <c r="G7" t="s">
        <v>53</v>
      </c>
      <c r="H7" t="s">
        <v>30</v>
      </c>
      <c r="I7">
        <v>4</v>
      </c>
      <c r="J7">
        <v>5009</v>
      </c>
      <c r="K7" s="7">
        <v>0.1</v>
      </c>
      <c r="L7" t="s">
        <v>21</v>
      </c>
      <c r="M7" t="s">
        <v>22</v>
      </c>
      <c r="N7" t="s">
        <v>48</v>
      </c>
      <c r="O7">
        <v>3.9</v>
      </c>
      <c r="P7">
        <f>VLOOKUP(Table2[[#This Row],[Product_ID]],Table1[#All],8,TRUE)</f>
        <v>1500</v>
      </c>
    </row>
    <row r="8" spans="1:16" x14ac:dyDescent="0.3">
      <c r="A8" t="s">
        <v>54</v>
      </c>
      <c r="B8" s="5" t="s">
        <v>55</v>
      </c>
      <c r="C8" s="3" t="str">
        <f t="shared" si="0"/>
        <v>28-06-2023</v>
      </c>
      <c r="D8" t="s">
        <v>26</v>
      </c>
      <c r="E8" t="s">
        <v>56</v>
      </c>
      <c r="F8" t="s">
        <v>57</v>
      </c>
      <c r="G8" t="s">
        <v>53</v>
      </c>
      <c r="H8" t="s">
        <v>99</v>
      </c>
      <c r="I8">
        <v>1</v>
      </c>
      <c r="J8">
        <v>9182</v>
      </c>
      <c r="K8" s="7">
        <v>0.05</v>
      </c>
      <c r="L8" t="s">
        <v>58</v>
      </c>
      <c r="M8" t="s">
        <v>39</v>
      </c>
      <c r="N8" t="s">
        <v>59</v>
      </c>
      <c r="P8">
        <f>VLOOKUP(Table2[[#This Row],[Product_ID]],Table1[#All],8,TRUE)</f>
        <v>700</v>
      </c>
    </row>
    <row r="9" spans="1:16" x14ac:dyDescent="0.3">
      <c r="A9" t="s">
        <v>60</v>
      </c>
      <c r="B9" s="5" t="s">
        <v>61</v>
      </c>
      <c r="C9" s="3" t="str">
        <f t="shared" si="0"/>
        <v>29-10-2024</v>
      </c>
      <c r="D9" t="s">
        <v>62</v>
      </c>
      <c r="E9" t="s">
        <v>63</v>
      </c>
      <c r="F9" t="s">
        <v>64</v>
      </c>
      <c r="G9" t="s">
        <v>29</v>
      </c>
      <c r="H9" t="s">
        <v>77</v>
      </c>
      <c r="I9">
        <v>4</v>
      </c>
      <c r="J9">
        <v>7158</v>
      </c>
      <c r="K9" s="7">
        <v>0.15</v>
      </c>
      <c r="L9" t="s">
        <v>21</v>
      </c>
      <c r="M9" t="s">
        <v>39</v>
      </c>
      <c r="N9" t="s">
        <v>23</v>
      </c>
      <c r="P9">
        <f>VLOOKUP(Table2[[#This Row],[Product_ID]],Table1[#All],8,TRUE)</f>
        <v>500</v>
      </c>
    </row>
    <row r="10" spans="1:16" x14ac:dyDescent="0.3">
      <c r="A10" t="s">
        <v>65</v>
      </c>
      <c r="B10" s="5" t="s">
        <v>66</v>
      </c>
      <c r="C10" s="3" t="str">
        <f t="shared" si="0"/>
        <v>15-11-2024</v>
      </c>
      <c r="D10" t="s">
        <v>67</v>
      </c>
      <c r="E10" t="s">
        <v>68</v>
      </c>
      <c r="F10" t="s">
        <v>28</v>
      </c>
      <c r="G10" t="s">
        <v>37</v>
      </c>
      <c r="H10" t="s">
        <v>30</v>
      </c>
      <c r="I10">
        <v>5</v>
      </c>
      <c r="J10">
        <v>1904</v>
      </c>
      <c r="K10" s="7">
        <v>0.1</v>
      </c>
      <c r="L10" t="s">
        <v>58</v>
      </c>
      <c r="M10" t="s">
        <v>39</v>
      </c>
      <c r="N10" t="s">
        <v>59</v>
      </c>
      <c r="P10">
        <f>VLOOKUP(Table2[[#This Row],[Product_ID]],Table1[#All],8,TRUE)</f>
        <v>700</v>
      </c>
    </row>
    <row r="11" spans="1:16" x14ac:dyDescent="0.3">
      <c r="A11" t="s">
        <v>69</v>
      </c>
      <c r="B11" s="5" t="s">
        <v>70</v>
      </c>
      <c r="C11" s="3" t="str">
        <f t="shared" si="0"/>
        <v>19-04-2024</v>
      </c>
      <c r="D11" t="s">
        <v>71</v>
      </c>
      <c r="E11" t="s">
        <v>72</v>
      </c>
      <c r="F11" t="s">
        <v>73</v>
      </c>
      <c r="G11" t="s">
        <v>29</v>
      </c>
      <c r="H11" t="s">
        <v>20</v>
      </c>
      <c r="I11">
        <v>2</v>
      </c>
      <c r="J11">
        <v>4111</v>
      </c>
      <c r="K11" s="7">
        <v>0</v>
      </c>
      <c r="L11" t="s">
        <v>21</v>
      </c>
      <c r="M11" t="s">
        <v>22</v>
      </c>
      <c r="N11" t="s">
        <v>48</v>
      </c>
      <c r="O11">
        <v>3.1</v>
      </c>
      <c r="P11">
        <f>VLOOKUP(Table2[[#This Row],[Product_ID]],Table1[#All],8,TRUE)</f>
        <v>0</v>
      </c>
    </row>
    <row r="12" spans="1:16" x14ac:dyDescent="0.3">
      <c r="A12" t="s">
        <v>74</v>
      </c>
      <c r="B12" s="5" t="s">
        <v>75</v>
      </c>
      <c r="C12" s="3" t="str">
        <f t="shared" si="0"/>
        <v>30-01-2024</v>
      </c>
      <c r="D12" t="s">
        <v>51</v>
      </c>
      <c r="E12" t="s">
        <v>76</v>
      </c>
      <c r="F12" t="s">
        <v>73</v>
      </c>
      <c r="G12" t="s">
        <v>29</v>
      </c>
      <c r="H12" t="s">
        <v>77</v>
      </c>
      <c r="I12">
        <v>5</v>
      </c>
      <c r="J12">
        <v>2993</v>
      </c>
      <c r="K12" s="7">
        <v>0.1</v>
      </c>
      <c r="L12" t="s">
        <v>21</v>
      </c>
      <c r="M12" t="s">
        <v>39</v>
      </c>
      <c r="N12" t="s">
        <v>59</v>
      </c>
      <c r="P12">
        <f>VLOOKUP(Table2[[#This Row],[Product_ID]],Table1[#All],8,TRUE)</f>
        <v>1500</v>
      </c>
    </row>
    <row r="13" spans="1:16" x14ac:dyDescent="0.3">
      <c r="A13" t="s">
        <v>78</v>
      </c>
      <c r="B13" s="5" t="s">
        <v>79</v>
      </c>
      <c r="C13" s="3" t="str">
        <f t="shared" si="0"/>
        <v>24-11-2024</v>
      </c>
      <c r="D13" t="s">
        <v>80</v>
      </c>
      <c r="E13" t="s">
        <v>81</v>
      </c>
      <c r="F13" t="s">
        <v>28</v>
      </c>
      <c r="G13" t="s">
        <v>37</v>
      </c>
      <c r="H13" t="s">
        <v>20</v>
      </c>
      <c r="I13">
        <v>4</v>
      </c>
      <c r="J13">
        <v>4864</v>
      </c>
      <c r="K13" s="7">
        <v>0</v>
      </c>
      <c r="L13" t="s">
        <v>58</v>
      </c>
      <c r="M13" t="s">
        <v>39</v>
      </c>
      <c r="N13" t="s">
        <v>23</v>
      </c>
      <c r="P13">
        <f>VLOOKUP(Table2[[#This Row],[Product_ID]],Table1[#All],8,TRUE)</f>
        <v>1200</v>
      </c>
    </row>
    <row r="14" spans="1:16" x14ac:dyDescent="0.3">
      <c r="A14" t="s">
        <v>82</v>
      </c>
      <c r="B14" s="5" t="s">
        <v>83</v>
      </c>
      <c r="C14" s="3" t="str">
        <f t="shared" si="0"/>
        <v>09-09-2023</v>
      </c>
      <c r="D14" t="s">
        <v>84</v>
      </c>
      <c r="E14" t="s">
        <v>85</v>
      </c>
      <c r="F14" t="s">
        <v>73</v>
      </c>
      <c r="G14" t="s">
        <v>19</v>
      </c>
      <c r="H14" t="s">
        <v>77</v>
      </c>
      <c r="I14">
        <v>3</v>
      </c>
      <c r="J14">
        <v>2982</v>
      </c>
      <c r="K14" s="7">
        <v>0.05</v>
      </c>
      <c r="L14" t="s">
        <v>38</v>
      </c>
      <c r="M14" t="s">
        <v>39</v>
      </c>
      <c r="N14" t="s">
        <v>23</v>
      </c>
      <c r="P14">
        <f>VLOOKUP(Table2[[#This Row],[Product_ID]],Table1[#All],8,TRUE)</f>
        <v>0</v>
      </c>
    </row>
    <row r="15" spans="1:16" x14ac:dyDescent="0.3">
      <c r="A15" t="s">
        <v>86</v>
      </c>
      <c r="B15" s="5" t="s">
        <v>87</v>
      </c>
      <c r="C15" s="3" t="str">
        <f t="shared" si="0"/>
        <v>15-01-2024</v>
      </c>
      <c r="D15" t="s">
        <v>84</v>
      </c>
      <c r="E15" t="s">
        <v>88</v>
      </c>
      <c r="F15" t="s">
        <v>43</v>
      </c>
      <c r="G15" t="s">
        <v>53</v>
      </c>
      <c r="H15" t="s">
        <v>20</v>
      </c>
      <c r="I15">
        <v>1</v>
      </c>
      <c r="J15">
        <v>7242</v>
      </c>
      <c r="K15" s="7">
        <v>0.1</v>
      </c>
      <c r="L15" t="s">
        <v>31</v>
      </c>
      <c r="M15" t="s">
        <v>22</v>
      </c>
      <c r="N15" t="s">
        <v>32</v>
      </c>
      <c r="O15">
        <v>3.1</v>
      </c>
      <c r="P15">
        <f>VLOOKUP(Table2[[#This Row],[Product_ID]],Table1[#All],8,TRUE)</f>
        <v>0</v>
      </c>
    </row>
    <row r="16" spans="1:16" x14ac:dyDescent="0.3">
      <c r="A16" t="s">
        <v>89</v>
      </c>
      <c r="B16" s="5" t="s">
        <v>90</v>
      </c>
      <c r="C16" s="3" t="str">
        <f t="shared" si="0"/>
        <v>16-09-2024</v>
      </c>
      <c r="D16" t="s">
        <v>91</v>
      </c>
      <c r="E16" t="s">
        <v>63</v>
      </c>
      <c r="F16" t="s">
        <v>28</v>
      </c>
      <c r="G16" t="s">
        <v>19</v>
      </c>
      <c r="H16" t="s">
        <v>30</v>
      </c>
      <c r="I16">
        <v>1</v>
      </c>
      <c r="J16">
        <v>2166</v>
      </c>
      <c r="K16" s="7">
        <v>0</v>
      </c>
      <c r="L16" t="s">
        <v>58</v>
      </c>
      <c r="M16" t="s">
        <v>22</v>
      </c>
      <c r="N16" t="s">
        <v>23</v>
      </c>
      <c r="P16">
        <f>VLOOKUP(Table2[[#This Row],[Product_ID]],Table1[#All],8,TRUE)</f>
        <v>500</v>
      </c>
    </row>
    <row r="17" spans="1:16" x14ac:dyDescent="0.3">
      <c r="A17" t="s">
        <v>92</v>
      </c>
      <c r="B17" s="5" t="s">
        <v>50</v>
      </c>
      <c r="C17" s="3" t="str">
        <f t="shared" si="0"/>
        <v>02-07-2024</v>
      </c>
      <c r="D17" t="s">
        <v>80</v>
      </c>
      <c r="E17" t="s">
        <v>93</v>
      </c>
      <c r="F17" t="s">
        <v>64</v>
      </c>
      <c r="G17" t="s">
        <v>53</v>
      </c>
      <c r="H17" t="s">
        <v>20</v>
      </c>
      <c r="I17">
        <v>2</v>
      </c>
      <c r="J17">
        <v>4725</v>
      </c>
      <c r="K17" s="7">
        <v>0.15</v>
      </c>
      <c r="L17" t="s">
        <v>31</v>
      </c>
      <c r="M17" t="s">
        <v>39</v>
      </c>
      <c r="N17" t="s">
        <v>48</v>
      </c>
      <c r="P17">
        <f>VLOOKUP(Table2[[#This Row],[Product_ID]],Table1[#All],8,TRUE)</f>
        <v>700</v>
      </c>
    </row>
    <row r="18" spans="1:16" x14ac:dyDescent="0.3">
      <c r="A18" t="s">
        <v>94</v>
      </c>
      <c r="B18" s="5" t="s">
        <v>95</v>
      </c>
      <c r="C18" s="3" t="str">
        <f t="shared" si="0"/>
        <v>14-08-2023</v>
      </c>
      <c r="D18" t="s">
        <v>96</v>
      </c>
      <c r="E18" t="s">
        <v>97</v>
      </c>
      <c r="F18" t="s">
        <v>98</v>
      </c>
      <c r="G18" t="s">
        <v>19</v>
      </c>
      <c r="H18" t="s">
        <v>99</v>
      </c>
      <c r="I18">
        <v>3</v>
      </c>
      <c r="J18">
        <v>4031</v>
      </c>
      <c r="K18" s="7">
        <v>0.1</v>
      </c>
      <c r="L18" t="s">
        <v>21</v>
      </c>
      <c r="M18" t="s">
        <v>39</v>
      </c>
      <c r="N18" t="s">
        <v>48</v>
      </c>
      <c r="O18">
        <v>3.3</v>
      </c>
      <c r="P18">
        <f>VLOOKUP(Table2[[#This Row],[Product_ID]],Table1[#All],8,TRUE)</f>
        <v>500</v>
      </c>
    </row>
    <row r="19" spans="1:16" x14ac:dyDescent="0.3">
      <c r="A19" t="s">
        <v>100</v>
      </c>
      <c r="B19" s="5" t="s">
        <v>101</v>
      </c>
      <c r="C19" s="3" t="str">
        <f t="shared" si="0"/>
        <v>06-01-2023</v>
      </c>
      <c r="D19" t="s">
        <v>67</v>
      </c>
      <c r="E19" t="s">
        <v>102</v>
      </c>
      <c r="F19" t="s">
        <v>73</v>
      </c>
      <c r="G19" t="s">
        <v>19</v>
      </c>
      <c r="H19" t="s">
        <v>30</v>
      </c>
      <c r="I19">
        <v>5</v>
      </c>
      <c r="J19">
        <v>8851</v>
      </c>
      <c r="K19" s="7">
        <v>0.1</v>
      </c>
      <c r="L19" t="s">
        <v>31</v>
      </c>
      <c r="M19" t="s">
        <v>39</v>
      </c>
      <c r="N19" t="s">
        <v>48</v>
      </c>
      <c r="O19">
        <v>3.4</v>
      </c>
      <c r="P19">
        <f>VLOOKUP(Table2[[#This Row],[Product_ID]],Table1[#All],8,TRUE)</f>
        <v>1500</v>
      </c>
    </row>
    <row r="20" spans="1:16" x14ac:dyDescent="0.3">
      <c r="A20" t="s">
        <v>103</v>
      </c>
      <c r="B20" s="5" t="s">
        <v>104</v>
      </c>
      <c r="C20" s="3" t="str">
        <f t="shared" si="0"/>
        <v>24-09-2024</v>
      </c>
      <c r="D20" t="s">
        <v>71</v>
      </c>
      <c r="E20" t="s">
        <v>105</v>
      </c>
      <c r="F20" t="s">
        <v>98</v>
      </c>
      <c r="G20" t="s">
        <v>29</v>
      </c>
      <c r="H20" t="s">
        <v>30</v>
      </c>
      <c r="I20">
        <v>2</v>
      </c>
      <c r="J20">
        <v>7950</v>
      </c>
      <c r="K20" s="7">
        <v>0.15</v>
      </c>
      <c r="L20" t="s">
        <v>58</v>
      </c>
      <c r="M20" t="s">
        <v>22</v>
      </c>
      <c r="N20" t="s">
        <v>23</v>
      </c>
      <c r="P20">
        <f>VLOOKUP(Table2[[#This Row],[Product_ID]],Table1[#All],8,TRUE)</f>
        <v>1200</v>
      </c>
    </row>
    <row r="21" spans="1:16" x14ac:dyDescent="0.3">
      <c r="A21" t="s">
        <v>106</v>
      </c>
      <c r="B21" s="5" t="s">
        <v>107</v>
      </c>
      <c r="C21" s="3" t="str">
        <f t="shared" si="0"/>
        <v>01-01-2023</v>
      </c>
      <c r="D21" t="s">
        <v>26</v>
      </c>
      <c r="E21" t="s">
        <v>108</v>
      </c>
      <c r="F21" t="s">
        <v>73</v>
      </c>
      <c r="G21" t="s">
        <v>53</v>
      </c>
      <c r="H21" t="s">
        <v>99</v>
      </c>
      <c r="I21">
        <v>1</v>
      </c>
      <c r="J21">
        <v>3288</v>
      </c>
      <c r="K21" s="7">
        <v>0.1</v>
      </c>
      <c r="L21" t="s">
        <v>38</v>
      </c>
      <c r="M21" t="s">
        <v>22</v>
      </c>
      <c r="N21" t="s">
        <v>32</v>
      </c>
      <c r="P21">
        <f>VLOOKUP(Table2[[#This Row],[Product_ID]],Table1[#All],8,TRUE)</f>
        <v>500</v>
      </c>
    </row>
    <row r="22" spans="1:16" x14ac:dyDescent="0.3">
      <c r="A22" t="s">
        <v>109</v>
      </c>
      <c r="B22" s="5" t="s">
        <v>110</v>
      </c>
      <c r="C22" s="3" t="str">
        <f t="shared" si="0"/>
        <v>29-11-2024</v>
      </c>
      <c r="D22" t="s">
        <v>84</v>
      </c>
      <c r="E22" t="s">
        <v>111</v>
      </c>
      <c r="F22" t="s">
        <v>57</v>
      </c>
      <c r="G22" t="s">
        <v>29</v>
      </c>
      <c r="H22" t="s">
        <v>99</v>
      </c>
      <c r="I22">
        <v>1</v>
      </c>
      <c r="J22">
        <v>7003</v>
      </c>
      <c r="K22" s="7">
        <v>0.1</v>
      </c>
      <c r="L22" t="s">
        <v>21</v>
      </c>
      <c r="M22" t="s">
        <v>39</v>
      </c>
      <c r="N22" t="s">
        <v>59</v>
      </c>
      <c r="O22">
        <v>4.2</v>
      </c>
      <c r="P22">
        <f>VLOOKUP(Table2[[#This Row],[Product_ID]],Table1[#All],8,TRUE)</f>
        <v>900</v>
      </c>
    </row>
    <row r="23" spans="1:16" x14ac:dyDescent="0.3">
      <c r="A23" t="s">
        <v>112</v>
      </c>
      <c r="B23" s="5" t="s">
        <v>113</v>
      </c>
      <c r="C23" s="3" t="str">
        <f t="shared" si="0"/>
        <v>22-06-2024</v>
      </c>
      <c r="D23" t="s">
        <v>114</v>
      </c>
      <c r="E23" t="s">
        <v>115</v>
      </c>
      <c r="F23" t="s">
        <v>43</v>
      </c>
      <c r="G23" t="s">
        <v>19</v>
      </c>
      <c r="H23" t="s">
        <v>20</v>
      </c>
      <c r="I23">
        <v>5</v>
      </c>
      <c r="J23">
        <v>4392</v>
      </c>
      <c r="K23" s="7">
        <v>0.05</v>
      </c>
      <c r="L23" t="s">
        <v>31</v>
      </c>
      <c r="M23" t="s">
        <v>39</v>
      </c>
      <c r="N23" t="s">
        <v>32</v>
      </c>
      <c r="P23">
        <f>VLOOKUP(Table2[[#This Row],[Product_ID]],Table1[#All],8,TRUE)</f>
        <v>900</v>
      </c>
    </row>
    <row r="24" spans="1:16" x14ac:dyDescent="0.3">
      <c r="A24" t="s">
        <v>116</v>
      </c>
      <c r="B24" s="5" t="s">
        <v>117</v>
      </c>
      <c r="C24" s="3" t="str">
        <f t="shared" si="0"/>
        <v>15-07-2024</v>
      </c>
      <c r="D24" t="s">
        <v>26</v>
      </c>
      <c r="E24" t="s">
        <v>118</v>
      </c>
      <c r="F24" t="s">
        <v>18</v>
      </c>
      <c r="G24" t="s">
        <v>53</v>
      </c>
      <c r="H24" t="s">
        <v>30</v>
      </c>
      <c r="I24">
        <v>1</v>
      </c>
      <c r="J24">
        <v>9391</v>
      </c>
      <c r="K24" s="7">
        <v>0.15</v>
      </c>
      <c r="L24" t="s">
        <v>58</v>
      </c>
      <c r="M24" t="s">
        <v>22</v>
      </c>
      <c r="N24" t="s">
        <v>32</v>
      </c>
      <c r="P24">
        <f>VLOOKUP(Table2[[#This Row],[Product_ID]],Table1[#All],8,TRUE)</f>
        <v>700</v>
      </c>
    </row>
    <row r="25" spans="1:16" x14ac:dyDescent="0.3">
      <c r="A25" t="s">
        <v>119</v>
      </c>
      <c r="B25" s="5" t="s">
        <v>120</v>
      </c>
      <c r="C25" s="3" t="str">
        <f t="shared" si="0"/>
        <v>08-07-2024</v>
      </c>
      <c r="D25" t="s">
        <v>51</v>
      </c>
      <c r="E25" t="s">
        <v>121</v>
      </c>
      <c r="F25" t="s">
        <v>64</v>
      </c>
      <c r="G25" t="s">
        <v>37</v>
      </c>
      <c r="H25" t="s">
        <v>20</v>
      </c>
      <c r="I25">
        <v>1</v>
      </c>
      <c r="J25">
        <v>1785</v>
      </c>
      <c r="K25" s="7">
        <v>0.05</v>
      </c>
      <c r="L25" t="s">
        <v>31</v>
      </c>
      <c r="M25" t="s">
        <v>39</v>
      </c>
      <c r="N25" t="s">
        <v>59</v>
      </c>
      <c r="P25">
        <f>VLOOKUP(Table2[[#This Row],[Product_ID]],Table1[#All],8,TRUE)</f>
        <v>700</v>
      </c>
    </row>
    <row r="26" spans="1:16" x14ac:dyDescent="0.3">
      <c r="A26" t="s">
        <v>122</v>
      </c>
      <c r="B26" s="5" t="s">
        <v>123</v>
      </c>
      <c r="C26" s="3" t="str">
        <f t="shared" si="0"/>
        <v>14-09-2024</v>
      </c>
      <c r="D26" t="s">
        <v>16</v>
      </c>
      <c r="E26" t="s">
        <v>124</v>
      </c>
      <c r="F26" t="s">
        <v>64</v>
      </c>
      <c r="G26" t="s">
        <v>29</v>
      </c>
      <c r="H26" t="s">
        <v>30</v>
      </c>
      <c r="I26">
        <v>5</v>
      </c>
      <c r="J26">
        <v>8547</v>
      </c>
      <c r="K26" s="7">
        <v>0</v>
      </c>
      <c r="L26" t="s">
        <v>31</v>
      </c>
      <c r="M26" t="s">
        <v>22</v>
      </c>
      <c r="N26" t="s">
        <v>48</v>
      </c>
      <c r="O26">
        <v>3.9</v>
      </c>
      <c r="P26">
        <f>VLOOKUP(Table2[[#This Row],[Product_ID]],Table1[#All],8,TRUE)</f>
        <v>0</v>
      </c>
    </row>
    <row r="27" spans="1:16" x14ac:dyDescent="0.3">
      <c r="A27" t="s">
        <v>125</v>
      </c>
      <c r="B27" s="5" t="s">
        <v>126</v>
      </c>
      <c r="C27" s="3" t="str">
        <f t="shared" si="0"/>
        <v>08-05-2024</v>
      </c>
      <c r="D27" t="s">
        <v>127</v>
      </c>
      <c r="E27" t="s">
        <v>128</v>
      </c>
      <c r="F27" t="s">
        <v>18</v>
      </c>
      <c r="G27" t="s">
        <v>29</v>
      </c>
      <c r="H27" t="s">
        <v>20</v>
      </c>
      <c r="I27">
        <v>1</v>
      </c>
      <c r="J27">
        <v>4379</v>
      </c>
      <c r="K27" s="7">
        <v>0</v>
      </c>
      <c r="L27" t="s">
        <v>31</v>
      </c>
      <c r="M27" t="s">
        <v>39</v>
      </c>
      <c r="N27" t="s">
        <v>59</v>
      </c>
      <c r="P27">
        <f>VLOOKUP(Table2[[#This Row],[Product_ID]],Table1[#All],8,TRUE)</f>
        <v>500</v>
      </c>
    </row>
    <row r="28" spans="1:16" x14ac:dyDescent="0.3">
      <c r="A28" t="s">
        <v>129</v>
      </c>
      <c r="B28" s="5" t="s">
        <v>130</v>
      </c>
      <c r="C28" s="3" t="str">
        <f t="shared" si="0"/>
        <v>08-10-2024</v>
      </c>
      <c r="D28" t="s">
        <v>131</v>
      </c>
      <c r="E28" t="s">
        <v>132</v>
      </c>
      <c r="F28" t="s">
        <v>28</v>
      </c>
      <c r="G28" t="s">
        <v>37</v>
      </c>
      <c r="H28" t="s">
        <v>20</v>
      </c>
      <c r="I28">
        <v>3</v>
      </c>
      <c r="J28">
        <v>4950</v>
      </c>
      <c r="K28" s="7">
        <v>0</v>
      </c>
      <c r="L28" t="s">
        <v>21</v>
      </c>
      <c r="M28" t="s">
        <v>22</v>
      </c>
      <c r="N28" t="s">
        <v>59</v>
      </c>
      <c r="P28">
        <f>VLOOKUP(Table2[[#This Row],[Product_ID]],Table1[#All],8,TRUE)</f>
        <v>1500</v>
      </c>
    </row>
    <row r="29" spans="1:16" x14ac:dyDescent="0.3">
      <c r="A29" t="s">
        <v>133</v>
      </c>
      <c r="B29" s="5" t="s">
        <v>134</v>
      </c>
      <c r="C29" s="3" t="str">
        <f t="shared" si="0"/>
        <v>09-09-2024</v>
      </c>
      <c r="D29" t="s">
        <v>62</v>
      </c>
      <c r="E29" t="s">
        <v>135</v>
      </c>
      <c r="F29" t="s">
        <v>57</v>
      </c>
      <c r="G29" t="s">
        <v>53</v>
      </c>
      <c r="H29" t="s">
        <v>77</v>
      </c>
      <c r="I29">
        <v>3</v>
      </c>
      <c r="J29">
        <v>8171</v>
      </c>
      <c r="K29" s="7">
        <v>0.2</v>
      </c>
      <c r="L29" t="s">
        <v>58</v>
      </c>
      <c r="M29" t="s">
        <v>39</v>
      </c>
      <c r="N29" t="s">
        <v>32</v>
      </c>
      <c r="O29">
        <v>4.0999999999999996</v>
      </c>
      <c r="P29">
        <f>VLOOKUP(Table2[[#This Row],[Product_ID]],Table1[#All],8,TRUE)</f>
        <v>1500</v>
      </c>
    </row>
    <row r="30" spans="1:16" x14ac:dyDescent="0.3">
      <c r="A30" t="s">
        <v>136</v>
      </c>
      <c r="B30" s="5" t="s">
        <v>137</v>
      </c>
      <c r="C30" s="3" t="str">
        <f t="shared" si="0"/>
        <v>08-03-2024</v>
      </c>
      <c r="D30" t="s">
        <v>51</v>
      </c>
      <c r="E30" t="s">
        <v>138</v>
      </c>
      <c r="F30" t="s">
        <v>28</v>
      </c>
      <c r="G30" t="s">
        <v>19</v>
      </c>
      <c r="H30" t="s">
        <v>30</v>
      </c>
      <c r="I30">
        <v>5</v>
      </c>
      <c r="J30">
        <v>6195</v>
      </c>
      <c r="K30" s="7">
        <v>0.15</v>
      </c>
      <c r="L30" t="s">
        <v>31</v>
      </c>
      <c r="M30" t="s">
        <v>22</v>
      </c>
      <c r="N30" t="s">
        <v>59</v>
      </c>
      <c r="O30">
        <v>4</v>
      </c>
      <c r="P30">
        <f>VLOOKUP(Table2[[#This Row],[Product_ID]],Table1[#All],8,TRUE)</f>
        <v>1200</v>
      </c>
    </row>
    <row r="31" spans="1:16" x14ac:dyDescent="0.3">
      <c r="A31" t="s">
        <v>139</v>
      </c>
      <c r="B31" s="5" t="s">
        <v>140</v>
      </c>
      <c r="C31" s="3" t="str">
        <f t="shared" si="0"/>
        <v>10-06-2023</v>
      </c>
      <c r="D31" t="s">
        <v>16</v>
      </c>
      <c r="E31" t="s">
        <v>17</v>
      </c>
      <c r="F31" t="s">
        <v>64</v>
      </c>
      <c r="G31" t="s">
        <v>19</v>
      </c>
      <c r="H31" t="s">
        <v>99</v>
      </c>
      <c r="I31">
        <v>2</v>
      </c>
      <c r="J31">
        <v>6924</v>
      </c>
      <c r="K31" s="7">
        <v>0</v>
      </c>
      <c r="L31" t="s">
        <v>21</v>
      </c>
      <c r="M31" t="s">
        <v>22</v>
      </c>
      <c r="N31" t="s">
        <v>59</v>
      </c>
      <c r="O31">
        <v>3.2</v>
      </c>
      <c r="P31">
        <f>VLOOKUP(Table2[[#This Row],[Product_ID]],Table1[#All],8,TRUE)</f>
        <v>700</v>
      </c>
    </row>
    <row r="32" spans="1:16" x14ac:dyDescent="0.3">
      <c r="A32" t="s">
        <v>141</v>
      </c>
      <c r="B32" s="5" t="s">
        <v>142</v>
      </c>
      <c r="C32" s="3" t="str">
        <f t="shared" si="0"/>
        <v>14-09-2023</v>
      </c>
      <c r="D32" t="s">
        <v>16</v>
      </c>
      <c r="E32" t="s">
        <v>143</v>
      </c>
      <c r="F32" t="s">
        <v>43</v>
      </c>
      <c r="G32" t="s">
        <v>29</v>
      </c>
      <c r="H32" t="s">
        <v>30</v>
      </c>
      <c r="I32">
        <v>3</v>
      </c>
      <c r="J32">
        <v>2946</v>
      </c>
      <c r="K32" s="7">
        <v>0.2</v>
      </c>
      <c r="L32" t="s">
        <v>21</v>
      </c>
      <c r="M32" t="s">
        <v>22</v>
      </c>
      <c r="N32" t="s">
        <v>32</v>
      </c>
      <c r="P32">
        <f>VLOOKUP(Table2[[#This Row],[Product_ID]],Table1[#All],8,TRUE)</f>
        <v>500</v>
      </c>
    </row>
    <row r="33" spans="1:16" x14ac:dyDescent="0.3">
      <c r="A33" t="s">
        <v>144</v>
      </c>
      <c r="B33" s="5" t="s">
        <v>145</v>
      </c>
      <c r="C33" s="3" t="str">
        <f t="shared" si="0"/>
        <v>25-03-2024</v>
      </c>
      <c r="D33" t="s">
        <v>16</v>
      </c>
      <c r="E33" t="s">
        <v>146</v>
      </c>
      <c r="F33" t="s">
        <v>98</v>
      </c>
      <c r="G33" t="s">
        <v>29</v>
      </c>
      <c r="H33" t="s">
        <v>77</v>
      </c>
      <c r="I33">
        <v>4</v>
      </c>
      <c r="J33">
        <v>4271</v>
      </c>
      <c r="K33" s="7">
        <v>0.05</v>
      </c>
      <c r="L33" t="s">
        <v>38</v>
      </c>
      <c r="M33" t="s">
        <v>39</v>
      </c>
      <c r="N33" t="s">
        <v>23</v>
      </c>
      <c r="O33">
        <v>3.8</v>
      </c>
      <c r="P33">
        <f>VLOOKUP(Table2[[#This Row],[Product_ID]],Table1[#All],8,TRUE)</f>
        <v>0</v>
      </c>
    </row>
    <row r="34" spans="1:16" x14ac:dyDescent="0.3">
      <c r="A34" t="s">
        <v>147</v>
      </c>
      <c r="B34" s="5" t="s">
        <v>148</v>
      </c>
      <c r="C34" s="3" t="str">
        <f t="shared" si="0"/>
        <v>28-07-2023</v>
      </c>
      <c r="D34" t="s">
        <v>67</v>
      </c>
      <c r="E34" t="s">
        <v>149</v>
      </c>
      <c r="F34" t="s">
        <v>64</v>
      </c>
      <c r="G34" t="s">
        <v>53</v>
      </c>
      <c r="H34" t="s">
        <v>20</v>
      </c>
      <c r="I34">
        <v>5</v>
      </c>
      <c r="J34">
        <v>5508</v>
      </c>
      <c r="K34" s="7">
        <v>0.05</v>
      </c>
      <c r="L34" t="s">
        <v>38</v>
      </c>
      <c r="M34" t="s">
        <v>39</v>
      </c>
      <c r="N34" t="s">
        <v>23</v>
      </c>
      <c r="P34">
        <f>VLOOKUP(Table2[[#This Row],[Product_ID]],Table1[#All],8,TRUE)</f>
        <v>500</v>
      </c>
    </row>
    <row r="35" spans="1:16" x14ac:dyDescent="0.3">
      <c r="A35" t="s">
        <v>150</v>
      </c>
      <c r="B35" s="5" t="s">
        <v>151</v>
      </c>
      <c r="C35" s="3" t="str">
        <f t="shared" si="0"/>
        <v>12-11-2023</v>
      </c>
      <c r="D35" t="s">
        <v>71</v>
      </c>
      <c r="E35" t="s">
        <v>138</v>
      </c>
      <c r="F35" t="s">
        <v>98</v>
      </c>
      <c r="G35" t="s">
        <v>37</v>
      </c>
      <c r="H35" t="s">
        <v>77</v>
      </c>
      <c r="I35">
        <v>4</v>
      </c>
      <c r="J35">
        <v>5062</v>
      </c>
      <c r="K35" s="7">
        <v>0.1</v>
      </c>
      <c r="L35" t="s">
        <v>58</v>
      </c>
      <c r="M35" t="s">
        <v>22</v>
      </c>
      <c r="N35" t="s">
        <v>48</v>
      </c>
      <c r="O35">
        <v>4.9000000000000004</v>
      </c>
      <c r="P35">
        <f>VLOOKUP(Table2[[#This Row],[Product_ID]],Table1[#All],8,TRUE)</f>
        <v>1200</v>
      </c>
    </row>
    <row r="36" spans="1:16" x14ac:dyDescent="0.3">
      <c r="A36" t="s">
        <v>152</v>
      </c>
      <c r="B36" s="5" t="s">
        <v>153</v>
      </c>
      <c r="C36" s="3" t="str">
        <f t="shared" si="0"/>
        <v>16-11-2023</v>
      </c>
      <c r="D36" t="s">
        <v>84</v>
      </c>
      <c r="E36" t="s">
        <v>154</v>
      </c>
      <c r="F36" t="s">
        <v>43</v>
      </c>
      <c r="G36" t="s">
        <v>53</v>
      </c>
      <c r="H36" t="s">
        <v>77</v>
      </c>
      <c r="I36">
        <v>2</v>
      </c>
      <c r="J36">
        <v>3462</v>
      </c>
      <c r="K36" s="7">
        <v>0.2</v>
      </c>
      <c r="L36" t="s">
        <v>21</v>
      </c>
      <c r="M36" t="s">
        <v>39</v>
      </c>
      <c r="N36" t="s">
        <v>59</v>
      </c>
      <c r="P36">
        <f>VLOOKUP(Table2[[#This Row],[Product_ID]],Table1[#All],8,TRUE)</f>
        <v>900</v>
      </c>
    </row>
    <row r="37" spans="1:16" x14ac:dyDescent="0.3">
      <c r="A37" t="s">
        <v>155</v>
      </c>
      <c r="B37" s="5" t="s">
        <v>156</v>
      </c>
      <c r="C37" s="3" t="str">
        <f t="shared" si="0"/>
        <v>15-05-2024</v>
      </c>
      <c r="D37" t="s">
        <v>114</v>
      </c>
      <c r="E37" t="s">
        <v>157</v>
      </c>
      <c r="F37" t="s">
        <v>98</v>
      </c>
      <c r="G37" t="s">
        <v>29</v>
      </c>
      <c r="H37" t="s">
        <v>99</v>
      </c>
      <c r="I37">
        <v>3</v>
      </c>
      <c r="J37">
        <v>4371</v>
      </c>
      <c r="K37" s="7">
        <v>0.15</v>
      </c>
      <c r="L37" t="s">
        <v>21</v>
      </c>
      <c r="M37" t="s">
        <v>39</v>
      </c>
      <c r="N37" t="s">
        <v>23</v>
      </c>
      <c r="O37">
        <v>4.9000000000000004</v>
      </c>
      <c r="P37">
        <f>VLOOKUP(Table2[[#This Row],[Product_ID]],Table1[#All],8,TRUE)</f>
        <v>900</v>
      </c>
    </row>
    <row r="38" spans="1:16" x14ac:dyDescent="0.3">
      <c r="A38" t="s">
        <v>158</v>
      </c>
      <c r="B38" s="5" t="s">
        <v>159</v>
      </c>
      <c r="C38" s="3" t="str">
        <f t="shared" si="0"/>
        <v>17-06-2024</v>
      </c>
      <c r="D38" t="s">
        <v>71</v>
      </c>
      <c r="E38" t="s">
        <v>160</v>
      </c>
      <c r="F38" t="s">
        <v>18</v>
      </c>
      <c r="G38" t="s">
        <v>29</v>
      </c>
      <c r="H38" t="s">
        <v>99</v>
      </c>
      <c r="I38">
        <v>2</v>
      </c>
      <c r="J38">
        <v>1287</v>
      </c>
      <c r="K38" s="7">
        <v>0.1</v>
      </c>
      <c r="L38" t="s">
        <v>38</v>
      </c>
      <c r="M38" t="s">
        <v>39</v>
      </c>
      <c r="N38" t="s">
        <v>23</v>
      </c>
      <c r="P38">
        <f>VLOOKUP(Table2[[#This Row],[Product_ID]],Table1[#All],8,TRUE)</f>
        <v>1200</v>
      </c>
    </row>
    <row r="39" spans="1:16" x14ac:dyDescent="0.3">
      <c r="A39" t="s">
        <v>161</v>
      </c>
      <c r="B39" s="5" t="s">
        <v>162</v>
      </c>
      <c r="C39" s="3" t="str">
        <f t="shared" si="0"/>
        <v>19-09-2024</v>
      </c>
      <c r="D39" t="s">
        <v>71</v>
      </c>
      <c r="E39" t="s">
        <v>163</v>
      </c>
      <c r="F39" t="s">
        <v>43</v>
      </c>
      <c r="G39" t="s">
        <v>37</v>
      </c>
      <c r="H39" t="s">
        <v>20</v>
      </c>
      <c r="I39">
        <v>4</v>
      </c>
      <c r="J39">
        <v>5004</v>
      </c>
      <c r="K39" s="7">
        <v>0.05</v>
      </c>
      <c r="L39" t="s">
        <v>58</v>
      </c>
      <c r="M39" t="s">
        <v>39</v>
      </c>
      <c r="N39" t="s">
        <v>48</v>
      </c>
      <c r="O39">
        <v>3.8</v>
      </c>
      <c r="P39" t="e">
        <f>VLOOKUP(Table2[[#This Row],[Product_ID]],Table1[#All],8,TRUE)</f>
        <v>#N/A</v>
      </c>
    </row>
    <row r="40" spans="1:16" x14ac:dyDescent="0.3">
      <c r="A40" t="s">
        <v>164</v>
      </c>
      <c r="B40" s="5" t="s">
        <v>165</v>
      </c>
      <c r="C40" s="3" t="str">
        <f t="shared" si="0"/>
        <v>28-11-2023</v>
      </c>
      <c r="D40" t="s">
        <v>51</v>
      </c>
      <c r="E40" t="s">
        <v>166</v>
      </c>
      <c r="F40" t="s">
        <v>98</v>
      </c>
      <c r="G40" t="s">
        <v>19</v>
      </c>
      <c r="H40" t="s">
        <v>77</v>
      </c>
      <c r="I40">
        <v>4</v>
      </c>
      <c r="J40">
        <v>2513</v>
      </c>
      <c r="K40" s="7">
        <v>0.15</v>
      </c>
      <c r="L40" t="s">
        <v>38</v>
      </c>
      <c r="M40" t="s">
        <v>22</v>
      </c>
      <c r="N40" t="s">
        <v>59</v>
      </c>
      <c r="O40">
        <v>3.8</v>
      </c>
      <c r="P40">
        <f>VLOOKUP(Table2[[#This Row],[Product_ID]],Table1[#All],8,TRUE)</f>
        <v>0</v>
      </c>
    </row>
    <row r="41" spans="1:16" x14ac:dyDescent="0.3">
      <c r="A41" t="s">
        <v>167</v>
      </c>
      <c r="B41" s="5" t="s">
        <v>168</v>
      </c>
      <c r="C41" s="3" t="str">
        <f t="shared" si="0"/>
        <v>17-12-2024</v>
      </c>
      <c r="D41" t="s">
        <v>26</v>
      </c>
      <c r="E41" t="s">
        <v>169</v>
      </c>
      <c r="F41" t="s">
        <v>57</v>
      </c>
      <c r="G41" t="s">
        <v>37</v>
      </c>
      <c r="H41" t="s">
        <v>77</v>
      </c>
      <c r="I41">
        <v>3</v>
      </c>
      <c r="J41">
        <v>7187</v>
      </c>
      <c r="K41" s="7">
        <v>0.15</v>
      </c>
      <c r="L41" t="s">
        <v>31</v>
      </c>
      <c r="M41" t="s">
        <v>22</v>
      </c>
      <c r="N41" t="s">
        <v>48</v>
      </c>
      <c r="O41">
        <v>3.9</v>
      </c>
      <c r="P41">
        <f>VLOOKUP(Table2[[#This Row],[Product_ID]],Table1[#All],8,TRUE)</f>
        <v>1500</v>
      </c>
    </row>
    <row r="42" spans="1:16" x14ac:dyDescent="0.3">
      <c r="A42" t="s">
        <v>170</v>
      </c>
      <c r="B42" s="5" t="s">
        <v>171</v>
      </c>
      <c r="C42" s="3" t="str">
        <f t="shared" si="0"/>
        <v>27-02-2024</v>
      </c>
      <c r="D42" t="s">
        <v>71</v>
      </c>
      <c r="E42" t="s">
        <v>172</v>
      </c>
      <c r="F42" t="s">
        <v>43</v>
      </c>
      <c r="G42" t="s">
        <v>29</v>
      </c>
      <c r="H42" t="s">
        <v>30</v>
      </c>
      <c r="I42">
        <v>2</v>
      </c>
      <c r="J42">
        <v>5453</v>
      </c>
      <c r="K42" s="7">
        <v>0.15</v>
      </c>
      <c r="L42" t="s">
        <v>31</v>
      </c>
      <c r="M42" t="s">
        <v>39</v>
      </c>
      <c r="N42" t="s">
        <v>32</v>
      </c>
      <c r="O42">
        <v>4.5999999999999996</v>
      </c>
      <c r="P42">
        <f>VLOOKUP(Table2[[#This Row],[Product_ID]],Table1[#All],8,TRUE)</f>
        <v>1200</v>
      </c>
    </row>
    <row r="43" spans="1:16" x14ac:dyDescent="0.3">
      <c r="A43" t="s">
        <v>173</v>
      </c>
      <c r="B43" s="5" t="s">
        <v>174</v>
      </c>
      <c r="C43" s="3" t="str">
        <f t="shared" si="0"/>
        <v>11-07-2023</v>
      </c>
      <c r="D43" t="s">
        <v>67</v>
      </c>
      <c r="E43" t="s">
        <v>175</v>
      </c>
      <c r="F43" t="s">
        <v>98</v>
      </c>
      <c r="G43" t="s">
        <v>19</v>
      </c>
      <c r="H43" t="s">
        <v>77</v>
      </c>
      <c r="I43">
        <v>4</v>
      </c>
      <c r="J43">
        <v>9224</v>
      </c>
      <c r="K43" s="7">
        <v>0.15</v>
      </c>
      <c r="L43" t="s">
        <v>21</v>
      </c>
      <c r="M43" t="s">
        <v>39</v>
      </c>
      <c r="N43" t="s">
        <v>59</v>
      </c>
      <c r="P43">
        <f>VLOOKUP(Table2[[#This Row],[Product_ID]],Table1[#All],8,TRUE)</f>
        <v>1500</v>
      </c>
    </row>
    <row r="44" spans="1:16" x14ac:dyDescent="0.3">
      <c r="A44" t="s">
        <v>176</v>
      </c>
      <c r="B44" s="5" t="s">
        <v>177</v>
      </c>
      <c r="C44" s="3" t="str">
        <f t="shared" si="0"/>
        <v>16-02-2024</v>
      </c>
      <c r="D44" t="s">
        <v>16</v>
      </c>
      <c r="E44" t="s">
        <v>178</v>
      </c>
      <c r="F44" t="s">
        <v>18</v>
      </c>
      <c r="G44" t="s">
        <v>37</v>
      </c>
      <c r="H44" t="s">
        <v>20</v>
      </c>
      <c r="I44">
        <v>4</v>
      </c>
      <c r="J44">
        <v>8629</v>
      </c>
      <c r="K44" s="7">
        <v>0.1</v>
      </c>
      <c r="L44" t="s">
        <v>31</v>
      </c>
      <c r="M44" t="s">
        <v>39</v>
      </c>
      <c r="N44" t="s">
        <v>59</v>
      </c>
      <c r="P44">
        <f>VLOOKUP(Table2[[#This Row],[Product_ID]],Table1[#All],8,TRUE)</f>
        <v>1200</v>
      </c>
    </row>
    <row r="45" spans="1:16" x14ac:dyDescent="0.3">
      <c r="A45" t="s">
        <v>179</v>
      </c>
      <c r="B45" s="5" t="s">
        <v>180</v>
      </c>
      <c r="C45" s="3" t="str">
        <f t="shared" si="0"/>
        <v>08-04-2024</v>
      </c>
      <c r="D45" t="s">
        <v>46</v>
      </c>
      <c r="E45" t="s">
        <v>181</v>
      </c>
      <c r="F45" t="s">
        <v>73</v>
      </c>
      <c r="G45" t="s">
        <v>37</v>
      </c>
      <c r="H45" t="s">
        <v>77</v>
      </c>
      <c r="I45">
        <v>1</v>
      </c>
      <c r="J45">
        <v>8618</v>
      </c>
      <c r="K45" s="7">
        <v>0.05</v>
      </c>
      <c r="L45" t="s">
        <v>58</v>
      </c>
      <c r="M45" t="s">
        <v>39</v>
      </c>
      <c r="N45" t="s">
        <v>59</v>
      </c>
      <c r="P45">
        <f>VLOOKUP(Table2[[#This Row],[Product_ID]],Table1[#All],8,TRUE)</f>
        <v>1500</v>
      </c>
    </row>
    <row r="46" spans="1:16" x14ac:dyDescent="0.3">
      <c r="A46" t="s">
        <v>182</v>
      </c>
      <c r="B46" s="5" t="s">
        <v>183</v>
      </c>
      <c r="C46" s="3" t="str">
        <f t="shared" si="0"/>
        <v>22-08-2023</v>
      </c>
      <c r="D46" t="s">
        <v>127</v>
      </c>
      <c r="E46" t="s">
        <v>184</v>
      </c>
      <c r="F46" t="s">
        <v>28</v>
      </c>
      <c r="G46" t="s">
        <v>37</v>
      </c>
      <c r="H46" t="s">
        <v>77</v>
      </c>
      <c r="I46">
        <v>5</v>
      </c>
      <c r="J46">
        <v>9906</v>
      </c>
      <c r="K46" s="7">
        <v>0.1</v>
      </c>
      <c r="L46" t="s">
        <v>58</v>
      </c>
      <c r="M46" t="s">
        <v>39</v>
      </c>
      <c r="N46" t="s">
        <v>32</v>
      </c>
      <c r="O46">
        <v>4.8</v>
      </c>
      <c r="P46">
        <f>VLOOKUP(Table2[[#This Row],[Product_ID]],Table1[#All],8,TRUE)</f>
        <v>900</v>
      </c>
    </row>
    <row r="47" spans="1:16" x14ac:dyDescent="0.3">
      <c r="A47" t="s">
        <v>185</v>
      </c>
      <c r="B47" s="5" t="s">
        <v>186</v>
      </c>
      <c r="C47" s="3" t="str">
        <f t="shared" si="0"/>
        <v>25-09-2024</v>
      </c>
      <c r="D47" t="s">
        <v>91</v>
      </c>
      <c r="E47" t="s">
        <v>187</v>
      </c>
      <c r="F47" t="s">
        <v>73</v>
      </c>
      <c r="G47" t="s">
        <v>53</v>
      </c>
      <c r="H47" t="s">
        <v>30</v>
      </c>
      <c r="I47">
        <v>4</v>
      </c>
      <c r="J47">
        <v>4261</v>
      </c>
      <c r="K47" s="7">
        <v>0.15</v>
      </c>
      <c r="L47" t="s">
        <v>21</v>
      </c>
      <c r="M47" t="s">
        <v>39</v>
      </c>
      <c r="N47" t="s">
        <v>32</v>
      </c>
      <c r="P47">
        <f>VLOOKUP(Table2[[#This Row],[Product_ID]],Table1[#All],8,TRUE)</f>
        <v>500</v>
      </c>
    </row>
    <row r="48" spans="1:16" x14ac:dyDescent="0.3">
      <c r="A48" t="s">
        <v>188</v>
      </c>
      <c r="B48" s="5" t="s">
        <v>189</v>
      </c>
      <c r="C48" s="3" t="str">
        <f t="shared" si="0"/>
        <v>01-02-2023</v>
      </c>
      <c r="D48" t="s">
        <v>62</v>
      </c>
      <c r="E48" t="s">
        <v>121</v>
      </c>
      <c r="F48" t="s">
        <v>73</v>
      </c>
      <c r="G48" t="s">
        <v>37</v>
      </c>
      <c r="H48" t="s">
        <v>20</v>
      </c>
      <c r="I48">
        <v>2</v>
      </c>
      <c r="J48">
        <v>2361</v>
      </c>
      <c r="K48" s="7">
        <v>0</v>
      </c>
      <c r="L48" t="s">
        <v>21</v>
      </c>
      <c r="M48" t="s">
        <v>22</v>
      </c>
      <c r="N48" t="s">
        <v>23</v>
      </c>
      <c r="P48">
        <f>VLOOKUP(Table2[[#This Row],[Product_ID]],Table1[#All],8,TRUE)</f>
        <v>700</v>
      </c>
    </row>
    <row r="49" spans="1:16" x14ac:dyDescent="0.3">
      <c r="A49" t="s">
        <v>190</v>
      </c>
      <c r="B49" s="5" t="s">
        <v>191</v>
      </c>
      <c r="C49" s="3" t="str">
        <f t="shared" si="0"/>
        <v>21-11-2024</v>
      </c>
      <c r="D49" t="s">
        <v>71</v>
      </c>
      <c r="E49" t="s">
        <v>27</v>
      </c>
      <c r="F49" t="s">
        <v>98</v>
      </c>
      <c r="G49" t="s">
        <v>53</v>
      </c>
      <c r="H49" t="s">
        <v>77</v>
      </c>
      <c r="I49">
        <v>3</v>
      </c>
      <c r="J49">
        <v>7215</v>
      </c>
      <c r="K49" s="7">
        <v>0.05</v>
      </c>
      <c r="L49" t="s">
        <v>58</v>
      </c>
      <c r="M49" t="s">
        <v>22</v>
      </c>
      <c r="N49" t="s">
        <v>48</v>
      </c>
      <c r="P49">
        <f>VLOOKUP(Table2[[#This Row],[Product_ID]],Table1[#All],8,TRUE)</f>
        <v>900</v>
      </c>
    </row>
    <row r="50" spans="1:16" x14ac:dyDescent="0.3">
      <c r="A50" t="s">
        <v>192</v>
      </c>
      <c r="B50" s="5" t="s">
        <v>193</v>
      </c>
      <c r="C50" s="3" t="str">
        <f t="shared" si="0"/>
        <v>10-07-2024</v>
      </c>
      <c r="D50" t="s">
        <v>114</v>
      </c>
      <c r="E50" t="s">
        <v>52</v>
      </c>
      <c r="F50" t="s">
        <v>73</v>
      </c>
      <c r="G50" t="s">
        <v>29</v>
      </c>
      <c r="H50" t="s">
        <v>30</v>
      </c>
      <c r="I50">
        <v>4</v>
      </c>
      <c r="J50">
        <v>1875</v>
      </c>
      <c r="K50" s="7">
        <v>0.2</v>
      </c>
      <c r="L50" t="s">
        <v>21</v>
      </c>
      <c r="M50" t="s">
        <v>22</v>
      </c>
      <c r="N50" t="s">
        <v>59</v>
      </c>
      <c r="O50">
        <v>4.9000000000000004</v>
      </c>
      <c r="P50">
        <f>VLOOKUP(Table2[[#This Row],[Product_ID]],Table1[#All],8,TRUE)</f>
        <v>1500</v>
      </c>
    </row>
    <row r="51" spans="1:16" x14ac:dyDescent="0.3">
      <c r="A51" t="s">
        <v>194</v>
      </c>
      <c r="B51" s="5" t="s">
        <v>195</v>
      </c>
      <c r="C51" s="3" t="str">
        <f t="shared" si="0"/>
        <v>23-09-2024</v>
      </c>
      <c r="D51" t="s">
        <v>16</v>
      </c>
      <c r="E51" t="s">
        <v>52</v>
      </c>
      <c r="F51" t="s">
        <v>18</v>
      </c>
      <c r="G51" t="s">
        <v>37</v>
      </c>
      <c r="H51" t="s">
        <v>30</v>
      </c>
      <c r="I51">
        <v>1</v>
      </c>
      <c r="J51">
        <v>1728</v>
      </c>
      <c r="K51" s="7">
        <v>0.2</v>
      </c>
      <c r="L51" t="s">
        <v>38</v>
      </c>
      <c r="M51" t="s">
        <v>22</v>
      </c>
      <c r="N51" t="s">
        <v>48</v>
      </c>
      <c r="O51">
        <v>3.9</v>
      </c>
      <c r="P51">
        <f>VLOOKUP(Table2[[#This Row],[Product_ID]],Table1[#All],8,TRUE)</f>
        <v>1500</v>
      </c>
    </row>
    <row r="52" spans="1:16" x14ac:dyDescent="0.3">
      <c r="A52" t="s">
        <v>196</v>
      </c>
      <c r="B52" s="5" t="s">
        <v>197</v>
      </c>
      <c r="C52" s="3" t="str">
        <f t="shared" si="0"/>
        <v>06-01-2024</v>
      </c>
      <c r="D52" t="s">
        <v>84</v>
      </c>
      <c r="E52" t="s">
        <v>198</v>
      </c>
      <c r="F52" t="s">
        <v>18</v>
      </c>
      <c r="G52" t="s">
        <v>19</v>
      </c>
      <c r="H52" t="s">
        <v>77</v>
      </c>
      <c r="I52">
        <v>1</v>
      </c>
      <c r="J52">
        <v>5749</v>
      </c>
      <c r="K52" s="7">
        <v>0.2</v>
      </c>
      <c r="L52" t="s">
        <v>38</v>
      </c>
      <c r="M52" t="s">
        <v>22</v>
      </c>
      <c r="N52" t="s">
        <v>59</v>
      </c>
      <c r="P52">
        <f>VLOOKUP(Table2[[#This Row],[Product_ID]],Table1[#All],8,TRUE)</f>
        <v>0</v>
      </c>
    </row>
    <row r="53" spans="1:16" x14ac:dyDescent="0.3">
      <c r="A53" t="s">
        <v>199</v>
      </c>
      <c r="B53" s="5" t="s">
        <v>200</v>
      </c>
      <c r="C53" s="3" t="str">
        <f t="shared" si="0"/>
        <v>22-09-2023</v>
      </c>
      <c r="D53" t="s">
        <v>35</v>
      </c>
      <c r="E53" t="s">
        <v>201</v>
      </c>
      <c r="F53" t="s">
        <v>43</v>
      </c>
      <c r="G53" t="s">
        <v>19</v>
      </c>
      <c r="H53" t="s">
        <v>77</v>
      </c>
      <c r="I53">
        <v>3</v>
      </c>
      <c r="J53">
        <v>4127</v>
      </c>
      <c r="K53" s="7">
        <v>0.05</v>
      </c>
      <c r="L53" t="s">
        <v>58</v>
      </c>
      <c r="M53" t="s">
        <v>39</v>
      </c>
      <c r="N53" t="s">
        <v>23</v>
      </c>
      <c r="P53">
        <f>VLOOKUP(Table2[[#This Row],[Product_ID]],Table1[#All],8,TRUE)</f>
        <v>1200</v>
      </c>
    </row>
    <row r="54" spans="1:16" x14ac:dyDescent="0.3">
      <c r="A54" t="s">
        <v>202</v>
      </c>
      <c r="B54" s="5" t="s">
        <v>203</v>
      </c>
      <c r="C54" s="3" t="str">
        <f t="shared" si="0"/>
        <v>15-10-2023</v>
      </c>
      <c r="D54" t="s">
        <v>96</v>
      </c>
      <c r="E54" t="s">
        <v>204</v>
      </c>
      <c r="F54" t="s">
        <v>73</v>
      </c>
      <c r="G54" t="s">
        <v>29</v>
      </c>
      <c r="H54" t="s">
        <v>99</v>
      </c>
      <c r="I54">
        <v>4</v>
      </c>
      <c r="J54">
        <v>9737</v>
      </c>
      <c r="K54" s="7">
        <v>0.05</v>
      </c>
      <c r="L54" t="s">
        <v>21</v>
      </c>
      <c r="M54" t="s">
        <v>39</v>
      </c>
      <c r="N54" t="s">
        <v>32</v>
      </c>
      <c r="P54">
        <f>VLOOKUP(Table2[[#This Row],[Product_ID]],Table1[#All],8,TRUE)</f>
        <v>0</v>
      </c>
    </row>
    <row r="55" spans="1:16" x14ac:dyDescent="0.3">
      <c r="A55" t="s">
        <v>205</v>
      </c>
      <c r="B55" s="5" t="s">
        <v>206</v>
      </c>
      <c r="C55" s="3" t="str">
        <f t="shared" si="0"/>
        <v>27-07-2023</v>
      </c>
      <c r="D55" t="s">
        <v>46</v>
      </c>
      <c r="E55" t="s">
        <v>207</v>
      </c>
      <c r="F55" t="s">
        <v>43</v>
      </c>
      <c r="G55" t="s">
        <v>37</v>
      </c>
      <c r="H55" t="s">
        <v>20</v>
      </c>
      <c r="I55">
        <v>2</v>
      </c>
      <c r="J55">
        <v>6992</v>
      </c>
      <c r="K55" s="7">
        <v>0.15</v>
      </c>
      <c r="L55" t="s">
        <v>31</v>
      </c>
      <c r="M55" t="s">
        <v>39</v>
      </c>
      <c r="N55" t="s">
        <v>32</v>
      </c>
      <c r="P55">
        <f>VLOOKUP(Table2[[#This Row],[Product_ID]],Table1[#All],8,TRUE)</f>
        <v>1500</v>
      </c>
    </row>
    <row r="56" spans="1:16" x14ac:dyDescent="0.3">
      <c r="A56" t="s">
        <v>208</v>
      </c>
      <c r="B56" s="5" t="s">
        <v>209</v>
      </c>
      <c r="C56" s="3" t="str">
        <f t="shared" si="0"/>
        <v>01-12-2023</v>
      </c>
      <c r="D56" t="s">
        <v>51</v>
      </c>
      <c r="E56" t="s">
        <v>210</v>
      </c>
      <c r="F56" t="s">
        <v>28</v>
      </c>
      <c r="G56" t="s">
        <v>19</v>
      </c>
      <c r="H56" t="s">
        <v>99</v>
      </c>
      <c r="I56">
        <v>1</v>
      </c>
      <c r="J56">
        <v>4717</v>
      </c>
      <c r="K56" s="7">
        <v>0.1</v>
      </c>
      <c r="L56" t="s">
        <v>21</v>
      </c>
      <c r="M56" t="s">
        <v>39</v>
      </c>
      <c r="N56" t="s">
        <v>23</v>
      </c>
      <c r="P56">
        <f>VLOOKUP(Table2[[#This Row],[Product_ID]],Table1[#All],8,TRUE)</f>
        <v>700</v>
      </c>
    </row>
    <row r="57" spans="1:16" x14ac:dyDescent="0.3">
      <c r="A57" t="s">
        <v>211</v>
      </c>
      <c r="B57" s="5" t="s">
        <v>212</v>
      </c>
      <c r="C57" s="3" t="str">
        <f t="shared" si="0"/>
        <v>16-07-2023</v>
      </c>
      <c r="D57" t="s">
        <v>131</v>
      </c>
      <c r="E57" t="s">
        <v>213</v>
      </c>
      <c r="F57" t="s">
        <v>98</v>
      </c>
      <c r="G57" t="s">
        <v>29</v>
      </c>
      <c r="H57" t="s">
        <v>99</v>
      </c>
      <c r="I57">
        <v>1</v>
      </c>
      <c r="J57">
        <v>3791</v>
      </c>
      <c r="K57" s="7">
        <v>0.1</v>
      </c>
      <c r="L57" t="s">
        <v>21</v>
      </c>
      <c r="M57" t="s">
        <v>22</v>
      </c>
      <c r="N57" t="s">
        <v>23</v>
      </c>
      <c r="O57">
        <v>4.4000000000000004</v>
      </c>
      <c r="P57">
        <f>VLOOKUP(Table2[[#This Row],[Product_ID]],Table1[#All],8,TRUE)</f>
        <v>0</v>
      </c>
    </row>
    <row r="58" spans="1:16" x14ac:dyDescent="0.3">
      <c r="A58" t="s">
        <v>214</v>
      </c>
      <c r="B58" s="5" t="s">
        <v>215</v>
      </c>
      <c r="C58" s="3" t="str">
        <f t="shared" si="0"/>
        <v>17-10-2023</v>
      </c>
      <c r="D58" t="s">
        <v>16</v>
      </c>
      <c r="E58" t="s">
        <v>216</v>
      </c>
      <c r="F58" t="s">
        <v>18</v>
      </c>
      <c r="G58" t="s">
        <v>19</v>
      </c>
      <c r="H58" t="s">
        <v>20</v>
      </c>
      <c r="I58">
        <v>3</v>
      </c>
      <c r="J58">
        <v>7598</v>
      </c>
      <c r="K58" s="7">
        <v>0</v>
      </c>
      <c r="L58" t="s">
        <v>38</v>
      </c>
      <c r="M58" t="s">
        <v>39</v>
      </c>
      <c r="N58" t="s">
        <v>59</v>
      </c>
      <c r="O58">
        <v>3.3</v>
      </c>
      <c r="P58">
        <f>VLOOKUP(Table2[[#This Row],[Product_ID]],Table1[#All],8,TRUE)</f>
        <v>0</v>
      </c>
    </row>
    <row r="59" spans="1:16" x14ac:dyDescent="0.3">
      <c r="A59" t="s">
        <v>217</v>
      </c>
      <c r="B59" s="5" t="s">
        <v>218</v>
      </c>
      <c r="C59" s="3" t="str">
        <f t="shared" si="0"/>
        <v>08-06-2023</v>
      </c>
      <c r="D59" t="s">
        <v>62</v>
      </c>
      <c r="E59" t="s">
        <v>85</v>
      </c>
      <c r="F59" t="s">
        <v>98</v>
      </c>
      <c r="G59" t="s">
        <v>53</v>
      </c>
      <c r="H59" t="s">
        <v>77</v>
      </c>
      <c r="I59">
        <v>4</v>
      </c>
      <c r="J59">
        <v>5675</v>
      </c>
      <c r="K59" s="7">
        <v>0.05</v>
      </c>
      <c r="L59" t="s">
        <v>58</v>
      </c>
      <c r="M59" t="s">
        <v>39</v>
      </c>
      <c r="N59" t="s">
        <v>48</v>
      </c>
      <c r="P59">
        <f>VLOOKUP(Table2[[#This Row],[Product_ID]],Table1[#All],8,TRUE)</f>
        <v>0</v>
      </c>
    </row>
    <row r="60" spans="1:16" x14ac:dyDescent="0.3">
      <c r="A60" t="s">
        <v>219</v>
      </c>
      <c r="B60" s="5" t="s">
        <v>220</v>
      </c>
      <c r="C60" s="3" t="str">
        <f t="shared" si="0"/>
        <v>12-07-2023</v>
      </c>
      <c r="D60" t="s">
        <v>62</v>
      </c>
      <c r="E60" t="s">
        <v>187</v>
      </c>
      <c r="F60" t="s">
        <v>64</v>
      </c>
      <c r="G60" t="s">
        <v>53</v>
      </c>
      <c r="H60" t="s">
        <v>99</v>
      </c>
      <c r="I60">
        <v>4</v>
      </c>
      <c r="J60">
        <v>5371</v>
      </c>
      <c r="K60" s="7">
        <v>0.15</v>
      </c>
      <c r="L60" t="s">
        <v>21</v>
      </c>
      <c r="M60" t="s">
        <v>22</v>
      </c>
      <c r="N60" t="s">
        <v>23</v>
      </c>
      <c r="O60">
        <v>3.8</v>
      </c>
      <c r="P60">
        <f>VLOOKUP(Table2[[#This Row],[Product_ID]],Table1[#All],8,TRUE)</f>
        <v>500</v>
      </c>
    </row>
    <row r="61" spans="1:16" x14ac:dyDescent="0.3">
      <c r="A61" t="s">
        <v>221</v>
      </c>
      <c r="B61" s="5" t="s">
        <v>222</v>
      </c>
      <c r="C61" s="3" t="str">
        <f t="shared" si="0"/>
        <v>15-11-2024</v>
      </c>
      <c r="D61" t="s">
        <v>127</v>
      </c>
      <c r="E61" t="s">
        <v>223</v>
      </c>
      <c r="F61" t="s">
        <v>57</v>
      </c>
      <c r="G61" t="s">
        <v>29</v>
      </c>
      <c r="H61" t="s">
        <v>30</v>
      </c>
      <c r="I61">
        <v>3</v>
      </c>
      <c r="J61">
        <v>5426</v>
      </c>
      <c r="K61" s="7">
        <v>0.05</v>
      </c>
      <c r="L61" t="s">
        <v>21</v>
      </c>
      <c r="M61" t="s">
        <v>39</v>
      </c>
      <c r="N61" t="s">
        <v>48</v>
      </c>
      <c r="O61">
        <v>3.3</v>
      </c>
      <c r="P61">
        <f>VLOOKUP(Table2[[#This Row],[Product_ID]],Table1[#All],8,TRUE)</f>
        <v>0</v>
      </c>
    </row>
    <row r="62" spans="1:16" x14ac:dyDescent="0.3">
      <c r="A62" t="s">
        <v>224</v>
      </c>
      <c r="B62" s="5" t="s">
        <v>225</v>
      </c>
      <c r="C62" s="3" t="str">
        <f t="shared" si="0"/>
        <v>02-03-2023</v>
      </c>
      <c r="D62" t="s">
        <v>62</v>
      </c>
      <c r="E62" t="s">
        <v>226</v>
      </c>
      <c r="F62" t="s">
        <v>43</v>
      </c>
      <c r="G62" t="s">
        <v>37</v>
      </c>
      <c r="H62" t="s">
        <v>30</v>
      </c>
      <c r="I62">
        <v>5</v>
      </c>
      <c r="J62">
        <v>6735</v>
      </c>
      <c r="K62" s="7">
        <v>0.15</v>
      </c>
      <c r="L62" t="s">
        <v>38</v>
      </c>
      <c r="M62" t="s">
        <v>39</v>
      </c>
      <c r="N62" t="s">
        <v>48</v>
      </c>
      <c r="P62">
        <f>VLOOKUP(Table2[[#This Row],[Product_ID]],Table1[#All],8,TRUE)</f>
        <v>700</v>
      </c>
    </row>
    <row r="63" spans="1:16" x14ac:dyDescent="0.3">
      <c r="A63" t="s">
        <v>227</v>
      </c>
      <c r="B63" s="5" t="s">
        <v>228</v>
      </c>
      <c r="C63" s="3" t="str">
        <f t="shared" si="0"/>
        <v>06-04-2023</v>
      </c>
      <c r="D63" t="s">
        <v>35</v>
      </c>
      <c r="E63" t="s">
        <v>229</v>
      </c>
      <c r="F63" t="s">
        <v>28</v>
      </c>
      <c r="G63" t="s">
        <v>53</v>
      </c>
      <c r="H63" t="s">
        <v>77</v>
      </c>
      <c r="I63">
        <v>5</v>
      </c>
      <c r="J63">
        <v>1422</v>
      </c>
      <c r="K63" s="7">
        <v>0.2</v>
      </c>
      <c r="L63" t="s">
        <v>38</v>
      </c>
      <c r="M63" t="s">
        <v>39</v>
      </c>
      <c r="N63" t="s">
        <v>48</v>
      </c>
      <c r="P63">
        <f>VLOOKUP(Table2[[#This Row],[Product_ID]],Table1[#All],8,TRUE)</f>
        <v>500</v>
      </c>
    </row>
    <row r="64" spans="1:16" x14ac:dyDescent="0.3">
      <c r="A64" t="s">
        <v>230</v>
      </c>
      <c r="B64" s="5" t="s">
        <v>231</v>
      </c>
      <c r="C64" s="3" t="str">
        <f t="shared" si="0"/>
        <v>28-02-2023</v>
      </c>
      <c r="D64" t="s">
        <v>51</v>
      </c>
      <c r="E64" t="s">
        <v>232</v>
      </c>
      <c r="F64" t="s">
        <v>57</v>
      </c>
      <c r="G64" t="s">
        <v>29</v>
      </c>
      <c r="H64" t="s">
        <v>77</v>
      </c>
      <c r="I64">
        <v>1</v>
      </c>
      <c r="J64">
        <v>7041</v>
      </c>
      <c r="K64" s="7">
        <v>0.15</v>
      </c>
      <c r="L64" t="s">
        <v>38</v>
      </c>
      <c r="M64" t="s">
        <v>22</v>
      </c>
      <c r="N64" t="s">
        <v>59</v>
      </c>
      <c r="O64">
        <v>3.6</v>
      </c>
      <c r="P64">
        <f>VLOOKUP(Table2[[#This Row],[Product_ID]],Table1[#All],8,TRUE)</f>
        <v>0</v>
      </c>
    </row>
    <row r="65" spans="1:16" x14ac:dyDescent="0.3">
      <c r="A65" t="s">
        <v>233</v>
      </c>
      <c r="B65" s="5" t="s">
        <v>234</v>
      </c>
      <c r="C65" s="3" t="str">
        <f t="shared" si="0"/>
        <v>17-06-2024</v>
      </c>
      <c r="D65" t="s">
        <v>26</v>
      </c>
      <c r="E65" t="s">
        <v>76</v>
      </c>
      <c r="F65" t="s">
        <v>73</v>
      </c>
      <c r="G65" t="s">
        <v>53</v>
      </c>
      <c r="H65" t="s">
        <v>77</v>
      </c>
      <c r="I65">
        <v>3</v>
      </c>
      <c r="J65">
        <v>7900</v>
      </c>
      <c r="K65" s="7">
        <v>0.2</v>
      </c>
      <c r="L65" t="s">
        <v>58</v>
      </c>
      <c r="M65" t="s">
        <v>22</v>
      </c>
      <c r="N65" t="s">
        <v>32</v>
      </c>
      <c r="O65">
        <v>4.5</v>
      </c>
      <c r="P65">
        <f>VLOOKUP(Table2[[#This Row],[Product_ID]],Table1[#All],8,TRUE)</f>
        <v>1500</v>
      </c>
    </row>
    <row r="66" spans="1:16" x14ac:dyDescent="0.3">
      <c r="A66" t="s">
        <v>235</v>
      </c>
      <c r="B66" s="5" t="s">
        <v>236</v>
      </c>
      <c r="C66" s="3" t="str">
        <f t="shared" ref="C66:C129" si="1">TEXT(B66,"dd-mm-yyyy")</f>
        <v>15-04-2024</v>
      </c>
      <c r="D66" t="s">
        <v>67</v>
      </c>
      <c r="E66" t="s">
        <v>237</v>
      </c>
      <c r="F66" t="s">
        <v>98</v>
      </c>
      <c r="G66" t="s">
        <v>37</v>
      </c>
      <c r="H66" t="s">
        <v>30</v>
      </c>
      <c r="I66">
        <v>5</v>
      </c>
      <c r="J66">
        <v>3156</v>
      </c>
      <c r="K66" s="7">
        <v>0.2</v>
      </c>
      <c r="L66" t="s">
        <v>58</v>
      </c>
      <c r="M66" t="s">
        <v>39</v>
      </c>
      <c r="N66" t="s">
        <v>59</v>
      </c>
      <c r="P66">
        <f>VLOOKUP(Table2[[#This Row],[Product_ID]],Table1[#All],8,TRUE)</f>
        <v>900</v>
      </c>
    </row>
    <row r="67" spans="1:16" x14ac:dyDescent="0.3">
      <c r="A67" t="s">
        <v>238</v>
      </c>
      <c r="B67" s="5" t="s">
        <v>239</v>
      </c>
      <c r="C67" s="3" t="str">
        <f t="shared" si="1"/>
        <v>29-06-2024</v>
      </c>
      <c r="D67" t="s">
        <v>131</v>
      </c>
      <c r="E67" t="s">
        <v>240</v>
      </c>
      <c r="F67" t="s">
        <v>28</v>
      </c>
      <c r="G67" t="s">
        <v>29</v>
      </c>
      <c r="H67" t="s">
        <v>99</v>
      </c>
      <c r="I67">
        <v>1</v>
      </c>
      <c r="J67">
        <v>4102</v>
      </c>
      <c r="K67" s="7">
        <v>0.2</v>
      </c>
      <c r="L67" t="s">
        <v>31</v>
      </c>
      <c r="M67" t="s">
        <v>39</v>
      </c>
      <c r="N67" t="s">
        <v>48</v>
      </c>
      <c r="O67">
        <v>4.5999999999999996</v>
      </c>
      <c r="P67">
        <f>VLOOKUP(Table2[[#This Row],[Product_ID]],Table1[#All],8,TRUE)</f>
        <v>500</v>
      </c>
    </row>
    <row r="68" spans="1:16" x14ac:dyDescent="0.3">
      <c r="A68" t="s">
        <v>241</v>
      </c>
      <c r="B68" s="5" t="s">
        <v>218</v>
      </c>
      <c r="C68" s="3" t="str">
        <f t="shared" si="1"/>
        <v>08-06-2023</v>
      </c>
      <c r="D68" t="s">
        <v>96</v>
      </c>
      <c r="E68" t="s">
        <v>63</v>
      </c>
      <c r="F68" t="s">
        <v>57</v>
      </c>
      <c r="G68" t="s">
        <v>29</v>
      </c>
      <c r="H68" t="s">
        <v>77</v>
      </c>
      <c r="I68">
        <v>2</v>
      </c>
      <c r="J68">
        <v>1923</v>
      </c>
      <c r="K68" s="7">
        <v>0.2</v>
      </c>
      <c r="L68" t="s">
        <v>31</v>
      </c>
      <c r="M68" t="s">
        <v>22</v>
      </c>
      <c r="N68" t="s">
        <v>23</v>
      </c>
      <c r="O68">
        <v>5</v>
      </c>
      <c r="P68">
        <f>VLOOKUP(Table2[[#This Row],[Product_ID]],Table1[#All],8,TRUE)</f>
        <v>500</v>
      </c>
    </row>
    <row r="69" spans="1:16" x14ac:dyDescent="0.3">
      <c r="A69" t="s">
        <v>242</v>
      </c>
      <c r="B69" s="5" t="s">
        <v>243</v>
      </c>
      <c r="C69" s="3" t="str">
        <f t="shared" si="1"/>
        <v>25-05-2023</v>
      </c>
      <c r="D69" t="s">
        <v>84</v>
      </c>
      <c r="E69" t="s">
        <v>244</v>
      </c>
      <c r="F69" t="s">
        <v>18</v>
      </c>
      <c r="G69" t="s">
        <v>19</v>
      </c>
      <c r="H69" t="s">
        <v>77</v>
      </c>
      <c r="I69">
        <v>3</v>
      </c>
      <c r="J69">
        <v>9252</v>
      </c>
      <c r="K69" s="7">
        <v>0.15</v>
      </c>
      <c r="L69" t="s">
        <v>38</v>
      </c>
      <c r="M69" t="s">
        <v>39</v>
      </c>
      <c r="N69" t="s">
        <v>23</v>
      </c>
      <c r="P69">
        <f>VLOOKUP(Table2[[#This Row],[Product_ID]],Table1[#All],8,TRUE)</f>
        <v>900</v>
      </c>
    </row>
    <row r="70" spans="1:16" x14ac:dyDescent="0.3">
      <c r="A70" t="s">
        <v>245</v>
      </c>
      <c r="B70" s="5" t="s">
        <v>246</v>
      </c>
      <c r="C70" s="3" t="str">
        <f t="shared" si="1"/>
        <v>27-01-2023</v>
      </c>
      <c r="D70" t="s">
        <v>127</v>
      </c>
      <c r="E70" t="s">
        <v>247</v>
      </c>
      <c r="F70" t="s">
        <v>18</v>
      </c>
      <c r="G70" t="s">
        <v>29</v>
      </c>
      <c r="H70" t="s">
        <v>20</v>
      </c>
      <c r="I70">
        <v>5</v>
      </c>
      <c r="J70">
        <v>5086</v>
      </c>
      <c r="K70" s="7">
        <v>0.05</v>
      </c>
      <c r="L70" t="s">
        <v>38</v>
      </c>
      <c r="M70" t="s">
        <v>39</v>
      </c>
      <c r="N70" t="s">
        <v>59</v>
      </c>
      <c r="O70">
        <v>4.5</v>
      </c>
      <c r="P70">
        <f>VLOOKUP(Table2[[#This Row],[Product_ID]],Table1[#All],8,TRUE)</f>
        <v>1500</v>
      </c>
    </row>
    <row r="71" spans="1:16" x14ac:dyDescent="0.3">
      <c r="A71" t="s">
        <v>248</v>
      </c>
      <c r="B71" s="5" t="s">
        <v>249</v>
      </c>
      <c r="C71" s="3" t="str">
        <f t="shared" si="1"/>
        <v>18-04-2023</v>
      </c>
      <c r="D71" t="s">
        <v>16</v>
      </c>
      <c r="E71" t="s">
        <v>250</v>
      </c>
      <c r="F71" t="s">
        <v>73</v>
      </c>
      <c r="G71" t="s">
        <v>37</v>
      </c>
      <c r="H71" t="s">
        <v>77</v>
      </c>
      <c r="I71">
        <v>3</v>
      </c>
      <c r="J71">
        <v>5795</v>
      </c>
      <c r="K71" s="7">
        <v>0.2</v>
      </c>
      <c r="L71" t="s">
        <v>21</v>
      </c>
      <c r="M71" t="s">
        <v>22</v>
      </c>
      <c r="N71" t="s">
        <v>59</v>
      </c>
      <c r="P71">
        <f>VLOOKUP(Table2[[#This Row],[Product_ID]],Table1[#All],8,TRUE)</f>
        <v>1200</v>
      </c>
    </row>
    <row r="72" spans="1:16" x14ac:dyDescent="0.3">
      <c r="A72" t="s">
        <v>251</v>
      </c>
      <c r="B72" s="5" t="s">
        <v>252</v>
      </c>
      <c r="C72" s="3" t="str">
        <f t="shared" si="1"/>
        <v>24-10-2023</v>
      </c>
      <c r="D72" t="s">
        <v>71</v>
      </c>
      <c r="E72" t="s">
        <v>253</v>
      </c>
      <c r="F72" t="s">
        <v>57</v>
      </c>
      <c r="G72" t="s">
        <v>29</v>
      </c>
      <c r="H72" t="s">
        <v>99</v>
      </c>
      <c r="I72">
        <v>3</v>
      </c>
      <c r="J72">
        <v>8334</v>
      </c>
      <c r="K72" s="7">
        <v>0.15</v>
      </c>
      <c r="L72" t="s">
        <v>58</v>
      </c>
      <c r="M72" t="s">
        <v>39</v>
      </c>
      <c r="N72" t="s">
        <v>48</v>
      </c>
      <c r="P72">
        <f>VLOOKUP(Table2[[#This Row],[Product_ID]],Table1[#All],8,TRUE)</f>
        <v>0</v>
      </c>
    </row>
    <row r="73" spans="1:16" x14ac:dyDescent="0.3">
      <c r="A73" t="s">
        <v>254</v>
      </c>
      <c r="B73" s="5" t="s">
        <v>255</v>
      </c>
      <c r="C73" s="3" t="str">
        <f t="shared" si="1"/>
        <v>27-05-2023</v>
      </c>
      <c r="D73" t="s">
        <v>131</v>
      </c>
      <c r="E73" t="s">
        <v>256</v>
      </c>
      <c r="F73" t="s">
        <v>98</v>
      </c>
      <c r="G73" t="s">
        <v>37</v>
      </c>
      <c r="H73" t="s">
        <v>99</v>
      </c>
      <c r="I73">
        <v>4</v>
      </c>
      <c r="J73">
        <v>5537</v>
      </c>
      <c r="K73" s="7">
        <v>0</v>
      </c>
      <c r="L73" t="s">
        <v>31</v>
      </c>
      <c r="M73" t="s">
        <v>22</v>
      </c>
      <c r="N73" t="s">
        <v>23</v>
      </c>
      <c r="O73">
        <v>4.0999999999999996</v>
      </c>
      <c r="P73">
        <f>VLOOKUP(Table2[[#This Row],[Product_ID]],Table1[#All],8,TRUE)</f>
        <v>0</v>
      </c>
    </row>
    <row r="74" spans="1:16" x14ac:dyDescent="0.3">
      <c r="A74" t="s">
        <v>257</v>
      </c>
      <c r="B74" s="5" t="s">
        <v>258</v>
      </c>
      <c r="C74" s="3" t="str">
        <f t="shared" si="1"/>
        <v>09-05-2023</v>
      </c>
      <c r="D74" t="s">
        <v>26</v>
      </c>
      <c r="E74" t="s">
        <v>259</v>
      </c>
      <c r="F74" t="s">
        <v>64</v>
      </c>
      <c r="G74" t="s">
        <v>29</v>
      </c>
      <c r="H74" t="s">
        <v>77</v>
      </c>
      <c r="I74">
        <v>2</v>
      </c>
      <c r="J74">
        <v>5336</v>
      </c>
      <c r="K74" s="7">
        <v>0.1</v>
      </c>
      <c r="L74" t="s">
        <v>21</v>
      </c>
      <c r="M74" t="s">
        <v>22</v>
      </c>
      <c r="N74" t="s">
        <v>32</v>
      </c>
      <c r="P74">
        <f>VLOOKUP(Table2[[#This Row],[Product_ID]],Table1[#All],8,TRUE)</f>
        <v>0</v>
      </c>
    </row>
    <row r="75" spans="1:16" x14ac:dyDescent="0.3">
      <c r="A75" t="s">
        <v>260</v>
      </c>
      <c r="B75" s="5" t="s">
        <v>261</v>
      </c>
      <c r="C75" s="3" t="str">
        <f t="shared" si="1"/>
        <v>09-11-2023</v>
      </c>
      <c r="D75" t="s">
        <v>114</v>
      </c>
      <c r="E75" t="s">
        <v>253</v>
      </c>
      <c r="F75" t="s">
        <v>98</v>
      </c>
      <c r="G75" t="s">
        <v>53</v>
      </c>
      <c r="H75" t="s">
        <v>99</v>
      </c>
      <c r="I75">
        <v>3</v>
      </c>
      <c r="J75">
        <v>6373</v>
      </c>
      <c r="K75" s="7">
        <v>0.2</v>
      </c>
      <c r="L75" t="s">
        <v>31</v>
      </c>
      <c r="M75" t="s">
        <v>39</v>
      </c>
      <c r="N75" t="s">
        <v>32</v>
      </c>
      <c r="P75">
        <f>VLOOKUP(Table2[[#This Row],[Product_ID]],Table1[#All],8,TRUE)</f>
        <v>0</v>
      </c>
    </row>
    <row r="76" spans="1:16" x14ac:dyDescent="0.3">
      <c r="A76" t="s">
        <v>119</v>
      </c>
      <c r="B76" s="5" t="s">
        <v>262</v>
      </c>
      <c r="C76" s="3" t="str">
        <f t="shared" si="1"/>
        <v>23-02-2024</v>
      </c>
      <c r="D76" t="s">
        <v>35</v>
      </c>
      <c r="E76" t="s">
        <v>263</v>
      </c>
      <c r="F76" t="s">
        <v>98</v>
      </c>
      <c r="G76" t="s">
        <v>29</v>
      </c>
      <c r="H76" t="s">
        <v>99</v>
      </c>
      <c r="I76">
        <v>5</v>
      </c>
      <c r="J76">
        <v>2804</v>
      </c>
      <c r="K76" s="7">
        <v>0</v>
      </c>
      <c r="L76" t="s">
        <v>31</v>
      </c>
      <c r="M76" t="s">
        <v>39</v>
      </c>
      <c r="N76" t="s">
        <v>59</v>
      </c>
      <c r="P76">
        <f>VLOOKUP(Table2[[#This Row],[Product_ID]],Table1[#All],8,TRUE)</f>
        <v>1500</v>
      </c>
    </row>
    <row r="77" spans="1:16" x14ac:dyDescent="0.3">
      <c r="A77" t="s">
        <v>264</v>
      </c>
      <c r="B77" s="5" t="s">
        <v>265</v>
      </c>
      <c r="C77" s="3" t="str">
        <f t="shared" si="1"/>
        <v>24-02-2023</v>
      </c>
      <c r="D77" t="s">
        <v>96</v>
      </c>
      <c r="E77" t="s">
        <v>266</v>
      </c>
      <c r="F77" t="s">
        <v>43</v>
      </c>
      <c r="G77" t="s">
        <v>19</v>
      </c>
      <c r="H77" t="s">
        <v>30</v>
      </c>
      <c r="I77">
        <v>1</v>
      </c>
      <c r="J77">
        <v>6006</v>
      </c>
      <c r="K77" s="7">
        <v>0</v>
      </c>
      <c r="L77" t="s">
        <v>38</v>
      </c>
      <c r="M77" t="s">
        <v>22</v>
      </c>
      <c r="N77" t="s">
        <v>59</v>
      </c>
      <c r="P77">
        <f>VLOOKUP(Table2[[#This Row],[Product_ID]],Table1[#All],8,TRUE)</f>
        <v>1200</v>
      </c>
    </row>
    <row r="78" spans="1:16" x14ac:dyDescent="0.3">
      <c r="A78" t="s">
        <v>267</v>
      </c>
      <c r="B78" s="5" t="s">
        <v>268</v>
      </c>
      <c r="C78" s="3" t="str">
        <f t="shared" si="1"/>
        <v>03-08-2023</v>
      </c>
      <c r="D78" t="s">
        <v>16</v>
      </c>
      <c r="E78" t="s">
        <v>269</v>
      </c>
      <c r="F78" t="s">
        <v>18</v>
      </c>
      <c r="G78" t="s">
        <v>53</v>
      </c>
      <c r="H78" t="s">
        <v>99</v>
      </c>
      <c r="I78">
        <v>2</v>
      </c>
      <c r="J78">
        <v>9292</v>
      </c>
      <c r="K78" s="7">
        <v>0</v>
      </c>
      <c r="L78" t="s">
        <v>38</v>
      </c>
      <c r="M78" t="s">
        <v>22</v>
      </c>
      <c r="N78" t="s">
        <v>32</v>
      </c>
      <c r="O78">
        <v>4.7</v>
      </c>
      <c r="P78">
        <f>VLOOKUP(Table2[[#This Row],[Product_ID]],Table1[#All],8,TRUE)</f>
        <v>0</v>
      </c>
    </row>
    <row r="79" spans="1:16" x14ac:dyDescent="0.3">
      <c r="A79" t="s">
        <v>251</v>
      </c>
      <c r="B79" s="5" t="s">
        <v>200</v>
      </c>
      <c r="C79" s="3" t="str">
        <f t="shared" si="1"/>
        <v>22-09-2023</v>
      </c>
      <c r="D79" t="s">
        <v>131</v>
      </c>
      <c r="E79" t="s">
        <v>270</v>
      </c>
      <c r="F79" t="s">
        <v>98</v>
      </c>
      <c r="G79" t="s">
        <v>53</v>
      </c>
      <c r="H79" t="s">
        <v>77</v>
      </c>
      <c r="I79">
        <v>2</v>
      </c>
      <c r="J79">
        <v>3123</v>
      </c>
      <c r="K79" s="7">
        <v>0.2</v>
      </c>
      <c r="L79" t="s">
        <v>21</v>
      </c>
      <c r="M79" t="s">
        <v>39</v>
      </c>
      <c r="N79" t="s">
        <v>32</v>
      </c>
      <c r="O79">
        <v>3.2</v>
      </c>
      <c r="P79">
        <f>VLOOKUP(Table2[[#This Row],[Product_ID]],Table1[#All],8,TRUE)</f>
        <v>500</v>
      </c>
    </row>
    <row r="80" spans="1:16" x14ac:dyDescent="0.3">
      <c r="A80" t="s">
        <v>271</v>
      </c>
      <c r="B80" s="5" t="s">
        <v>272</v>
      </c>
      <c r="C80" s="3" t="str">
        <f t="shared" si="1"/>
        <v>18-12-2023</v>
      </c>
      <c r="D80" t="s">
        <v>51</v>
      </c>
      <c r="E80" t="s">
        <v>273</v>
      </c>
      <c r="F80" t="s">
        <v>28</v>
      </c>
      <c r="G80" t="s">
        <v>53</v>
      </c>
      <c r="H80" t="s">
        <v>99</v>
      </c>
      <c r="I80">
        <v>3</v>
      </c>
      <c r="J80">
        <v>3079</v>
      </c>
      <c r="K80" s="7">
        <v>0.05</v>
      </c>
      <c r="L80" t="s">
        <v>21</v>
      </c>
      <c r="M80" t="s">
        <v>39</v>
      </c>
      <c r="N80" t="s">
        <v>48</v>
      </c>
      <c r="O80">
        <v>4.7</v>
      </c>
      <c r="P80">
        <f>VLOOKUP(Table2[[#This Row],[Product_ID]],Table1[#All],8,TRUE)</f>
        <v>700</v>
      </c>
    </row>
    <row r="81" spans="1:16" x14ac:dyDescent="0.3">
      <c r="A81" t="s">
        <v>274</v>
      </c>
      <c r="B81" s="5" t="s">
        <v>275</v>
      </c>
      <c r="C81" s="3" t="str">
        <f t="shared" si="1"/>
        <v>08-01-2023</v>
      </c>
      <c r="D81" t="s">
        <v>35</v>
      </c>
      <c r="E81" t="s">
        <v>244</v>
      </c>
      <c r="F81" t="s">
        <v>43</v>
      </c>
      <c r="G81" t="s">
        <v>53</v>
      </c>
      <c r="H81" t="s">
        <v>20</v>
      </c>
      <c r="I81">
        <v>1</v>
      </c>
      <c r="J81">
        <v>2445</v>
      </c>
      <c r="K81" s="7">
        <v>0</v>
      </c>
      <c r="L81" t="s">
        <v>38</v>
      </c>
      <c r="M81" t="s">
        <v>39</v>
      </c>
      <c r="N81" t="s">
        <v>23</v>
      </c>
      <c r="O81">
        <v>3.8</v>
      </c>
      <c r="P81">
        <f>VLOOKUP(Table2[[#This Row],[Product_ID]],Table1[#All],8,TRUE)</f>
        <v>900</v>
      </c>
    </row>
    <row r="82" spans="1:16" x14ac:dyDescent="0.3">
      <c r="A82" t="s">
        <v>276</v>
      </c>
      <c r="B82" s="5" t="s">
        <v>277</v>
      </c>
      <c r="C82" s="3" t="str">
        <f t="shared" si="1"/>
        <v>01-04-2024</v>
      </c>
      <c r="D82" t="s">
        <v>46</v>
      </c>
      <c r="E82" t="s">
        <v>278</v>
      </c>
      <c r="F82" t="s">
        <v>57</v>
      </c>
      <c r="G82" t="s">
        <v>19</v>
      </c>
      <c r="H82" t="s">
        <v>20</v>
      </c>
      <c r="I82">
        <v>3</v>
      </c>
      <c r="J82">
        <v>4806</v>
      </c>
      <c r="K82" s="7">
        <v>0</v>
      </c>
      <c r="L82" t="s">
        <v>31</v>
      </c>
      <c r="M82" t="s">
        <v>22</v>
      </c>
      <c r="N82" t="s">
        <v>48</v>
      </c>
      <c r="P82">
        <f>VLOOKUP(Table2[[#This Row],[Product_ID]],Table1[#All],8,TRUE)</f>
        <v>1200</v>
      </c>
    </row>
    <row r="83" spans="1:16" x14ac:dyDescent="0.3">
      <c r="A83" t="s">
        <v>279</v>
      </c>
      <c r="B83" s="5" t="s">
        <v>280</v>
      </c>
      <c r="C83" s="3" t="str">
        <f t="shared" si="1"/>
        <v>17-12-2024</v>
      </c>
      <c r="D83" t="s">
        <v>46</v>
      </c>
      <c r="E83" t="s">
        <v>281</v>
      </c>
      <c r="F83" t="s">
        <v>64</v>
      </c>
      <c r="G83" t="s">
        <v>19</v>
      </c>
      <c r="H83" t="s">
        <v>77</v>
      </c>
      <c r="I83">
        <v>1</v>
      </c>
      <c r="J83">
        <v>7531</v>
      </c>
      <c r="K83" s="7">
        <v>0.15</v>
      </c>
      <c r="L83" t="s">
        <v>38</v>
      </c>
      <c r="M83" t="s">
        <v>22</v>
      </c>
      <c r="N83" t="s">
        <v>32</v>
      </c>
      <c r="O83">
        <v>4.8</v>
      </c>
      <c r="P83">
        <f>VLOOKUP(Table2[[#This Row],[Product_ID]],Table1[#All],8,TRUE)</f>
        <v>1200</v>
      </c>
    </row>
    <row r="84" spans="1:16" x14ac:dyDescent="0.3">
      <c r="A84" t="s">
        <v>282</v>
      </c>
      <c r="B84" s="5" t="s">
        <v>283</v>
      </c>
      <c r="C84" s="3" t="str">
        <f t="shared" si="1"/>
        <v>15-04-2023</v>
      </c>
      <c r="D84" t="s">
        <v>96</v>
      </c>
      <c r="E84" t="s">
        <v>178</v>
      </c>
      <c r="F84" t="s">
        <v>28</v>
      </c>
      <c r="G84" t="s">
        <v>19</v>
      </c>
      <c r="H84" t="s">
        <v>77</v>
      </c>
      <c r="I84">
        <v>1</v>
      </c>
      <c r="J84">
        <v>2774</v>
      </c>
      <c r="K84" s="7">
        <v>0</v>
      </c>
      <c r="L84" t="s">
        <v>21</v>
      </c>
      <c r="M84" t="s">
        <v>22</v>
      </c>
      <c r="N84" t="s">
        <v>48</v>
      </c>
      <c r="O84">
        <v>3</v>
      </c>
      <c r="P84">
        <f>VLOOKUP(Table2[[#This Row],[Product_ID]],Table1[#All],8,TRUE)</f>
        <v>1200</v>
      </c>
    </row>
    <row r="85" spans="1:16" x14ac:dyDescent="0.3">
      <c r="A85" t="s">
        <v>284</v>
      </c>
      <c r="B85" s="5" t="s">
        <v>285</v>
      </c>
      <c r="C85" s="3" t="str">
        <f t="shared" si="1"/>
        <v>11-10-2024</v>
      </c>
      <c r="D85" t="s">
        <v>67</v>
      </c>
      <c r="E85" t="s">
        <v>286</v>
      </c>
      <c r="F85" t="s">
        <v>43</v>
      </c>
      <c r="G85" t="s">
        <v>19</v>
      </c>
      <c r="H85" t="s">
        <v>30</v>
      </c>
      <c r="I85">
        <v>2</v>
      </c>
      <c r="J85">
        <v>5184</v>
      </c>
      <c r="K85" s="7">
        <v>0.15</v>
      </c>
      <c r="L85" t="s">
        <v>21</v>
      </c>
      <c r="M85" t="s">
        <v>22</v>
      </c>
      <c r="N85" t="s">
        <v>23</v>
      </c>
      <c r="O85">
        <v>3.1</v>
      </c>
      <c r="P85">
        <f>VLOOKUP(Table2[[#This Row],[Product_ID]],Table1[#All],8,TRUE)</f>
        <v>0</v>
      </c>
    </row>
    <row r="86" spans="1:16" x14ac:dyDescent="0.3">
      <c r="A86" t="s">
        <v>287</v>
      </c>
      <c r="B86" s="5" t="s">
        <v>288</v>
      </c>
      <c r="C86" s="3" t="str">
        <f t="shared" si="1"/>
        <v>26-01-2023</v>
      </c>
      <c r="D86" t="s">
        <v>26</v>
      </c>
      <c r="E86" t="s">
        <v>216</v>
      </c>
      <c r="F86" t="s">
        <v>64</v>
      </c>
      <c r="G86" t="s">
        <v>29</v>
      </c>
      <c r="H86" t="s">
        <v>77</v>
      </c>
      <c r="I86">
        <v>4</v>
      </c>
      <c r="J86">
        <v>7932</v>
      </c>
      <c r="K86" s="7">
        <v>0.05</v>
      </c>
      <c r="L86" t="s">
        <v>21</v>
      </c>
      <c r="M86" t="s">
        <v>22</v>
      </c>
      <c r="N86" t="s">
        <v>32</v>
      </c>
      <c r="P86">
        <f>VLOOKUP(Table2[[#This Row],[Product_ID]],Table1[#All],8,TRUE)</f>
        <v>0</v>
      </c>
    </row>
    <row r="87" spans="1:16" x14ac:dyDescent="0.3">
      <c r="A87" t="s">
        <v>289</v>
      </c>
      <c r="B87" s="5" t="s">
        <v>290</v>
      </c>
      <c r="C87" s="3" t="str">
        <f t="shared" si="1"/>
        <v>17-04-2024</v>
      </c>
      <c r="D87" t="s">
        <v>131</v>
      </c>
      <c r="E87" t="s">
        <v>201</v>
      </c>
      <c r="F87" t="s">
        <v>57</v>
      </c>
      <c r="G87" t="s">
        <v>53</v>
      </c>
      <c r="H87" t="s">
        <v>77</v>
      </c>
      <c r="I87">
        <v>5</v>
      </c>
      <c r="J87">
        <v>9335</v>
      </c>
      <c r="K87" s="7">
        <v>0.05</v>
      </c>
      <c r="L87" t="s">
        <v>21</v>
      </c>
      <c r="M87" t="s">
        <v>22</v>
      </c>
      <c r="N87" t="s">
        <v>59</v>
      </c>
      <c r="O87">
        <v>3.5</v>
      </c>
      <c r="P87">
        <f>VLOOKUP(Table2[[#This Row],[Product_ID]],Table1[#All],8,TRUE)</f>
        <v>1200</v>
      </c>
    </row>
    <row r="88" spans="1:16" x14ac:dyDescent="0.3">
      <c r="A88" t="s">
        <v>291</v>
      </c>
      <c r="B88" s="5" t="s">
        <v>292</v>
      </c>
      <c r="C88" s="3" t="str">
        <f t="shared" si="1"/>
        <v>25-07-2023</v>
      </c>
      <c r="D88" t="s">
        <v>114</v>
      </c>
      <c r="E88" t="s">
        <v>146</v>
      </c>
      <c r="F88" t="s">
        <v>43</v>
      </c>
      <c r="G88" t="s">
        <v>53</v>
      </c>
      <c r="H88" t="s">
        <v>20</v>
      </c>
      <c r="I88">
        <v>2</v>
      </c>
      <c r="J88">
        <v>5998</v>
      </c>
      <c r="K88" s="7">
        <v>0.15</v>
      </c>
      <c r="L88" t="s">
        <v>31</v>
      </c>
      <c r="M88" t="s">
        <v>22</v>
      </c>
      <c r="N88" t="s">
        <v>23</v>
      </c>
      <c r="O88">
        <v>3.1</v>
      </c>
      <c r="P88">
        <f>VLOOKUP(Table2[[#This Row],[Product_ID]],Table1[#All],8,TRUE)</f>
        <v>0</v>
      </c>
    </row>
    <row r="89" spans="1:16" x14ac:dyDescent="0.3">
      <c r="A89" t="s">
        <v>293</v>
      </c>
      <c r="B89" s="5" t="s">
        <v>294</v>
      </c>
      <c r="C89" s="3" t="str">
        <f t="shared" si="1"/>
        <v>24-06-2024</v>
      </c>
      <c r="D89" t="s">
        <v>35</v>
      </c>
      <c r="E89" t="s">
        <v>295</v>
      </c>
      <c r="F89" t="s">
        <v>64</v>
      </c>
      <c r="G89" t="s">
        <v>29</v>
      </c>
      <c r="H89" t="s">
        <v>99</v>
      </c>
      <c r="I89">
        <v>3</v>
      </c>
      <c r="J89">
        <v>9835</v>
      </c>
      <c r="K89" s="7">
        <v>0.1</v>
      </c>
      <c r="L89" t="s">
        <v>58</v>
      </c>
      <c r="M89" t="s">
        <v>39</v>
      </c>
      <c r="N89" t="s">
        <v>48</v>
      </c>
      <c r="O89">
        <v>4.5</v>
      </c>
      <c r="P89">
        <f>VLOOKUP(Table2[[#This Row],[Product_ID]],Table1[#All],8,TRUE)</f>
        <v>1500</v>
      </c>
    </row>
    <row r="90" spans="1:16" x14ac:dyDescent="0.3">
      <c r="A90" t="s">
        <v>296</v>
      </c>
      <c r="B90" s="5" t="s">
        <v>297</v>
      </c>
      <c r="C90" s="3" t="str">
        <f t="shared" si="1"/>
        <v>25-04-2023</v>
      </c>
      <c r="D90" t="s">
        <v>80</v>
      </c>
      <c r="E90" t="s">
        <v>138</v>
      </c>
      <c r="F90" t="s">
        <v>98</v>
      </c>
      <c r="G90" t="s">
        <v>29</v>
      </c>
      <c r="H90" t="s">
        <v>77</v>
      </c>
      <c r="I90">
        <v>5</v>
      </c>
      <c r="J90">
        <v>2526</v>
      </c>
      <c r="K90" s="7">
        <v>0.05</v>
      </c>
      <c r="L90" t="s">
        <v>31</v>
      </c>
      <c r="M90" t="s">
        <v>22</v>
      </c>
      <c r="N90" t="s">
        <v>23</v>
      </c>
      <c r="P90">
        <f>VLOOKUP(Table2[[#This Row],[Product_ID]],Table1[#All],8,TRUE)</f>
        <v>1200</v>
      </c>
    </row>
    <row r="91" spans="1:16" x14ac:dyDescent="0.3">
      <c r="A91" t="s">
        <v>298</v>
      </c>
      <c r="B91" s="5" t="s">
        <v>299</v>
      </c>
      <c r="C91" s="3" t="str">
        <f t="shared" si="1"/>
        <v>12-05-2023</v>
      </c>
      <c r="D91" t="s">
        <v>131</v>
      </c>
      <c r="E91" t="s">
        <v>300</v>
      </c>
      <c r="F91" t="s">
        <v>98</v>
      </c>
      <c r="G91" t="s">
        <v>29</v>
      </c>
      <c r="H91" t="s">
        <v>99</v>
      </c>
      <c r="I91">
        <v>3</v>
      </c>
      <c r="J91">
        <v>8533</v>
      </c>
      <c r="K91" s="7">
        <v>0.05</v>
      </c>
      <c r="L91" t="s">
        <v>21</v>
      </c>
      <c r="M91" t="s">
        <v>22</v>
      </c>
      <c r="N91" t="s">
        <v>48</v>
      </c>
      <c r="O91">
        <v>4.0999999999999996</v>
      </c>
      <c r="P91">
        <f>VLOOKUP(Table2[[#This Row],[Product_ID]],Table1[#All],8,TRUE)</f>
        <v>500</v>
      </c>
    </row>
    <row r="92" spans="1:16" x14ac:dyDescent="0.3">
      <c r="A92" t="s">
        <v>301</v>
      </c>
      <c r="B92" s="5" t="s">
        <v>302</v>
      </c>
      <c r="C92" s="3" t="str">
        <f t="shared" si="1"/>
        <v>24-06-2024</v>
      </c>
      <c r="D92" t="s">
        <v>84</v>
      </c>
      <c r="E92" t="s">
        <v>303</v>
      </c>
      <c r="F92" t="s">
        <v>18</v>
      </c>
      <c r="G92" t="s">
        <v>19</v>
      </c>
      <c r="H92" t="s">
        <v>20</v>
      </c>
      <c r="I92">
        <v>1</v>
      </c>
      <c r="J92">
        <v>6335</v>
      </c>
      <c r="K92" s="7">
        <v>0.2</v>
      </c>
      <c r="L92" t="s">
        <v>58</v>
      </c>
      <c r="M92" t="s">
        <v>39</v>
      </c>
      <c r="N92" t="s">
        <v>23</v>
      </c>
      <c r="P92">
        <f>VLOOKUP(Table2[[#This Row],[Product_ID]],Table1[#All],8,TRUE)</f>
        <v>1500</v>
      </c>
    </row>
    <row r="93" spans="1:16" x14ac:dyDescent="0.3">
      <c r="A93" t="s">
        <v>304</v>
      </c>
      <c r="B93" s="5" t="s">
        <v>305</v>
      </c>
      <c r="C93" s="3" t="str">
        <f t="shared" si="1"/>
        <v>05-05-2023</v>
      </c>
      <c r="D93" t="s">
        <v>35</v>
      </c>
      <c r="E93" t="s">
        <v>306</v>
      </c>
      <c r="F93" t="s">
        <v>73</v>
      </c>
      <c r="G93" t="s">
        <v>37</v>
      </c>
      <c r="H93" t="s">
        <v>30</v>
      </c>
      <c r="I93">
        <v>2</v>
      </c>
      <c r="J93">
        <v>1857</v>
      </c>
      <c r="K93" s="7">
        <v>0.05</v>
      </c>
      <c r="L93" t="s">
        <v>38</v>
      </c>
      <c r="M93" t="s">
        <v>22</v>
      </c>
      <c r="N93" t="s">
        <v>23</v>
      </c>
      <c r="P93">
        <f>VLOOKUP(Table2[[#This Row],[Product_ID]],Table1[#All],8,TRUE)</f>
        <v>700</v>
      </c>
    </row>
    <row r="94" spans="1:16" x14ac:dyDescent="0.3">
      <c r="A94" t="s">
        <v>307</v>
      </c>
      <c r="B94" s="5" t="s">
        <v>308</v>
      </c>
      <c r="C94" s="3" t="str">
        <f t="shared" si="1"/>
        <v>31-12-2023</v>
      </c>
      <c r="D94" t="s">
        <v>51</v>
      </c>
      <c r="E94" t="s">
        <v>309</v>
      </c>
      <c r="F94" t="s">
        <v>28</v>
      </c>
      <c r="G94" t="s">
        <v>19</v>
      </c>
      <c r="H94" t="s">
        <v>20</v>
      </c>
      <c r="I94">
        <v>2</v>
      </c>
      <c r="J94">
        <v>8453</v>
      </c>
      <c r="K94" s="7">
        <v>0.1</v>
      </c>
      <c r="L94" t="s">
        <v>38</v>
      </c>
      <c r="M94" t="s">
        <v>22</v>
      </c>
      <c r="N94" t="s">
        <v>48</v>
      </c>
      <c r="O94">
        <v>4.2</v>
      </c>
      <c r="P94">
        <f>VLOOKUP(Table2[[#This Row],[Product_ID]],Table1[#All],8,TRUE)</f>
        <v>700</v>
      </c>
    </row>
    <row r="95" spans="1:16" x14ac:dyDescent="0.3">
      <c r="A95" t="s">
        <v>310</v>
      </c>
      <c r="B95" s="5" t="s">
        <v>311</v>
      </c>
      <c r="C95" s="3" t="str">
        <f t="shared" si="1"/>
        <v>02-04-2024</v>
      </c>
      <c r="D95" t="s">
        <v>91</v>
      </c>
      <c r="E95" t="s">
        <v>72</v>
      </c>
      <c r="F95" t="s">
        <v>57</v>
      </c>
      <c r="G95" t="s">
        <v>19</v>
      </c>
      <c r="H95" t="s">
        <v>77</v>
      </c>
      <c r="I95">
        <v>2</v>
      </c>
      <c r="J95">
        <v>3228</v>
      </c>
      <c r="K95" s="7">
        <v>0.05</v>
      </c>
      <c r="L95" t="s">
        <v>58</v>
      </c>
      <c r="M95" t="s">
        <v>39</v>
      </c>
      <c r="N95" t="s">
        <v>48</v>
      </c>
      <c r="P95">
        <f>VLOOKUP(Table2[[#This Row],[Product_ID]],Table1[#All],8,TRUE)</f>
        <v>0</v>
      </c>
    </row>
    <row r="96" spans="1:16" x14ac:dyDescent="0.3">
      <c r="A96" t="s">
        <v>312</v>
      </c>
      <c r="B96" s="5" t="s">
        <v>313</v>
      </c>
      <c r="C96" s="3" t="str">
        <f t="shared" si="1"/>
        <v>09-03-2023</v>
      </c>
      <c r="D96" t="s">
        <v>71</v>
      </c>
      <c r="E96" t="s">
        <v>314</v>
      </c>
      <c r="F96" t="s">
        <v>43</v>
      </c>
      <c r="G96" t="s">
        <v>53</v>
      </c>
      <c r="H96" t="s">
        <v>30</v>
      </c>
      <c r="I96">
        <v>2</v>
      </c>
      <c r="J96">
        <v>3164</v>
      </c>
      <c r="K96" s="7">
        <v>0.1</v>
      </c>
      <c r="L96" t="s">
        <v>58</v>
      </c>
      <c r="M96" t="s">
        <v>22</v>
      </c>
      <c r="N96" t="s">
        <v>48</v>
      </c>
      <c r="P96">
        <f>VLOOKUP(Table2[[#This Row],[Product_ID]],Table1[#All],8,TRUE)</f>
        <v>500</v>
      </c>
    </row>
    <row r="97" spans="1:16" x14ac:dyDescent="0.3">
      <c r="A97" t="s">
        <v>315</v>
      </c>
      <c r="B97" s="5" t="s">
        <v>316</v>
      </c>
      <c r="C97" s="3" t="str">
        <f t="shared" si="1"/>
        <v>16-08-2023</v>
      </c>
      <c r="D97" t="s">
        <v>131</v>
      </c>
      <c r="E97" t="s">
        <v>169</v>
      </c>
      <c r="F97" t="s">
        <v>18</v>
      </c>
      <c r="G97" t="s">
        <v>53</v>
      </c>
      <c r="H97" t="s">
        <v>77</v>
      </c>
      <c r="I97">
        <v>4</v>
      </c>
      <c r="J97">
        <v>4511</v>
      </c>
      <c r="K97" s="7">
        <v>0.1</v>
      </c>
      <c r="L97" t="s">
        <v>38</v>
      </c>
      <c r="M97" t="s">
        <v>39</v>
      </c>
      <c r="N97" t="s">
        <v>23</v>
      </c>
      <c r="O97">
        <v>3.5</v>
      </c>
      <c r="P97">
        <f>VLOOKUP(Table2[[#This Row],[Product_ID]],Table1[#All],8,TRUE)</f>
        <v>1500</v>
      </c>
    </row>
    <row r="98" spans="1:16" x14ac:dyDescent="0.3">
      <c r="A98" t="s">
        <v>317</v>
      </c>
      <c r="B98" s="5" t="s">
        <v>318</v>
      </c>
      <c r="C98" s="3" t="str">
        <f t="shared" si="1"/>
        <v>21-02-2024</v>
      </c>
      <c r="D98" t="s">
        <v>71</v>
      </c>
      <c r="E98" t="s">
        <v>319</v>
      </c>
      <c r="F98" t="s">
        <v>57</v>
      </c>
      <c r="G98" t="s">
        <v>37</v>
      </c>
      <c r="H98" t="s">
        <v>20</v>
      </c>
      <c r="I98">
        <v>3</v>
      </c>
      <c r="J98">
        <v>6279</v>
      </c>
      <c r="K98" s="7">
        <v>0</v>
      </c>
      <c r="L98" t="s">
        <v>38</v>
      </c>
      <c r="M98" t="s">
        <v>22</v>
      </c>
      <c r="N98" t="s">
        <v>32</v>
      </c>
      <c r="O98">
        <v>4.3</v>
      </c>
      <c r="P98">
        <f>VLOOKUP(Table2[[#This Row],[Product_ID]],Table1[#All],8,TRUE)</f>
        <v>1200</v>
      </c>
    </row>
    <row r="99" spans="1:16" x14ac:dyDescent="0.3">
      <c r="A99" t="s">
        <v>320</v>
      </c>
      <c r="B99" s="5" t="s">
        <v>321</v>
      </c>
      <c r="C99" s="3" t="str">
        <f t="shared" si="1"/>
        <v>11-12-2023</v>
      </c>
      <c r="D99" t="s">
        <v>51</v>
      </c>
      <c r="E99" t="s">
        <v>322</v>
      </c>
      <c r="F99" t="s">
        <v>64</v>
      </c>
      <c r="G99" t="s">
        <v>37</v>
      </c>
      <c r="H99" t="s">
        <v>20</v>
      </c>
      <c r="I99">
        <v>3</v>
      </c>
      <c r="J99">
        <v>4755</v>
      </c>
      <c r="K99" s="7">
        <v>0.05</v>
      </c>
      <c r="L99" t="s">
        <v>31</v>
      </c>
      <c r="M99" t="s">
        <v>22</v>
      </c>
      <c r="N99" t="s">
        <v>48</v>
      </c>
      <c r="P99">
        <f>VLOOKUP(Table2[[#This Row],[Product_ID]],Table1[#All],8,TRUE)</f>
        <v>1500</v>
      </c>
    </row>
    <row r="100" spans="1:16" x14ac:dyDescent="0.3">
      <c r="A100" t="s">
        <v>323</v>
      </c>
      <c r="B100" s="5" t="s">
        <v>324</v>
      </c>
      <c r="C100" s="3" t="str">
        <f t="shared" si="1"/>
        <v>09-08-2024</v>
      </c>
      <c r="D100" t="s">
        <v>51</v>
      </c>
      <c r="E100" t="s">
        <v>325</v>
      </c>
      <c r="F100" t="s">
        <v>57</v>
      </c>
      <c r="G100" t="s">
        <v>29</v>
      </c>
      <c r="H100" t="s">
        <v>30</v>
      </c>
      <c r="I100">
        <v>1</v>
      </c>
      <c r="J100">
        <v>1424</v>
      </c>
      <c r="K100" s="7">
        <v>0.1</v>
      </c>
      <c r="L100" t="s">
        <v>58</v>
      </c>
      <c r="M100" t="s">
        <v>22</v>
      </c>
      <c r="N100" t="s">
        <v>32</v>
      </c>
      <c r="P100">
        <f>VLOOKUP(Table2[[#This Row],[Product_ID]],Table1[#All],8,TRUE)</f>
        <v>1200</v>
      </c>
    </row>
    <row r="101" spans="1:16" x14ac:dyDescent="0.3">
      <c r="A101" t="s">
        <v>326</v>
      </c>
      <c r="B101" s="5" t="s">
        <v>327</v>
      </c>
      <c r="C101" s="3" t="str">
        <f t="shared" si="1"/>
        <v>24-03-2023</v>
      </c>
      <c r="D101" t="s">
        <v>46</v>
      </c>
      <c r="E101" t="s">
        <v>328</v>
      </c>
      <c r="F101" t="s">
        <v>98</v>
      </c>
      <c r="G101" t="s">
        <v>29</v>
      </c>
      <c r="H101" t="s">
        <v>20</v>
      </c>
      <c r="I101">
        <v>4</v>
      </c>
      <c r="J101">
        <v>6981</v>
      </c>
      <c r="K101" s="7">
        <v>0.1</v>
      </c>
      <c r="L101" t="s">
        <v>58</v>
      </c>
      <c r="M101" t="s">
        <v>22</v>
      </c>
      <c r="N101" t="s">
        <v>59</v>
      </c>
      <c r="P101">
        <f>VLOOKUP(Table2[[#This Row],[Product_ID]],Table1[#All],8,TRUE)</f>
        <v>900</v>
      </c>
    </row>
    <row r="102" spans="1:16" x14ac:dyDescent="0.3">
      <c r="A102" t="s">
        <v>329</v>
      </c>
      <c r="B102" s="5" t="s">
        <v>330</v>
      </c>
      <c r="C102" s="3" t="str">
        <f t="shared" si="1"/>
        <v>18-04-2023</v>
      </c>
      <c r="D102" t="s">
        <v>91</v>
      </c>
      <c r="E102" t="s">
        <v>331</v>
      </c>
      <c r="F102" t="s">
        <v>98</v>
      </c>
      <c r="G102" t="s">
        <v>53</v>
      </c>
      <c r="H102" t="s">
        <v>99</v>
      </c>
      <c r="I102">
        <v>1</v>
      </c>
      <c r="J102">
        <v>7543</v>
      </c>
      <c r="K102" s="7">
        <v>0.05</v>
      </c>
      <c r="L102" t="s">
        <v>31</v>
      </c>
      <c r="M102" t="s">
        <v>39</v>
      </c>
      <c r="N102" t="s">
        <v>32</v>
      </c>
      <c r="O102">
        <v>4.5</v>
      </c>
      <c r="P102">
        <f>VLOOKUP(Table2[[#This Row],[Product_ID]],Table1[#All],8,TRUE)</f>
        <v>900</v>
      </c>
    </row>
    <row r="103" spans="1:16" x14ac:dyDescent="0.3">
      <c r="A103" t="s">
        <v>332</v>
      </c>
      <c r="B103" s="5" t="s">
        <v>333</v>
      </c>
      <c r="C103" s="3" t="str">
        <f t="shared" si="1"/>
        <v>27-04-2024</v>
      </c>
      <c r="D103" t="s">
        <v>51</v>
      </c>
      <c r="E103" t="s">
        <v>121</v>
      </c>
      <c r="F103" t="s">
        <v>28</v>
      </c>
      <c r="G103" t="s">
        <v>29</v>
      </c>
      <c r="H103" t="s">
        <v>20</v>
      </c>
      <c r="I103">
        <v>3</v>
      </c>
      <c r="J103">
        <v>1618</v>
      </c>
      <c r="K103" s="7">
        <v>0.15</v>
      </c>
      <c r="L103" t="s">
        <v>38</v>
      </c>
      <c r="M103" t="s">
        <v>39</v>
      </c>
      <c r="N103" t="s">
        <v>32</v>
      </c>
      <c r="P103">
        <f>VLOOKUP(Table2[[#This Row],[Product_ID]],Table1[#All],8,TRUE)</f>
        <v>700</v>
      </c>
    </row>
    <row r="104" spans="1:16" x14ac:dyDescent="0.3">
      <c r="A104" t="s">
        <v>334</v>
      </c>
      <c r="B104" s="5" t="s">
        <v>335</v>
      </c>
      <c r="C104" s="3" t="str">
        <f t="shared" si="1"/>
        <v>20-12-2023</v>
      </c>
      <c r="D104" t="s">
        <v>131</v>
      </c>
      <c r="E104" t="s">
        <v>336</v>
      </c>
      <c r="F104" t="s">
        <v>98</v>
      </c>
      <c r="G104" t="s">
        <v>37</v>
      </c>
      <c r="H104" t="s">
        <v>77</v>
      </c>
      <c r="I104">
        <v>2</v>
      </c>
      <c r="J104">
        <v>9295</v>
      </c>
      <c r="K104" s="7">
        <v>0.05</v>
      </c>
      <c r="L104" t="s">
        <v>38</v>
      </c>
      <c r="M104" t="s">
        <v>39</v>
      </c>
      <c r="N104" t="s">
        <v>48</v>
      </c>
      <c r="P104">
        <f>VLOOKUP(Table2[[#This Row],[Product_ID]],Table1[#All],8,TRUE)</f>
        <v>0</v>
      </c>
    </row>
    <row r="105" spans="1:16" x14ac:dyDescent="0.3">
      <c r="A105" t="s">
        <v>337</v>
      </c>
      <c r="B105" s="5" t="s">
        <v>338</v>
      </c>
      <c r="C105" s="3" t="str">
        <f t="shared" si="1"/>
        <v>15-08-2024</v>
      </c>
      <c r="D105" t="s">
        <v>35</v>
      </c>
      <c r="E105" t="s">
        <v>339</v>
      </c>
      <c r="F105" t="s">
        <v>64</v>
      </c>
      <c r="G105" t="s">
        <v>37</v>
      </c>
      <c r="H105" t="s">
        <v>20</v>
      </c>
      <c r="I105">
        <v>3</v>
      </c>
      <c r="J105">
        <v>3302</v>
      </c>
      <c r="K105" s="7">
        <v>0.2</v>
      </c>
      <c r="L105" t="s">
        <v>21</v>
      </c>
      <c r="M105" t="s">
        <v>22</v>
      </c>
      <c r="N105" t="s">
        <v>23</v>
      </c>
      <c r="P105">
        <f>VLOOKUP(Table2[[#This Row],[Product_ID]],Table1[#All],8,TRUE)</f>
        <v>1500</v>
      </c>
    </row>
    <row r="106" spans="1:16" x14ac:dyDescent="0.3">
      <c r="A106" t="s">
        <v>340</v>
      </c>
      <c r="B106" s="5" t="s">
        <v>341</v>
      </c>
      <c r="C106" s="3" t="str">
        <f t="shared" si="1"/>
        <v>04-10-2023</v>
      </c>
      <c r="D106" t="s">
        <v>127</v>
      </c>
      <c r="E106" t="s">
        <v>342</v>
      </c>
      <c r="F106" t="s">
        <v>57</v>
      </c>
      <c r="G106" t="s">
        <v>19</v>
      </c>
      <c r="H106" t="s">
        <v>30</v>
      </c>
      <c r="I106">
        <v>1</v>
      </c>
      <c r="J106">
        <v>2702</v>
      </c>
      <c r="K106" s="7">
        <v>0.1</v>
      </c>
      <c r="L106" t="s">
        <v>31</v>
      </c>
      <c r="M106" t="s">
        <v>39</v>
      </c>
      <c r="N106" t="s">
        <v>32</v>
      </c>
      <c r="O106">
        <v>4.2</v>
      </c>
      <c r="P106">
        <f>VLOOKUP(Table2[[#This Row],[Product_ID]],Table1[#All],8,TRUE)</f>
        <v>0</v>
      </c>
    </row>
    <row r="107" spans="1:16" x14ac:dyDescent="0.3">
      <c r="A107" t="s">
        <v>343</v>
      </c>
      <c r="B107" s="5" t="s">
        <v>344</v>
      </c>
      <c r="C107" s="3" t="str">
        <f t="shared" si="1"/>
        <v>04-02-2024</v>
      </c>
      <c r="D107" t="s">
        <v>84</v>
      </c>
      <c r="E107" t="s">
        <v>345</v>
      </c>
      <c r="F107" t="s">
        <v>57</v>
      </c>
      <c r="G107" t="s">
        <v>53</v>
      </c>
      <c r="H107" t="s">
        <v>30</v>
      </c>
      <c r="I107">
        <v>4</v>
      </c>
      <c r="J107">
        <v>5142</v>
      </c>
      <c r="K107" s="7">
        <v>0.2</v>
      </c>
      <c r="L107" t="s">
        <v>21</v>
      </c>
      <c r="M107" t="s">
        <v>39</v>
      </c>
      <c r="N107" t="s">
        <v>48</v>
      </c>
      <c r="O107">
        <v>4.8</v>
      </c>
      <c r="P107">
        <f>VLOOKUP(Table2[[#This Row],[Product_ID]],Table1[#All],8,TRUE)</f>
        <v>1200</v>
      </c>
    </row>
    <row r="108" spans="1:16" x14ac:dyDescent="0.3">
      <c r="A108" t="s">
        <v>346</v>
      </c>
      <c r="B108" s="5" t="s">
        <v>347</v>
      </c>
      <c r="C108" s="3" t="str">
        <f t="shared" si="1"/>
        <v>14-02-2024</v>
      </c>
      <c r="D108" t="s">
        <v>35</v>
      </c>
      <c r="E108" t="s">
        <v>348</v>
      </c>
      <c r="F108" t="s">
        <v>18</v>
      </c>
      <c r="G108" t="s">
        <v>29</v>
      </c>
      <c r="H108" t="s">
        <v>99</v>
      </c>
      <c r="I108">
        <v>2</v>
      </c>
      <c r="J108">
        <v>6118</v>
      </c>
      <c r="K108" s="7">
        <v>0.15</v>
      </c>
      <c r="L108" t="s">
        <v>31</v>
      </c>
      <c r="M108" t="s">
        <v>39</v>
      </c>
      <c r="N108" t="s">
        <v>48</v>
      </c>
      <c r="P108">
        <f>VLOOKUP(Table2[[#This Row],[Product_ID]],Table1[#All],8,TRUE)</f>
        <v>900</v>
      </c>
    </row>
    <row r="109" spans="1:16" x14ac:dyDescent="0.3">
      <c r="A109" t="s">
        <v>349</v>
      </c>
      <c r="B109" s="5" t="s">
        <v>350</v>
      </c>
      <c r="C109" s="3" t="str">
        <f t="shared" si="1"/>
        <v>11-07-2024</v>
      </c>
      <c r="D109" t="s">
        <v>127</v>
      </c>
      <c r="E109" t="s">
        <v>351</v>
      </c>
      <c r="F109" t="s">
        <v>98</v>
      </c>
      <c r="G109" t="s">
        <v>37</v>
      </c>
      <c r="H109" t="s">
        <v>30</v>
      </c>
      <c r="I109">
        <v>3</v>
      </c>
      <c r="J109">
        <v>7590</v>
      </c>
      <c r="K109" s="7">
        <v>0.15</v>
      </c>
      <c r="L109" t="s">
        <v>58</v>
      </c>
      <c r="M109" t="s">
        <v>22</v>
      </c>
      <c r="N109" t="s">
        <v>48</v>
      </c>
      <c r="O109">
        <v>4.8</v>
      </c>
      <c r="P109">
        <f>VLOOKUP(Table2[[#This Row],[Product_ID]],Table1[#All],8,TRUE)</f>
        <v>900</v>
      </c>
    </row>
    <row r="110" spans="1:16" x14ac:dyDescent="0.3">
      <c r="A110" t="s">
        <v>352</v>
      </c>
      <c r="B110" s="5" t="s">
        <v>353</v>
      </c>
      <c r="C110" s="3" t="str">
        <f t="shared" si="1"/>
        <v>08-02-2023</v>
      </c>
      <c r="D110" t="s">
        <v>26</v>
      </c>
      <c r="E110" t="s">
        <v>354</v>
      </c>
      <c r="F110" t="s">
        <v>98</v>
      </c>
      <c r="G110" t="s">
        <v>29</v>
      </c>
      <c r="H110" t="s">
        <v>77</v>
      </c>
      <c r="I110">
        <v>5</v>
      </c>
      <c r="J110">
        <v>9320</v>
      </c>
      <c r="K110" s="7">
        <v>0.15</v>
      </c>
      <c r="L110" t="s">
        <v>31</v>
      </c>
      <c r="M110" t="s">
        <v>22</v>
      </c>
      <c r="N110" t="s">
        <v>32</v>
      </c>
      <c r="O110">
        <v>4</v>
      </c>
      <c r="P110">
        <f>VLOOKUP(Table2[[#This Row],[Product_ID]],Table1[#All],8,TRUE)</f>
        <v>0</v>
      </c>
    </row>
    <row r="111" spans="1:16" x14ac:dyDescent="0.3">
      <c r="A111" t="s">
        <v>355</v>
      </c>
      <c r="B111" s="5" t="s">
        <v>356</v>
      </c>
      <c r="C111" s="3" t="str">
        <f t="shared" si="1"/>
        <v>04-12-2024</v>
      </c>
      <c r="D111" t="s">
        <v>80</v>
      </c>
      <c r="E111" t="s">
        <v>357</v>
      </c>
      <c r="F111" t="s">
        <v>64</v>
      </c>
      <c r="G111" t="s">
        <v>37</v>
      </c>
      <c r="H111" t="s">
        <v>20</v>
      </c>
      <c r="I111">
        <v>5</v>
      </c>
      <c r="J111">
        <v>8001</v>
      </c>
      <c r="K111" s="7">
        <v>0.2</v>
      </c>
      <c r="L111" t="s">
        <v>21</v>
      </c>
      <c r="M111" t="s">
        <v>39</v>
      </c>
      <c r="N111" t="s">
        <v>32</v>
      </c>
      <c r="P111">
        <f>VLOOKUP(Table2[[#This Row],[Product_ID]],Table1[#All],8,TRUE)</f>
        <v>1200</v>
      </c>
    </row>
    <row r="112" spans="1:16" x14ac:dyDescent="0.3">
      <c r="A112" t="s">
        <v>358</v>
      </c>
      <c r="B112" s="5" t="s">
        <v>359</v>
      </c>
      <c r="C112" s="3" t="str">
        <f t="shared" si="1"/>
        <v>26-02-2023</v>
      </c>
      <c r="D112" t="s">
        <v>46</v>
      </c>
      <c r="E112" t="s">
        <v>336</v>
      </c>
      <c r="F112" t="s">
        <v>18</v>
      </c>
      <c r="G112" t="s">
        <v>29</v>
      </c>
      <c r="H112" t="s">
        <v>77</v>
      </c>
      <c r="I112">
        <v>1</v>
      </c>
      <c r="J112">
        <v>8318</v>
      </c>
      <c r="K112" s="7">
        <v>0.05</v>
      </c>
      <c r="L112" t="s">
        <v>21</v>
      </c>
      <c r="M112" t="s">
        <v>39</v>
      </c>
      <c r="N112" t="s">
        <v>32</v>
      </c>
      <c r="O112">
        <v>4.3</v>
      </c>
      <c r="P112">
        <f>VLOOKUP(Table2[[#This Row],[Product_ID]],Table1[#All],8,TRUE)</f>
        <v>0</v>
      </c>
    </row>
    <row r="113" spans="1:16" x14ac:dyDescent="0.3">
      <c r="A113" t="s">
        <v>360</v>
      </c>
      <c r="B113" s="5" t="s">
        <v>361</v>
      </c>
      <c r="C113" s="3" t="str">
        <f t="shared" si="1"/>
        <v>24-11-2024</v>
      </c>
      <c r="D113" t="s">
        <v>71</v>
      </c>
      <c r="E113" t="s">
        <v>362</v>
      </c>
      <c r="F113" t="s">
        <v>57</v>
      </c>
      <c r="G113" t="s">
        <v>19</v>
      </c>
      <c r="H113" t="s">
        <v>30</v>
      </c>
      <c r="I113">
        <v>2</v>
      </c>
      <c r="J113">
        <v>9580</v>
      </c>
      <c r="K113" s="7">
        <v>0.2</v>
      </c>
      <c r="L113" t="s">
        <v>31</v>
      </c>
      <c r="M113" t="s">
        <v>22</v>
      </c>
      <c r="N113" t="s">
        <v>23</v>
      </c>
      <c r="O113">
        <v>3.3</v>
      </c>
      <c r="P113">
        <f>VLOOKUP(Table2[[#This Row],[Product_ID]],Table1[#All],8,TRUE)</f>
        <v>500</v>
      </c>
    </row>
    <row r="114" spans="1:16" x14ac:dyDescent="0.3">
      <c r="A114" t="s">
        <v>363</v>
      </c>
      <c r="B114" s="5" t="s">
        <v>364</v>
      </c>
      <c r="C114" s="3" t="str">
        <f t="shared" si="1"/>
        <v>03-01-2023</v>
      </c>
      <c r="D114" t="s">
        <v>84</v>
      </c>
      <c r="E114" t="s">
        <v>365</v>
      </c>
      <c r="F114" t="s">
        <v>64</v>
      </c>
      <c r="G114" t="s">
        <v>37</v>
      </c>
      <c r="H114" t="s">
        <v>30</v>
      </c>
      <c r="I114">
        <v>2</v>
      </c>
      <c r="J114">
        <v>1067</v>
      </c>
      <c r="K114" s="7">
        <v>0</v>
      </c>
      <c r="L114" t="s">
        <v>31</v>
      </c>
      <c r="M114" t="s">
        <v>22</v>
      </c>
      <c r="N114" t="s">
        <v>23</v>
      </c>
      <c r="O114">
        <v>4</v>
      </c>
      <c r="P114">
        <f>VLOOKUP(Table2[[#This Row],[Product_ID]],Table1[#All],8,TRUE)</f>
        <v>1500</v>
      </c>
    </row>
    <row r="115" spans="1:16" x14ac:dyDescent="0.3">
      <c r="A115" t="s">
        <v>366</v>
      </c>
      <c r="B115" s="5" t="s">
        <v>367</v>
      </c>
      <c r="C115" s="3" t="str">
        <f t="shared" si="1"/>
        <v>04-06-2024</v>
      </c>
      <c r="D115" t="s">
        <v>131</v>
      </c>
      <c r="E115" t="s">
        <v>368</v>
      </c>
      <c r="F115" t="s">
        <v>18</v>
      </c>
      <c r="G115" t="s">
        <v>19</v>
      </c>
      <c r="H115" t="s">
        <v>20</v>
      </c>
      <c r="I115">
        <v>1</v>
      </c>
      <c r="J115">
        <v>4666</v>
      </c>
      <c r="K115" s="7">
        <v>0.05</v>
      </c>
      <c r="L115" t="s">
        <v>38</v>
      </c>
      <c r="M115" t="s">
        <v>39</v>
      </c>
      <c r="N115" t="s">
        <v>23</v>
      </c>
      <c r="P115">
        <f>VLOOKUP(Table2[[#This Row],[Product_ID]],Table1[#All],8,TRUE)</f>
        <v>1500</v>
      </c>
    </row>
    <row r="116" spans="1:16" x14ac:dyDescent="0.3">
      <c r="A116" t="s">
        <v>369</v>
      </c>
      <c r="B116" s="5" t="s">
        <v>370</v>
      </c>
      <c r="C116" s="3" t="str">
        <f t="shared" si="1"/>
        <v>06-09-2024</v>
      </c>
      <c r="D116" t="s">
        <v>67</v>
      </c>
      <c r="E116" t="s">
        <v>328</v>
      </c>
      <c r="F116" t="s">
        <v>18</v>
      </c>
      <c r="G116" t="s">
        <v>19</v>
      </c>
      <c r="H116" t="s">
        <v>20</v>
      </c>
      <c r="I116">
        <v>2</v>
      </c>
      <c r="J116">
        <v>3257</v>
      </c>
      <c r="K116" s="7">
        <v>0</v>
      </c>
      <c r="L116" t="s">
        <v>21</v>
      </c>
      <c r="M116" t="s">
        <v>39</v>
      </c>
      <c r="N116" t="s">
        <v>23</v>
      </c>
      <c r="P116">
        <f>VLOOKUP(Table2[[#This Row],[Product_ID]],Table1[#All],8,TRUE)</f>
        <v>900</v>
      </c>
    </row>
    <row r="117" spans="1:16" x14ac:dyDescent="0.3">
      <c r="A117" t="s">
        <v>371</v>
      </c>
      <c r="B117" s="5" t="s">
        <v>372</v>
      </c>
      <c r="C117" s="3" t="str">
        <f t="shared" si="1"/>
        <v>02-02-2023</v>
      </c>
      <c r="D117" t="s">
        <v>26</v>
      </c>
      <c r="E117" t="s">
        <v>373</v>
      </c>
      <c r="F117" t="s">
        <v>28</v>
      </c>
      <c r="G117" t="s">
        <v>53</v>
      </c>
      <c r="H117" t="s">
        <v>99</v>
      </c>
      <c r="I117">
        <v>4</v>
      </c>
      <c r="J117">
        <v>6188</v>
      </c>
      <c r="K117" s="7">
        <v>0.1</v>
      </c>
      <c r="L117" t="s">
        <v>31</v>
      </c>
      <c r="M117" t="s">
        <v>22</v>
      </c>
      <c r="N117" t="s">
        <v>59</v>
      </c>
      <c r="P117">
        <f>VLOOKUP(Table2[[#This Row],[Product_ID]],Table1[#All],8,TRUE)</f>
        <v>700</v>
      </c>
    </row>
    <row r="118" spans="1:16" x14ac:dyDescent="0.3">
      <c r="A118" t="s">
        <v>374</v>
      </c>
      <c r="B118" s="5" t="s">
        <v>375</v>
      </c>
      <c r="C118" s="3" t="str">
        <f t="shared" si="1"/>
        <v>09-08-2023</v>
      </c>
      <c r="D118" t="s">
        <v>26</v>
      </c>
      <c r="E118" t="s">
        <v>376</v>
      </c>
      <c r="F118" t="s">
        <v>98</v>
      </c>
      <c r="G118" t="s">
        <v>37</v>
      </c>
      <c r="H118" t="s">
        <v>77</v>
      </c>
      <c r="I118">
        <v>3</v>
      </c>
      <c r="J118">
        <v>3718</v>
      </c>
      <c r="K118" s="7">
        <v>0.2</v>
      </c>
      <c r="L118" t="s">
        <v>21</v>
      </c>
      <c r="M118" t="s">
        <v>39</v>
      </c>
      <c r="N118" t="s">
        <v>48</v>
      </c>
      <c r="P118">
        <f>VLOOKUP(Table2[[#This Row],[Product_ID]],Table1[#All],8,TRUE)</f>
        <v>1500</v>
      </c>
    </row>
    <row r="119" spans="1:16" x14ac:dyDescent="0.3">
      <c r="A119" t="s">
        <v>377</v>
      </c>
      <c r="B119" s="5" t="s">
        <v>378</v>
      </c>
      <c r="C119" s="3" t="str">
        <f t="shared" si="1"/>
        <v>21-11-2024</v>
      </c>
      <c r="D119" t="s">
        <v>91</v>
      </c>
      <c r="E119" t="s">
        <v>42</v>
      </c>
      <c r="F119" t="s">
        <v>18</v>
      </c>
      <c r="G119" t="s">
        <v>37</v>
      </c>
      <c r="H119" t="s">
        <v>99</v>
      </c>
      <c r="I119">
        <v>3</v>
      </c>
      <c r="J119">
        <v>7497</v>
      </c>
      <c r="K119" s="7">
        <v>0.15</v>
      </c>
      <c r="L119" t="s">
        <v>38</v>
      </c>
      <c r="M119" t="s">
        <v>39</v>
      </c>
      <c r="N119" t="s">
        <v>32</v>
      </c>
      <c r="O119">
        <v>4.7</v>
      </c>
      <c r="P119">
        <f>VLOOKUP(Table2[[#This Row],[Product_ID]],Table1[#All],8,TRUE)</f>
        <v>900</v>
      </c>
    </row>
    <row r="120" spans="1:16" x14ac:dyDescent="0.3">
      <c r="A120" t="s">
        <v>379</v>
      </c>
      <c r="B120" s="5" t="s">
        <v>380</v>
      </c>
      <c r="C120" s="3" t="str">
        <f t="shared" si="1"/>
        <v>19-04-2024</v>
      </c>
      <c r="D120" t="s">
        <v>26</v>
      </c>
      <c r="E120" t="s">
        <v>381</v>
      </c>
      <c r="F120" t="s">
        <v>28</v>
      </c>
      <c r="G120" t="s">
        <v>19</v>
      </c>
      <c r="H120" t="s">
        <v>30</v>
      </c>
      <c r="I120">
        <v>2</v>
      </c>
      <c r="J120">
        <v>3629</v>
      </c>
      <c r="K120" s="7">
        <v>0</v>
      </c>
      <c r="L120" t="s">
        <v>21</v>
      </c>
      <c r="M120" t="s">
        <v>22</v>
      </c>
      <c r="N120" t="s">
        <v>48</v>
      </c>
      <c r="O120">
        <v>3.4</v>
      </c>
      <c r="P120">
        <f>VLOOKUP(Table2[[#This Row],[Product_ID]],Table1[#All],8,TRUE)</f>
        <v>1500</v>
      </c>
    </row>
    <row r="121" spans="1:16" x14ac:dyDescent="0.3">
      <c r="A121" t="s">
        <v>382</v>
      </c>
      <c r="B121" s="5" t="s">
        <v>383</v>
      </c>
      <c r="C121" s="3" t="str">
        <f t="shared" si="1"/>
        <v>26-06-2023</v>
      </c>
      <c r="D121" t="s">
        <v>62</v>
      </c>
      <c r="E121" t="s">
        <v>384</v>
      </c>
      <c r="F121" t="s">
        <v>98</v>
      </c>
      <c r="G121" t="s">
        <v>29</v>
      </c>
      <c r="H121" t="s">
        <v>20</v>
      </c>
      <c r="I121">
        <v>2</v>
      </c>
      <c r="J121">
        <v>8701</v>
      </c>
      <c r="K121" s="7">
        <v>0.15</v>
      </c>
      <c r="L121" t="s">
        <v>21</v>
      </c>
      <c r="M121" t="s">
        <v>39</v>
      </c>
      <c r="N121" t="s">
        <v>23</v>
      </c>
      <c r="P121">
        <f>VLOOKUP(Table2[[#This Row],[Product_ID]],Table1[#All],8,TRUE)</f>
        <v>1500</v>
      </c>
    </row>
    <row r="122" spans="1:16" x14ac:dyDescent="0.3">
      <c r="A122" t="s">
        <v>385</v>
      </c>
      <c r="B122" s="5" t="s">
        <v>386</v>
      </c>
      <c r="C122" s="3" t="str">
        <f t="shared" si="1"/>
        <v>08-11-2023</v>
      </c>
      <c r="D122" t="s">
        <v>91</v>
      </c>
      <c r="E122" t="s">
        <v>166</v>
      </c>
      <c r="F122" t="s">
        <v>43</v>
      </c>
      <c r="G122" t="s">
        <v>29</v>
      </c>
      <c r="H122" t="s">
        <v>30</v>
      </c>
      <c r="I122">
        <v>2</v>
      </c>
      <c r="J122">
        <v>9827</v>
      </c>
      <c r="K122" s="7">
        <v>0.1</v>
      </c>
      <c r="L122" t="s">
        <v>58</v>
      </c>
      <c r="M122" t="s">
        <v>39</v>
      </c>
      <c r="N122" t="s">
        <v>23</v>
      </c>
      <c r="O122">
        <v>4.2</v>
      </c>
      <c r="P122">
        <f>VLOOKUP(Table2[[#This Row],[Product_ID]],Table1[#All],8,TRUE)</f>
        <v>0</v>
      </c>
    </row>
    <row r="123" spans="1:16" x14ac:dyDescent="0.3">
      <c r="A123" t="s">
        <v>387</v>
      </c>
      <c r="B123" s="5" t="s">
        <v>388</v>
      </c>
      <c r="C123" s="3" t="str">
        <f t="shared" si="1"/>
        <v>30-05-2024</v>
      </c>
      <c r="D123" t="s">
        <v>16</v>
      </c>
      <c r="E123" t="s">
        <v>389</v>
      </c>
      <c r="F123" t="s">
        <v>64</v>
      </c>
      <c r="G123" t="s">
        <v>53</v>
      </c>
      <c r="H123" t="s">
        <v>20</v>
      </c>
      <c r="I123">
        <v>3</v>
      </c>
      <c r="J123">
        <v>6690</v>
      </c>
      <c r="K123" s="7">
        <v>0</v>
      </c>
      <c r="L123" t="s">
        <v>31</v>
      </c>
      <c r="M123" t="s">
        <v>39</v>
      </c>
      <c r="N123" t="s">
        <v>32</v>
      </c>
      <c r="P123">
        <f>VLOOKUP(Table2[[#This Row],[Product_ID]],Table1[#All],8,TRUE)</f>
        <v>0</v>
      </c>
    </row>
    <row r="124" spans="1:16" x14ac:dyDescent="0.3">
      <c r="A124" t="s">
        <v>390</v>
      </c>
      <c r="B124" s="5" t="s">
        <v>391</v>
      </c>
      <c r="C124" s="3" t="str">
        <f t="shared" si="1"/>
        <v>21-10-2023</v>
      </c>
      <c r="D124" t="s">
        <v>80</v>
      </c>
      <c r="E124" t="s">
        <v>392</v>
      </c>
      <c r="F124" t="s">
        <v>98</v>
      </c>
      <c r="G124" t="s">
        <v>37</v>
      </c>
      <c r="H124" t="s">
        <v>20</v>
      </c>
      <c r="I124">
        <v>4</v>
      </c>
      <c r="J124">
        <v>2052</v>
      </c>
      <c r="K124" s="7">
        <v>0.2</v>
      </c>
      <c r="L124" t="s">
        <v>38</v>
      </c>
      <c r="M124" t="s">
        <v>22</v>
      </c>
      <c r="N124" t="s">
        <v>48</v>
      </c>
      <c r="O124">
        <v>3.2</v>
      </c>
      <c r="P124">
        <f>VLOOKUP(Table2[[#This Row],[Product_ID]],Table1[#All],8,TRUE)</f>
        <v>700</v>
      </c>
    </row>
    <row r="125" spans="1:16" x14ac:dyDescent="0.3">
      <c r="A125" t="s">
        <v>393</v>
      </c>
      <c r="B125" s="5" t="s">
        <v>394</v>
      </c>
      <c r="C125" s="3" t="str">
        <f t="shared" si="1"/>
        <v>06-12-2023</v>
      </c>
      <c r="D125" t="s">
        <v>91</v>
      </c>
      <c r="E125" t="s">
        <v>395</v>
      </c>
      <c r="F125" t="s">
        <v>98</v>
      </c>
      <c r="G125" t="s">
        <v>29</v>
      </c>
      <c r="H125" t="s">
        <v>30</v>
      </c>
      <c r="I125">
        <v>5</v>
      </c>
      <c r="J125">
        <v>2758</v>
      </c>
      <c r="K125" s="7">
        <v>0</v>
      </c>
      <c r="L125" t="s">
        <v>38</v>
      </c>
      <c r="M125" t="s">
        <v>22</v>
      </c>
      <c r="N125" t="s">
        <v>59</v>
      </c>
      <c r="O125">
        <v>3.8</v>
      </c>
      <c r="P125">
        <f>VLOOKUP(Table2[[#This Row],[Product_ID]],Table1[#All],8,TRUE)</f>
        <v>0</v>
      </c>
    </row>
    <row r="126" spans="1:16" x14ac:dyDescent="0.3">
      <c r="A126" t="s">
        <v>396</v>
      </c>
      <c r="B126" s="5" t="s">
        <v>397</v>
      </c>
      <c r="C126" s="3" t="str">
        <f t="shared" si="1"/>
        <v>29-03-2024</v>
      </c>
      <c r="D126" t="s">
        <v>84</v>
      </c>
      <c r="E126" t="s">
        <v>398</v>
      </c>
      <c r="F126" t="s">
        <v>64</v>
      </c>
      <c r="G126" t="s">
        <v>37</v>
      </c>
      <c r="H126" t="s">
        <v>99</v>
      </c>
      <c r="I126">
        <v>4</v>
      </c>
      <c r="J126">
        <v>8665</v>
      </c>
      <c r="K126" s="7">
        <v>0</v>
      </c>
      <c r="L126" t="s">
        <v>38</v>
      </c>
      <c r="M126" t="s">
        <v>39</v>
      </c>
      <c r="N126" t="s">
        <v>32</v>
      </c>
      <c r="P126">
        <f>VLOOKUP(Table2[[#This Row],[Product_ID]],Table1[#All],8,TRUE)</f>
        <v>700</v>
      </c>
    </row>
    <row r="127" spans="1:16" x14ac:dyDescent="0.3">
      <c r="A127" t="s">
        <v>399</v>
      </c>
      <c r="B127" s="5" t="s">
        <v>249</v>
      </c>
      <c r="C127" s="3" t="str">
        <f t="shared" si="1"/>
        <v>18-04-2023</v>
      </c>
      <c r="D127" t="s">
        <v>26</v>
      </c>
      <c r="E127" t="s">
        <v>400</v>
      </c>
      <c r="F127" t="s">
        <v>98</v>
      </c>
      <c r="G127" t="s">
        <v>37</v>
      </c>
      <c r="H127" t="s">
        <v>99</v>
      </c>
      <c r="I127">
        <v>1</v>
      </c>
      <c r="J127">
        <v>5410</v>
      </c>
      <c r="K127" s="7">
        <v>0.05</v>
      </c>
      <c r="L127" t="s">
        <v>31</v>
      </c>
      <c r="M127" t="s">
        <v>22</v>
      </c>
      <c r="N127" t="s">
        <v>32</v>
      </c>
      <c r="O127">
        <v>4.0999999999999996</v>
      </c>
      <c r="P127">
        <f>VLOOKUP(Table2[[#This Row],[Product_ID]],Table1[#All],8,TRUE)</f>
        <v>700</v>
      </c>
    </row>
    <row r="128" spans="1:16" x14ac:dyDescent="0.3">
      <c r="A128" t="s">
        <v>401</v>
      </c>
      <c r="B128" s="5" t="s">
        <v>402</v>
      </c>
      <c r="C128" s="3" t="str">
        <f t="shared" si="1"/>
        <v>27-08-2023</v>
      </c>
      <c r="D128" t="s">
        <v>35</v>
      </c>
      <c r="E128" t="s">
        <v>403</v>
      </c>
      <c r="F128" t="s">
        <v>43</v>
      </c>
      <c r="G128" t="s">
        <v>53</v>
      </c>
      <c r="H128" t="s">
        <v>99</v>
      </c>
      <c r="I128">
        <v>4</v>
      </c>
      <c r="J128">
        <v>8327</v>
      </c>
      <c r="K128" s="7">
        <v>0.2</v>
      </c>
      <c r="L128" t="s">
        <v>31</v>
      </c>
      <c r="M128" t="s">
        <v>22</v>
      </c>
      <c r="N128" t="s">
        <v>32</v>
      </c>
      <c r="O128">
        <v>3.4</v>
      </c>
      <c r="P128">
        <f>VLOOKUP(Table2[[#This Row],[Product_ID]],Table1[#All],8,TRUE)</f>
        <v>1200</v>
      </c>
    </row>
    <row r="129" spans="1:16" x14ac:dyDescent="0.3">
      <c r="A129" t="s">
        <v>404</v>
      </c>
      <c r="B129" s="5" t="s">
        <v>283</v>
      </c>
      <c r="C129" s="3" t="str">
        <f t="shared" si="1"/>
        <v>15-04-2023</v>
      </c>
      <c r="D129" t="s">
        <v>96</v>
      </c>
      <c r="E129" t="s">
        <v>405</v>
      </c>
      <c r="F129" t="s">
        <v>73</v>
      </c>
      <c r="G129" t="s">
        <v>37</v>
      </c>
      <c r="H129" t="s">
        <v>99</v>
      </c>
      <c r="I129">
        <v>3</v>
      </c>
      <c r="J129">
        <v>9964</v>
      </c>
      <c r="K129" s="7">
        <v>0.2</v>
      </c>
      <c r="L129" t="s">
        <v>21</v>
      </c>
      <c r="M129" t="s">
        <v>39</v>
      </c>
      <c r="N129" t="s">
        <v>59</v>
      </c>
      <c r="O129">
        <v>3.4</v>
      </c>
      <c r="P129">
        <f>VLOOKUP(Table2[[#This Row],[Product_ID]],Table1[#All],8,TRUE)</f>
        <v>1200</v>
      </c>
    </row>
    <row r="130" spans="1:16" x14ac:dyDescent="0.3">
      <c r="A130" t="s">
        <v>406</v>
      </c>
      <c r="B130" s="5" t="s">
        <v>407</v>
      </c>
      <c r="C130" s="3" t="str">
        <f t="shared" ref="C130:C193" si="2">TEXT(B130,"dd-mm-yyyy")</f>
        <v>29-03-2023</v>
      </c>
      <c r="D130" t="s">
        <v>91</v>
      </c>
      <c r="E130" t="s">
        <v>270</v>
      </c>
      <c r="F130" t="s">
        <v>98</v>
      </c>
      <c r="G130" t="s">
        <v>37</v>
      </c>
      <c r="H130" t="s">
        <v>20</v>
      </c>
      <c r="I130">
        <v>2</v>
      </c>
      <c r="J130">
        <v>1040</v>
      </c>
      <c r="K130" s="7">
        <v>0.05</v>
      </c>
      <c r="L130" t="s">
        <v>31</v>
      </c>
      <c r="M130" t="s">
        <v>22</v>
      </c>
      <c r="N130" t="s">
        <v>59</v>
      </c>
      <c r="O130">
        <v>4</v>
      </c>
      <c r="P130">
        <f>VLOOKUP(Table2[[#This Row],[Product_ID]],Table1[#All],8,TRUE)</f>
        <v>500</v>
      </c>
    </row>
    <row r="131" spans="1:16" x14ac:dyDescent="0.3">
      <c r="A131" t="s">
        <v>408</v>
      </c>
      <c r="B131" s="5" t="s">
        <v>409</v>
      </c>
      <c r="C131" s="3" t="str">
        <f t="shared" si="2"/>
        <v>16-10-2023</v>
      </c>
      <c r="D131" t="s">
        <v>80</v>
      </c>
      <c r="E131" t="s">
        <v>410</v>
      </c>
      <c r="F131" t="s">
        <v>28</v>
      </c>
      <c r="G131" t="s">
        <v>37</v>
      </c>
      <c r="H131" t="s">
        <v>20</v>
      </c>
      <c r="I131">
        <v>5</v>
      </c>
      <c r="J131">
        <v>9000</v>
      </c>
      <c r="K131" s="7">
        <v>0.15</v>
      </c>
      <c r="L131" t="s">
        <v>58</v>
      </c>
      <c r="M131" t="s">
        <v>39</v>
      </c>
      <c r="N131" t="s">
        <v>32</v>
      </c>
      <c r="O131">
        <v>3.5</v>
      </c>
      <c r="P131">
        <f>VLOOKUP(Table2[[#This Row],[Product_ID]],Table1[#All],8,TRUE)</f>
        <v>500</v>
      </c>
    </row>
    <row r="132" spans="1:16" x14ac:dyDescent="0.3">
      <c r="A132" t="s">
        <v>411</v>
      </c>
      <c r="B132" s="5" t="s">
        <v>412</v>
      </c>
      <c r="C132" s="3" t="str">
        <f t="shared" si="2"/>
        <v>30-06-2023</v>
      </c>
      <c r="D132" t="s">
        <v>71</v>
      </c>
      <c r="E132" t="s">
        <v>300</v>
      </c>
      <c r="F132" t="s">
        <v>98</v>
      </c>
      <c r="G132" t="s">
        <v>29</v>
      </c>
      <c r="H132" t="s">
        <v>77</v>
      </c>
      <c r="I132">
        <v>1</v>
      </c>
      <c r="J132">
        <v>6224</v>
      </c>
      <c r="K132" s="7">
        <v>0.05</v>
      </c>
      <c r="L132" t="s">
        <v>31</v>
      </c>
      <c r="M132" t="s">
        <v>22</v>
      </c>
      <c r="N132" t="s">
        <v>23</v>
      </c>
      <c r="O132">
        <v>3.3</v>
      </c>
      <c r="P132">
        <f>VLOOKUP(Table2[[#This Row],[Product_ID]],Table1[#All],8,TRUE)</f>
        <v>500</v>
      </c>
    </row>
    <row r="133" spans="1:16" x14ac:dyDescent="0.3">
      <c r="A133" t="s">
        <v>413</v>
      </c>
      <c r="B133" s="5" t="s">
        <v>414</v>
      </c>
      <c r="C133" s="3" t="str">
        <f t="shared" si="2"/>
        <v>05-01-2023</v>
      </c>
      <c r="D133" t="s">
        <v>114</v>
      </c>
      <c r="E133" t="s">
        <v>163</v>
      </c>
      <c r="F133" t="s">
        <v>28</v>
      </c>
      <c r="G133" t="s">
        <v>29</v>
      </c>
      <c r="H133" t="s">
        <v>77</v>
      </c>
      <c r="I133">
        <v>4</v>
      </c>
      <c r="J133">
        <v>5802</v>
      </c>
      <c r="K133" s="7">
        <v>0.2</v>
      </c>
      <c r="L133" t="s">
        <v>21</v>
      </c>
      <c r="M133" t="s">
        <v>39</v>
      </c>
      <c r="N133" t="s">
        <v>32</v>
      </c>
      <c r="O133">
        <v>4.5</v>
      </c>
      <c r="P133" t="e">
        <f>VLOOKUP(Table2[[#This Row],[Product_ID]],Table1[#All],8,TRUE)</f>
        <v>#N/A</v>
      </c>
    </row>
    <row r="134" spans="1:16" x14ac:dyDescent="0.3">
      <c r="A134" t="s">
        <v>415</v>
      </c>
      <c r="B134" s="5" t="s">
        <v>416</v>
      </c>
      <c r="C134" s="3" t="str">
        <f t="shared" si="2"/>
        <v>05-07-2024</v>
      </c>
      <c r="D134" t="s">
        <v>84</v>
      </c>
      <c r="E134" t="s">
        <v>417</v>
      </c>
      <c r="F134" t="s">
        <v>73</v>
      </c>
      <c r="G134" t="s">
        <v>19</v>
      </c>
      <c r="H134" t="s">
        <v>30</v>
      </c>
      <c r="I134">
        <v>2</v>
      </c>
      <c r="J134">
        <v>2064</v>
      </c>
      <c r="K134" s="7">
        <v>0.15</v>
      </c>
      <c r="L134" t="s">
        <v>31</v>
      </c>
      <c r="M134" t="s">
        <v>22</v>
      </c>
      <c r="N134" t="s">
        <v>48</v>
      </c>
      <c r="P134">
        <f>VLOOKUP(Table2[[#This Row],[Product_ID]],Table1[#All],8,TRUE)</f>
        <v>1500</v>
      </c>
    </row>
    <row r="135" spans="1:16" x14ac:dyDescent="0.3">
      <c r="A135" t="s">
        <v>418</v>
      </c>
      <c r="B135" s="5" t="s">
        <v>419</v>
      </c>
      <c r="C135" s="3" t="str">
        <f t="shared" si="2"/>
        <v>11-09-2023</v>
      </c>
      <c r="D135" t="s">
        <v>62</v>
      </c>
      <c r="E135" t="s">
        <v>420</v>
      </c>
      <c r="F135" t="s">
        <v>28</v>
      </c>
      <c r="G135" t="s">
        <v>53</v>
      </c>
      <c r="H135" t="s">
        <v>30</v>
      </c>
      <c r="I135">
        <v>1</v>
      </c>
      <c r="J135">
        <v>7519</v>
      </c>
      <c r="K135" s="7">
        <v>0.15</v>
      </c>
      <c r="L135" t="s">
        <v>38</v>
      </c>
      <c r="M135" t="s">
        <v>22</v>
      </c>
      <c r="N135" t="s">
        <v>23</v>
      </c>
      <c r="P135">
        <f>VLOOKUP(Table2[[#This Row],[Product_ID]],Table1[#All],8,TRUE)</f>
        <v>500</v>
      </c>
    </row>
    <row r="136" spans="1:16" x14ac:dyDescent="0.3">
      <c r="A136" t="s">
        <v>421</v>
      </c>
      <c r="B136" s="5" t="s">
        <v>422</v>
      </c>
      <c r="C136" s="3" t="str">
        <f t="shared" si="2"/>
        <v>20-02-2024</v>
      </c>
      <c r="D136" t="s">
        <v>131</v>
      </c>
      <c r="E136" t="s">
        <v>47</v>
      </c>
      <c r="F136" t="s">
        <v>57</v>
      </c>
      <c r="G136" t="s">
        <v>29</v>
      </c>
      <c r="H136" t="s">
        <v>30</v>
      </c>
      <c r="I136">
        <v>3</v>
      </c>
      <c r="J136">
        <v>9369</v>
      </c>
      <c r="K136" s="7">
        <v>0.2</v>
      </c>
      <c r="L136" t="s">
        <v>38</v>
      </c>
      <c r="M136" t="s">
        <v>39</v>
      </c>
      <c r="N136" t="s">
        <v>32</v>
      </c>
      <c r="O136">
        <v>3.5</v>
      </c>
      <c r="P136">
        <f>VLOOKUP(Table2[[#This Row],[Product_ID]],Table1[#All],8,TRUE)</f>
        <v>700</v>
      </c>
    </row>
    <row r="137" spans="1:16" x14ac:dyDescent="0.3">
      <c r="A137" t="s">
        <v>423</v>
      </c>
      <c r="B137" s="5" t="s">
        <v>424</v>
      </c>
      <c r="C137" s="3" t="str">
        <f t="shared" si="2"/>
        <v>12-06-2024</v>
      </c>
      <c r="D137" t="s">
        <v>131</v>
      </c>
      <c r="E137" t="s">
        <v>425</v>
      </c>
      <c r="F137" t="s">
        <v>43</v>
      </c>
      <c r="G137" t="s">
        <v>53</v>
      </c>
      <c r="H137" t="s">
        <v>99</v>
      </c>
      <c r="I137">
        <v>5</v>
      </c>
      <c r="J137">
        <v>5843</v>
      </c>
      <c r="K137" s="7">
        <v>0.2</v>
      </c>
      <c r="L137" t="s">
        <v>21</v>
      </c>
      <c r="M137" t="s">
        <v>39</v>
      </c>
      <c r="N137" t="s">
        <v>32</v>
      </c>
      <c r="P137">
        <f>VLOOKUP(Table2[[#This Row],[Product_ID]],Table1[#All],8,TRUE)</f>
        <v>1500</v>
      </c>
    </row>
    <row r="138" spans="1:16" x14ac:dyDescent="0.3">
      <c r="A138" t="s">
        <v>426</v>
      </c>
      <c r="B138" s="5" t="s">
        <v>427</v>
      </c>
      <c r="C138" s="3" t="str">
        <f t="shared" si="2"/>
        <v>20-05-2024</v>
      </c>
      <c r="D138" t="s">
        <v>67</v>
      </c>
      <c r="E138" t="s">
        <v>428</v>
      </c>
      <c r="F138" t="s">
        <v>64</v>
      </c>
      <c r="G138" t="s">
        <v>29</v>
      </c>
      <c r="H138" t="s">
        <v>77</v>
      </c>
      <c r="I138">
        <v>3</v>
      </c>
      <c r="J138">
        <v>7453</v>
      </c>
      <c r="K138" s="7">
        <v>0.2</v>
      </c>
      <c r="L138" t="s">
        <v>21</v>
      </c>
      <c r="M138" t="s">
        <v>39</v>
      </c>
      <c r="N138" t="s">
        <v>32</v>
      </c>
      <c r="O138">
        <v>3.5</v>
      </c>
      <c r="P138">
        <f>VLOOKUP(Table2[[#This Row],[Product_ID]],Table1[#All],8,TRUE)</f>
        <v>500</v>
      </c>
    </row>
    <row r="139" spans="1:16" x14ac:dyDescent="0.3">
      <c r="A139" t="s">
        <v>429</v>
      </c>
      <c r="B139" s="5" t="s">
        <v>430</v>
      </c>
      <c r="C139" s="3" t="str">
        <f t="shared" si="2"/>
        <v>16-01-2024</v>
      </c>
      <c r="D139" t="s">
        <v>131</v>
      </c>
      <c r="E139" t="s">
        <v>431</v>
      </c>
      <c r="F139" t="s">
        <v>57</v>
      </c>
      <c r="G139" t="s">
        <v>53</v>
      </c>
      <c r="H139" t="s">
        <v>77</v>
      </c>
      <c r="I139">
        <v>5</v>
      </c>
      <c r="J139">
        <v>5050</v>
      </c>
      <c r="K139" s="7">
        <v>0.15</v>
      </c>
      <c r="L139" t="s">
        <v>58</v>
      </c>
      <c r="M139" t="s">
        <v>22</v>
      </c>
      <c r="N139" t="s">
        <v>59</v>
      </c>
      <c r="P139">
        <f>VLOOKUP(Table2[[#This Row],[Product_ID]],Table1[#All],8,TRUE)</f>
        <v>700</v>
      </c>
    </row>
    <row r="140" spans="1:16" x14ac:dyDescent="0.3">
      <c r="A140" t="s">
        <v>432</v>
      </c>
      <c r="B140" s="5" t="s">
        <v>433</v>
      </c>
      <c r="C140" s="3" t="str">
        <f t="shared" si="2"/>
        <v>02-07-2023</v>
      </c>
      <c r="D140" t="s">
        <v>62</v>
      </c>
      <c r="E140" t="s">
        <v>434</v>
      </c>
      <c r="F140" t="s">
        <v>28</v>
      </c>
      <c r="G140" t="s">
        <v>37</v>
      </c>
      <c r="H140" t="s">
        <v>30</v>
      </c>
      <c r="I140">
        <v>4</v>
      </c>
      <c r="J140">
        <v>4866</v>
      </c>
      <c r="K140" s="7">
        <v>0.1</v>
      </c>
      <c r="L140" t="s">
        <v>38</v>
      </c>
      <c r="M140" t="s">
        <v>39</v>
      </c>
      <c r="N140" t="s">
        <v>23</v>
      </c>
      <c r="P140">
        <f>VLOOKUP(Table2[[#This Row],[Product_ID]],Table1[#All],8,TRUE)</f>
        <v>700</v>
      </c>
    </row>
    <row r="141" spans="1:16" x14ac:dyDescent="0.3">
      <c r="A141" t="s">
        <v>435</v>
      </c>
      <c r="B141" s="5" t="s">
        <v>436</v>
      </c>
      <c r="C141" s="3" t="str">
        <f t="shared" si="2"/>
        <v>09-12-2024</v>
      </c>
      <c r="D141" t="s">
        <v>26</v>
      </c>
      <c r="E141" t="s">
        <v>437</v>
      </c>
      <c r="F141" t="s">
        <v>98</v>
      </c>
      <c r="G141" t="s">
        <v>19</v>
      </c>
      <c r="H141" t="s">
        <v>30</v>
      </c>
      <c r="I141">
        <v>3</v>
      </c>
      <c r="J141">
        <v>4364</v>
      </c>
      <c r="K141" s="7">
        <v>0.05</v>
      </c>
      <c r="L141" t="s">
        <v>58</v>
      </c>
      <c r="M141" t="s">
        <v>22</v>
      </c>
      <c r="N141" t="s">
        <v>32</v>
      </c>
      <c r="P141">
        <f>VLOOKUP(Table2[[#This Row],[Product_ID]],Table1[#All],8,TRUE)</f>
        <v>0</v>
      </c>
    </row>
    <row r="142" spans="1:16" x14ac:dyDescent="0.3">
      <c r="A142" t="s">
        <v>438</v>
      </c>
      <c r="B142" s="5" t="s">
        <v>439</v>
      </c>
      <c r="C142" s="3" t="str">
        <f t="shared" si="2"/>
        <v>10-11-2023</v>
      </c>
      <c r="D142" t="s">
        <v>16</v>
      </c>
      <c r="E142" t="s">
        <v>440</v>
      </c>
      <c r="F142" t="s">
        <v>18</v>
      </c>
      <c r="G142" t="s">
        <v>19</v>
      </c>
      <c r="H142" t="s">
        <v>20</v>
      </c>
      <c r="I142">
        <v>4</v>
      </c>
      <c r="J142">
        <v>2755</v>
      </c>
      <c r="K142" s="7">
        <v>0.15</v>
      </c>
      <c r="L142" t="s">
        <v>38</v>
      </c>
      <c r="M142" t="s">
        <v>39</v>
      </c>
      <c r="N142" t="s">
        <v>32</v>
      </c>
      <c r="O142">
        <v>3.1</v>
      </c>
      <c r="P142">
        <f>VLOOKUP(Table2[[#This Row],[Product_ID]],Table1[#All],8,TRUE)</f>
        <v>700</v>
      </c>
    </row>
    <row r="143" spans="1:16" x14ac:dyDescent="0.3">
      <c r="A143" t="s">
        <v>441</v>
      </c>
      <c r="B143" s="5" t="s">
        <v>442</v>
      </c>
      <c r="C143" s="3" t="str">
        <f t="shared" si="2"/>
        <v>05-04-2023</v>
      </c>
      <c r="D143" t="s">
        <v>35</v>
      </c>
      <c r="E143" t="s">
        <v>314</v>
      </c>
      <c r="F143" t="s">
        <v>73</v>
      </c>
      <c r="G143" t="s">
        <v>37</v>
      </c>
      <c r="H143" t="s">
        <v>99</v>
      </c>
      <c r="I143">
        <v>5</v>
      </c>
      <c r="J143">
        <v>6694</v>
      </c>
      <c r="K143" s="7">
        <v>0.1</v>
      </c>
      <c r="L143" t="s">
        <v>31</v>
      </c>
      <c r="M143" t="s">
        <v>39</v>
      </c>
      <c r="N143" t="s">
        <v>32</v>
      </c>
      <c r="P143">
        <f>VLOOKUP(Table2[[#This Row],[Product_ID]],Table1[#All],8,TRUE)</f>
        <v>500</v>
      </c>
    </row>
    <row r="144" spans="1:16" x14ac:dyDescent="0.3">
      <c r="A144" t="s">
        <v>443</v>
      </c>
      <c r="B144" s="5" t="s">
        <v>444</v>
      </c>
      <c r="C144" s="3" t="str">
        <f t="shared" si="2"/>
        <v>07-06-2023</v>
      </c>
      <c r="D144" t="s">
        <v>51</v>
      </c>
      <c r="E144" t="s">
        <v>445</v>
      </c>
      <c r="F144" t="s">
        <v>73</v>
      </c>
      <c r="G144" t="s">
        <v>37</v>
      </c>
      <c r="H144" t="s">
        <v>20</v>
      </c>
      <c r="I144">
        <v>2</v>
      </c>
      <c r="J144">
        <v>1121</v>
      </c>
      <c r="K144" s="7">
        <v>0.05</v>
      </c>
      <c r="L144" t="s">
        <v>31</v>
      </c>
      <c r="M144" t="s">
        <v>22</v>
      </c>
      <c r="N144" t="s">
        <v>32</v>
      </c>
      <c r="O144">
        <v>3.6</v>
      </c>
      <c r="P144">
        <f>VLOOKUP(Table2[[#This Row],[Product_ID]],Table1[#All],8,TRUE)</f>
        <v>1500</v>
      </c>
    </row>
    <row r="145" spans="1:16" x14ac:dyDescent="0.3">
      <c r="A145" t="s">
        <v>446</v>
      </c>
      <c r="B145" s="5" t="s">
        <v>447</v>
      </c>
      <c r="C145" s="3" t="str">
        <f t="shared" si="2"/>
        <v>14-06-2023</v>
      </c>
      <c r="D145" t="s">
        <v>84</v>
      </c>
      <c r="E145" t="s">
        <v>303</v>
      </c>
      <c r="F145" t="s">
        <v>57</v>
      </c>
      <c r="G145" t="s">
        <v>53</v>
      </c>
      <c r="H145" t="s">
        <v>99</v>
      </c>
      <c r="I145">
        <v>4</v>
      </c>
      <c r="J145">
        <v>6952</v>
      </c>
      <c r="K145" s="7">
        <v>0.15</v>
      </c>
      <c r="L145" t="s">
        <v>58</v>
      </c>
      <c r="M145" t="s">
        <v>22</v>
      </c>
      <c r="N145" t="s">
        <v>23</v>
      </c>
      <c r="P145">
        <f>VLOOKUP(Table2[[#This Row],[Product_ID]],Table1[#All],8,TRUE)</f>
        <v>1500</v>
      </c>
    </row>
    <row r="146" spans="1:16" x14ac:dyDescent="0.3">
      <c r="A146" t="s">
        <v>65</v>
      </c>
      <c r="B146" s="5" t="s">
        <v>448</v>
      </c>
      <c r="C146" s="3" t="str">
        <f t="shared" si="2"/>
        <v>18-03-2024</v>
      </c>
      <c r="D146" t="s">
        <v>67</v>
      </c>
      <c r="E146" t="s">
        <v>417</v>
      </c>
      <c r="F146" t="s">
        <v>57</v>
      </c>
      <c r="G146" t="s">
        <v>19</v>
      </c>
      <c r="H146" t="s">
        <v>20</v>
      </c>
      <c r="I146">
        <v>1</v>
      </c>
      <c r="J146">
        <v>7216</v>
      </c>
      <c r="K146" s="7">
        <v>0.15</v>
      </c>
      <c r="L146" t="s">
        <v>31</v>
      </c>
      <c r="M146" t="s">
        <v>39</v>
      </c>
      <c r="N146" t="s">
        <v>59</v>
      </c>
      <c r="O146">
        <v>3.2</v>
      </c>
      <c r="P146">
        <f>VLOOKUP(Table2[[#This Row],[Product_ID]],Table1[#All],8,TRUE)</f>
        <v>1500</v>
      </c>
    </row>
    <row r="147" spans="1:16" x14ac:dyDescent="0.3">
      <c r="A147" t="s">
        <v>413</v>
      </c>
      <c r="B147" s="5" t="s">
        <v>449</v>
      </c>
      <c r="C147" s="3" t="str">
        <f t="shared" si="2"/>
        <v>26-06-2024</v>
      </c>
      <c r="D147" t="s">
        <v>46</v>
      </c>
      <c r="E147" t="s">
        <v>420</v>
      </c>
      <c r="F147" t="s">
        <v>18</v>
      </c>
      <c r="G147" t="s">
        <v>37</v>
      </c>
      <c r="H147" t="s">
        <v>30</v>
      </c>
      <c r="I147">
        <v>2</v>
      </c>
      <c r="J147">
        <v>5873</v>
      </c>
      <c r="K147" s="7">
        <v>0.05</v>
      </c>
      <c r="L147" t="s">
        <v>21</v>
      </c>
      <c r="M147" t="s">
        <v>22</v>
      </c>
      <c r="N147" t="s">
        <v>59</v>
      </c>
      <c r="O147">
        <v>4.0999999999999996</v>
      </c>
      <c r="P147">
        <f>VLOOKUP(Table2[[#This Row],[Product_ID]],Table1[#All],8,TRUE)</f>
        <v>500</v>
      </c>
    </row>
    <row r="148" spans="1:16" x14ac:dyDescent="0.3">
      <c r="A148" t="s">
        <v>450</v>
      </c>
      <c r="B148" s="5" t="s">
        <v>451</v>
      </c>
      <c r="C148" s="3" t="str">
        <f t="shared" si="2"/>
        <v>11-12-2023</v>
      </c>
      <c r="D148" t="s">
        <v>127</v>
      </c>
      <c r="E148" t="s">
        <v>452</v>
      </c>
      <c r="F148" t="s">
        <v>43</v>
      </c>
      <c r="G148" t="s">
        <v>19</v>
      </c>
      <c r="H148" t="s">
        <v>99</v>
      </c>
      <c r="I148">
        <v>1</v>
      </c>
      <c r="J148">
        <v>3907</v>
      </c>
      <c r="K148" s="7">
        <v>0.15</v>
      </c>
      <c r="L148" t="s">
        <v>21</v>
      </c>
      <c r="M148" t="s">
        <v>39</v>
      </c>
      <c r="N148" t="s">
        <v>32</v>
      </c>
      <c r="P148">
        <f>VLOOKUP(Table2[[#This Row],[Product_ID]],Table1[#All],8,TRUE)</f>
        <v>1200</v>
      </c>
    </row>
    <row r="149" spans="1:16" x14ac:dyDescent="0.3">
      <c r="A149" t="s">
        <v>366</v>
      </c>
      <c r="B149" s="5" t="s">
        <v>453</v>
      </c>
      <c r="C149" s="3" t="str">
        <f t="shared" si="2"/>
        <v>27-02-2024</v>
      </c>
      <c r="D149" t="s">
        <v>84</v>
      </c>
      <c r="E149" t="s">
        <v>454</v>
      </c>
      <c r="F149" t="s">
        <v>73</v>
      </c>
      <c r="G149" t="s">
        <v>29</v>
      </c>
      <c r="H149" t="s">
        <v>30</v>
      </c>
      <c r="I149">
        <v>1</v>
      </c>
      <c r="J149">
        <v>8531</v>
      </c>
      <c r="K149" s="7">
        <v>0.1</v>
      </c>
      <c r="L149" t="s">
        <v>58</v>
      </c>
      <c r="M149" t="s">
        <v>22</v>
      </c>
      <c r="N149" t="s">
        <v>48</v>
      </c>
      <c r="P149">
        <f>VLOOKUP(Table2[[#This Row],[Product_ID]],Table1[#All],8,TRUE)</f>
        <v>900</v>
      </c>
    </row>
    <row r="150" spans="1:16" x14ac:dyDescent="0.3">
      <c r="A150" t="s">
        <v>455</v>
      </c>
      <c r="B150" s="5" t="s">
        <v>456</v>
      </c>
      <c r="C150" s="3" t="str">
        <f t="shared" si="2"/>
        <v>04-06-2023</v>
      </c>
      <c r="D150" t="s">
        <v>114</v>
      </c>
      <c r="E150" t="s">
        <v>72</v>
      </c>
      <c r="F150" t="s">
        <v>57</v>
      </c>
      <c r="G150" t="s">
        <v>37</v>
      </c>
      <c r="H150" t="s">
        <v>20</v>
      </c>
      <c r="I150">
        <v>1</v>
      </c>
      <c r="J150">
        <v>5602</v>
      </c>
      <c r="K150" s="7">
        <v>0</v>
      </c>
      <c r="L150" t="s">
        <v>21</v>
      </c>
      <c r="M150" t="s">
        <v>39</v>
      </c>
      <c r="N150" t="s">
        <v>59</v>
      </c>
      <c r="O150">
        <v>4.7</v>
      </c>
      <c r="P150">
        <f>VLOOKUP(Table2[[#This Row],[Product_ID]],Table1[#All],8,TRUE)</f>
        <v>0</v>
      </c>
    </row>
    <row r="151" spans="1:16" x14ac:dyDescent="0.3">
      <c r="A151" t="s">
        <v>457</v>
      </c>
      <c r="B151" s="5" t="s">
        <v>458</v>
      </c>
      <c r="C151" s="3" t="str">
        <f t="shared" si="2"/>
        <v>24-04-2024</v>
      </c>
      <c r="D151" t="s">
        <v>84</v>
      </c>
      <c r="E151" t="s">
        <v>459</v>
      </c>
      <c r="F151" t="s">
        <v>43</v>
      </c>
      <c r="G151" t="s">
        <v>19</v>
      </c>
      <c r="H151" t="s">
        <v>20</v>
      </c>
      <c r="I151">
        <v>3</v>
      </c>
      <c r="J151">
        <v>3658</v>
      </c>
      <c r="K151" s="7">
        <v>0.1</v>
      </c>
      <c r="L151" t="s">
        <v>31</v>
      </c>
      <c r="M151" t="s">
        <v>39</v>
      </c>
      <c r="N151" t="s">
        <v>23</v>
      </c>
      <c r="O151">
        <v>4.2</v>
      </c>
      <c r="P151">
        <f>VLOOKUP(Table2[[#This Row],[Product_ID]],Table1[#All],8,TRUE)</f>
        <v>0</v>
      </c>
    </row>
    <row r="152" spans="1:16" x14ac:dyDescent="0.3">
      <c r="A152" t="s">
        <v>460</v>
      </c>
      <c r="B152" s="5" t="s">
        <v>461</v>
      </c>
      <c r="C152" s="3" t="str">
        <f t="shared" si="2"/>
        <v>30-04-2023</v>
      </c>
      <c r="D152" t="s">
        <v>96</v>
      </c>
      <c r="E152" t="s">
        <v>121</v>
      </c>
      <c r="F152" t="s">
        <v>73</v>
      </c>
      <c r="G152" t="s">
        <v>19</v>
      </c>
      <c r="H152" t="s">
        <v>77</v>
      </c>
      <c r="I152">
        <v>5</v>
      </c>
      <c r="J152">
        <v>2663</v>
      </c>
      <c r="K152" s="7">
        <v>0.05</v>
      </c>
      <c r="L152" t="s">
        <v>31</v>
      </c>
      <c r="M152" t="s">
        <v>22</v>
      </c>
      <c r="N152" t="s">
        <v>23</v>
      </c>
      <c r="P152">
        <f>VLOOKUP(Table2[[#This Row],[Product_ID]],Table1[#All],8,TRUE)</f>
        <v>700</v>
      </c>
    </row>
    <row r="153" spans="1:16" x14ac:dyDescent="0.3">
      <c r="A153" t="s">
        <v>462</v>
      </c>
      <c r="B153" s="5" t="s">
        <v>463</v>
      </c>
      <c r="C153" s="3" t="str">
        <f t="shared" si="2"/>
        <v>10-05-2024</v>
      </c>
      <c r="D153" t="s">
        <v>114</v>
      </c>
      <c r="E153" t="s">
        <v>373</v>
      </c>
      <c r="F153" t="s">
        <v>28</v>
      </c>
      <c r="G153" t="s">
        <v>53</v>
      </c>
      <c r="H153" t="s">
        <v>77</v>
      </c>
      <c r="I153">
        <v>4</v>
      </c>
      <c r="J153">
        <v>6788</v>
      </c>
      <c r="K153" s="7">
        <v>0.15</v>
      </c>
      <c r="L153" t="s">
        <v>38</v>
      </c>
      <c r="M153" t="s">
        <v>39</v>
      </c>
      <c r="N153" t="s">
        <v>23</v>
      </c>
      <c r="O153">
        <v>3.8</v>
      </c>
      <c r="P153">
        <f>VLOOKUP(Table2[[#This Row],[Product_ID]],Table1[#All],8,TRUE)</f>
        <v>700</v>
      </c>
    </row>
    <row r="154" spans="1:16" x14ac:dyDescent="0.3">
      <c r="A154" t="s">
        <v>464</v>
      </c>
      <c r="B154" s="5" t="s">
        <v>465</v>
      </c>
      <c r="C154" s="3" t="str">
        <f t="shared" si="2"/>
        <v>04-09-2023</v>
      </c>
      <c r="D154" t="s">
        <v>26</v>
      </c>
      <c r="E154" t="s">
        <v>226</v>
      </c>
      <c r="F154" t="s">
        <v>18</v>
      </c>
      <c r="G154" t="s">
        <v>29</v>
      </c>
      <c r="H154" t="s">
        <v>30</v>
      </c>
      <c r="I154">
        <v>5</v>
      </c>
      <c r="J154">
        <v>9871</v>
      </c>
      <c r="K154" s="7">
        <v>0.05</v>
      </c>
      <c r="L154" t="s">
        <v>21</v>
      </c>
      <c r="M154" t="s">
        <v>22</v>
      </c>
      <c r="N154" t="s">
        <v>32</v>
      </c>
      <c r="O154">
        <v>3.3</v>
      </c>
      <c r="P154">
        <f>VLOOKUP(Table2[[#This Row],[Product_ID]],Table1[#All],8,TRUE)</f>
        <v>700</v>
      </c>
    </row>
    <row r="155" spans="1:16" x14ac:dyDescent="0.3">
      <c r="A155" t="s">
        <v>466</v>
      </c>
      <c r="B155" s="5" t="s">
        <v>467</v>
      </c>
      <c r="C155" s="3" t="str">
        <f t="shared" si="2"/>
        <v>29-01-2023</v>
      </c>
      <c r="D155" t="s">
        <v>114</v>
      </c>
      <c r="E155" t="s">
        <v>468</v>
      </c>
      <c r="F155" t="s">
        <v>28</v>
      </c>
      <c r="G155" t="s">
        <v>37</v>
      </c>
      <c r="H155" t="s">
        <v>99</v>
      </c>
      <c r="I155">
        <v>1</v>
      </c>
      <c r="J155">
        <v>5103</v>
      </c>
      <c r="K155" s="7">
        <v>0.2</v>
      </c>
      <c r="L155" t="s">
        <v>38</v>
      </c>
      <c r="M155" t="s">
        <v>39</v>
      </c>
      <c r="N155" t="s">
        <v>23</v>
      </c>
      <c r="P155">
        <f>VLOOKUP(Table2[[#This Row],[Product_ID]],Table1[#All],8,TRUE)</f>
        <v>1200</v>
      </c>
    </row>
    <row r="156" spans="1:16" x14ac:dyDescent="0.3">
      <c r="A156" t="s">
        <v>469</v>
      </c>
      <c r="B156" s="5" t="s">
        <v>470</v>
      </c>
      <c r="C156" s="3" t="str">
        <f t="shared" si="2"/>
        <v>07-10-2024</v>
      </c>
      <c r="D156" t="s">
        <v>127</v>
      </c>
      <c r="E156" t="s">
        <v>471</v>
      </c>
      <c r="F156" t="s">
        <v>28</v>
      </c>
      <c r="G156" t="s">
        <v>19</v>
      </c>
      <c r="H156" t="s">
        <v>77</v>
      </c>
      <c r="I156">
        <v>5</v>
      </c>
      <c r="J156">
        <v>7850</v>
      </c>
      <c r="K156" s="7">
        <v>0.1</v>
      </c>
      <c r="L156" t="s">
        <v>38</v>
      </c>
      <c r="M156" t="s">
        <v>22</v>
      </c>
      <c r="N156" t="s">
        <v>59</v>
      </c>
      <c r="P156">
        <f>VLOOKUP(Table2[[#This Row],[Product_ID]],Table1[#All],8,TRUE)</f>
        <v>700</v>
      </c>
    </row>
    <row r="157" spans="1:16" x14ac:dyDescent="0.3">
      <c r="A157" t="s">
        <v>472</v>
      </c>
      <c r="B157" s="5" t="s">
        <v>473</v>
      </c>
      <c r="C157" s="3" t="str">
        <f t="shared" si="2"/>
        <v>28-10-2024</v>
      </c>
      <c r="D157" t="s">
        <v>91</v>
      </c>
      <c r="E157" t="s">
        <v>76</v>
      </c>
      <c r="F157" t="s">
        <v>98</v>
      </c>
      <c r="G157" t="s">
        <v>53</v>
      </c>
      <c r="H157" t="s">
        <v>20</v>
      </c>
      <c r="I157">
        <v>2</v>
      </c>
      <c r="J157">
        <v>8593</v>
      </c>
      <c r="K157" s="7">
        <v>0.1</v>
      </c>
      <c r="L157" t="s">
        <v>38</v>
      </c>
      <c r="M157" t="s">
        <v>22</v>
      </c>
      <c r="N157" t="s">
        <v>48</v>
      </c>
      <c r="P157">
        <f>VLOOKUP(Table2[[#This Row],[Product_ID]],Table1[#All],8,TRUE)</f>
        <v>1500</v>
      </c>
    </row>
    <row r="158" spans="1:16" x14ac:dyDescent="0.3">
      <c r="A158" t="s">
        <v>474</v>
      </c>
      <c r="B158" s="5" t="s">
        <v>475</v>
      </c>
      <c r="C158" s="3" t="str">
        <f t="shared" si="2"/>
        <v>15-12-2024</v>
      </c>
      <c r="D158" t="s">
        <v>35</v>
      </c>
      <c r="E158" t="s">
        <v>476</v>
      </c>
      <c r="F158" t="s">
        <v>28</v>
      </c>
      <c r="G158" t="s">
        <v>19</v>
      </c>
      <c r="H158" t="s">
        <v>77</v>
      </c>
      <c r="I158">
        <v>1</v>
      </c>
      <c r="J158">
        <v>3145</v>
      </c>
      <c r="K158" s="7">
        <v>0.05</v>
      </c>
      <c r="L158" t="s">
        <v>38</v>
      </c>
      <c r="M158" t="s">
        <v>22</v>
      </c>
      <c r="N158" t="s">
        <v>32</v>
      </c>
      <c r="P158">
        <f>VLOOKUP(Table2[[#This Row],[Product_ID]],Table1[#All],8,TRUE)</f>
        <v>1200</v>
      </c>
    </row>
    <row r="159" spans="1:16" x14ac:dyDescent="0.3">
      <c r="A159" t="s">
        <v>477</v>
      </c>
      <c r="B159" s="5" t="s">
        <v>478</v>
      </c>
      <c r="C159" s="3" t="str">
        <f t="shared" si="2"/>
        <v>04-03-2024</v>
      </c>
      <c r="D159" t="s">
        <v>114</v>
      </c>
      <c r="E159" t="s">
        <v>479</v>
      </c>
      <c r="F159" t="s">
        <v>18</v>
      </c>
      <c r="G159" t="s">
        <v>37</v>
      </c>
      <c r="H159" t="s">
        <v>77</v>
      </c>
      <c r="I159">
        <v>1</v>
      </c>
      <c r="J159">
        <v>3967</v>
      </c>
      <c r="K159" s="7">
        <v>0.05</v>
      </c>
      <c r="L159" t="s">
        <v>58</v>
      </c>
      <c r="M159" t="s">
        <v>39</v>
      </c>
      <c r="N159" t="s">
        <v>48</v>
      </c>
      <c r="O159">
        <v>3.8</v>
      </c>
      <c r="P159">
        <f>VLOOKUP(Table2[[#This Row],[Product_ID]],Table1[#All],8,TRUE)</f>
        <v>1200</v>
      </c>
    </row>
    <row r="160" spans="1:16" x14ac:dyDescent="0.3">
      <c r="A160" t="s">
        <v>480</v>
      </c>
      <c r="B160" s="5" t="s">
        <v>481</v>
      </c>
      <c r="C160" s="3" t="str">
        <f t="shared" si="2"/>
        <v>01-01-2023</v>
      </c>
      <c r="D160" t="s">
        <v>16</v>
      </c>
      <c r="E160" t="s">
        <v>482</v>
      </c>
      <c r="F160" t="s">
        <v>98</v>
      </c>
      <c r="G160" t="s">
        <v>19</v>
      </c>
      <c r="H160" t="s">
        <v>99</v>
      </c>
      <c r="I160">
        <v>5</v>
      </c>
      <c r="J160">
        <v>9806</v>
      </c>
      <c r="K160" s="7">
        <v>0.2</v>
      </c>
      <c r="L160" t="s">
        <v>31</v>
      </c>
      <c r="M160" t="s">
        <v>22</v>
      </c>
      <c r="N160" t="s">
        <v>32</v>
      </c>
      <c r="O160">
        <v>4.4000000000000004</v>
      </c>
      <c r="P160">
        <f>VLOOKUP(Table2[[#This Row],[Product_ID]],Table1[#All],8,TRUE)</f>
        <v>700</v>
      </c>
    </row>
    <row r="161" spans="1:16" x14ac:dyDescent="0.3">
      <c r="A161" t="s">
        <v>483</v>
      </c>
      <c r="B161" s="5" t="s">
        <v>203</v>
      </c>
      <c r="C161" s="3" t="str">
        <f t="shared" si="2"/>
        <v>15-10-2023</v>
      </c>
      <c r="D161" t="s">
        <v>26</v>
      </c>
      <c r="E161" t="s">
        <v>102</v>
      </c>
      <c r="F161" t="s">
        <v>57</v>
      </c>
      <c r="G161" t="s">
        <v>19</v>
      </c>
      <c r="H161" t="s">
        <v>20</v>
      </c>
      <c r="I161">
        <v>4</v>
      </c>
      <c r="J161">
        <v>8455</v>
      </c>
      <c r="K161" s="7">
        <v>0.1</v>
      </c>
      <c r="L161" t="s">
        <v>31</v>
      </c>
      <c r="M161" t="s">
        <v>22</v>
      </c>
      <c r="N161" t="s">
        <v>48</v>
      </c>
      <c r="O161">
        <v>4.2</v>
      </c>
      <c r="P161">
        <f>VLOOKUP(Table2[[#This Row],[Product_ID]],Table1[#All],8,TRUE)</f>
        <v>1500</v>
      </c>
    </row>
    <row r="162" spans="1:16" x14ac:dyDescent="0.3">
      <c r="A162" t="s">
        <v>484</v>
      </c>
      <c r="B162" s="5" t="s">
        <v>485</v>
      </c>
      <c r="C162" s="3" t="str">
        <f t="shared" si="2"/>
        <v>30-03-2023</v>
      </c>
      <c r="D162" t="s">
        <v>35</v>
      </c>
      <c r="E162" t="s">
        <v>486</v>
      </c>
      <c r="F162" t="s">
        <v>43</v>
      </c>
      <c r="G162" t="s">
        <v>53</v>
      </c>
      <c r="H162" t="s">
        <v>30</v>
      </c>
      <c r="I162">
        <v>3</v>
      </c>
      <c r="J162">
        <v>1732</v>
      </c>
      <c r="K162" s="7">
        <v>0.1</v>
      </c>
      <c r="L162" t="s">
        <v>38</v>
      </c>
      <c r="M162" t="s">
        <v>39</v>
      </c>
      <c r="N162" t="s">
        <v>32</v>
      </c>
      <c r="O162">
        <v>4.5999999999999996</v>
      </c>
      <c r="P162">
        <f>VLOOKUP(Table2[[#This Row],[Product_ID]],Table1[#All],8,TRUE)</f>
        <v>500</v>
      </c>
    </row>
    <row r="163" spans="1:16" x14ac:dyDescent="0.3">
      <c r="A163" t="s">
        <v>487</v>
      </c>
      <c r="B163" s="5" t="s">
        <v>488</v>
      </c>
      <c r="C163" s="3" t="str">
        <f t="shared" si="2"/>
        <v>24-04-2023</v>
      </c>
      <c r="D163" t="s">
        <v>26</v>
      </c>
      <c r="E163" t="s">
        <v>259</v>
      </c>
      <c r="F163" t="s">
        <v>73</v>
      </c>
      <c r="G163" t="s">
        <v>53</v>
      </c>
      <c r="H163" t="s">
        <v>20</v>
      </c>
      <c r="I163">
        <v>2</v>
      </c>
      <c r="J163">
        <v>5684</v>
      </c>
      <c r="K163" s="7">
        <v>0.2</v>
      </c>
      <c r="L163" t="s">
        <v>21</v>
      </c>
      <c r="M163" t="s">
        <v>39</v>
      </c>
      <c r="N163" t="s">
        <v>32</v>
      </c>
      <c r="P163">
        <f>VLOOKUP(Table2[[#This Row],[Product_ID]],Table1[#All],8,TRUE)</f>
        <v>0</v>
      </c>
    </row>
    <row r="164" spans="1:16" x14ac:dyDescent="0.3">
      <c r="A164" t="s">
        <v>489</v>
      </c>
      <c r="B164" s="5" t="s">
        <v>490</v>
      </c>
      <c r="C164" s="3" t="str">
        <f t="shared" si="2"/>
        <v>20-01-2023</v>
      </c>
      <c r="D164" t="s">
        <v>127</v>
      </c>
      <c r="E164" t="s">
        <v>486</v>
      </c>
      <c r="F164" t="s">
        <v>18</v>
      </c>
      <c r="G164" t="s">
        <v>53</v>
      </c>
      <c r="H164" t="s">
        <v>30</v>
      </c>
      <c r="I164">
        <v>3</v>
      </c>
      <c r="J164">
        <v>5979</v>
      </c>
      <c r="K164" s="7">
        <v>0.1</v>
      </c>
      <c r="L164" t="s">
        <v>38</v>
      </c>
      <c r="M164" t="s">
        <v>39</v>
      </c>
      <c r="N164" t="s">
        <v>32</v>
      </c>
      <c r="O164">
        <v>3.6</v>
      </c>
      <c r="P164">
        <f>VLOOKUP(Table2[[#This Row],[Product_ID]],Table1[#All],8,TRUE)</f>
        <v>500</v>
      </c>
    </row>
    <row r="165" spans="1:16" x14ac:dyDescent="0.3">
      <c r="A165" t="s">
        <v>491</v>
      </c>
      <c r="B165" s="5" t="s">
        <v>492</v>
      </c>
      <c r="C165" s="3" t="str">
        <f t="shared" si="2"/>
        <v>09-08-2023</v>
      </c>
      <c r="D165" t="s">
        <v>131</v>
      </c>
      <c r="E165" t="s">
        <v>36</v>
      </c>
      <c r="F165" t="s">
        <v>73</v>
      </c>
      <c r="G165" t="s">
        <v>53</v>
      </c>
      <c r="H165" t="s">
        <v>77</v>
      </c>
      <c r="I165">
        <v>2</v>
      </c>
      <c r="J165">
        <v>5606</v>
      </c>
      <c r="K165" s="7">
        <v>0.1</v>
      </c>
      <c r="L165" t="s">
        <v>38</v>
      </c>
      <c r="M165" t="s">
        <v>22</v>
      </c>
      <c r="N165" t="s">
        <v>48</v>
      </c>
      <c r="P165">
        <f>VLOOKUP(Table2[[#This Row],[Product_ID]],Table1[#All],8,TRUE)</f>
        <v>1500</v>
      </c>
    </row>
    <row r="166" spans="1:16" x14ac:dyDescent="0.3">
      <c r="A166" t="s">
        <v>493</v>
      </c>
      <c r="B166" s="5" t="s">
        <v>375</v>
      </c>
      <c r="C166" s="3" t="str">
        <f t="shared" si="2"/>
        <v>09-08-2023</v>
      </c>
      <c r="D166" t="s">
        <v>26</v>
      </c>
      <c r="E166" t="s">
        <v>494</v>
      </c>
      <c r="F166" t="s">
        <v>98</v>
      </c>
      <c r="G166" t="s">
        <v>53</v>
      </c>
      <c r="H166" t="s">
        <v>99</v>
      </c>
      <c r="I166">
        <v>5</v>
      </c>
      <c r="J166">
        <v>8753</v>
      </c>
      <c r="K166" s="7">
        <v>0.05</v>
      </c>
      <c r="L166" t="s">
        <v>21</v>
      </c>
      <c r="M166" t="s">
        <v>22</v>
      </c>
      <c r="N166" t="s">
        <v>32</v>
      </c>
      <c r="O166">
        <v>3.6</v>
      </c>
      <c r="P166">
        <f>VLOOKUP(Table2[[#This Row],[Product_ID]],Table1[#All],8,TRUE)</f>
        <v>0</v>
      </c>
    </row>
    <row r="167" spans="1:16" x14ac:dyDescent="0.3">
      <c r="A167" t="s">
        <v>495</v>
      </c>
      <c r="B167" s="5" t="s">
        <v>496</v>
      </c>
      <c r="C167" s="3" t="str">
        <f t="shared" si="2"/>
        <v>13-04-2024</v>
      </c>
      <c r="D167" t="s">
        <v>51</v>
      </c>
      <c r="E167" t="s">
        <v>497</v>
      </c>
      <c r="F167" t="s">
        <v>43</v>
      </c>
      <c r="G167" t="s">
        <v>53</v>
      </c>
      <c r="H167" t="s">
        <v>30</v>
      </c>
      <c r="I167">
        <v>5</v>
      </c>
      <c r="J167">
        <v>5706</v>
      </c>
      <c r="K167" s="7">
        <v>0.2</v>
      </c>
      <c r="L167" t="s">
        <v>38</v>
      </c>
      <c r="M167" t="s">
        <v>39</v>
      </c>
      <c r="N167" t="s">
        <v>23</v>
      </c>
      <c r="O167">
        <v>3.1</v>
      </c>
      <c r="P167">
        <f>VLOOKUP(Table2[[#This Row],[Product_ID]],Table1[#All],8,TRUE)</f>
        <v>500</v>
      </c>
    </row>
    <row r="168" spans="1:16" x14ac:dyDescent="0.3">
      <c r="A168" t="s">
        <v>498</v>
      </c>
      <c r="B168" s="5" t="s">
        <v>499</v>
      </c>
      <c r="C168" s="3" t="str">
        <f t="shared" si="2"/>
        <v>13-02-2024</v>
      </c>
      <c r="D168" t="s">
        <v>26</v>
      </c>
      <c r="E168" t="s">
        <v>500</v>
      </c>
      <c r="F168" t="s">
        <v>64</v>
      </c>
      <c r="G168" t="s">
        <v>29</v>
      </c>
      <c r="H168" t="s">
        <v>30</v>
      </c>
      <c r="I168">
        <v>3</v>
      </c>
      <c r="J168">
        <v>6339</v>
      </c>
      <c r="K168" s="7">
        <v>0.1</v>
      </c>
      <c r="L168" t="s">
        <v>21</v>
      </c>
      <c r="M168" t="s">
        <v>39</v>
      </c>
      <c r="N168" t="s">
        <v>48</v>
      </c>
      <c r="P168">
        <f>VLOOKUP(Table2[[#This Row],[Product_ID]],Table1[#All],8,TRUE)</f>
        <v>1200</v>
      </c>
    </row>
    <row r="169" spans="1:16" x14ac:dyDescent="0.3">
      <c r="A169" t="s">
        <v>501</v>
      </c>
      <c r="B169" s="5" t="s">
        <v>258</v>
      </c>
      <c r="C169" s="3" t="str">
        <f t="shared" si="2"/>
        <v>09-05-2023</v>
      </c>
      <c r="D169" t="s">
        <v>26</v>
      </c>
      <c r="E169" t="s">
        <v>207</v>
      </c>
      <c r="F169" t="s">
        <v>18</v>
      </c>
      <c r="G169" t="s">
        <v>53</v>
      </c>
      <c r="H169" t="s">
        <v>77</v>
      </c>
      <c r="I169">
        <v>1</v>
      </c>
      <c r="J169">
        <v>1501</v>
      </c>
      <c r="K169" s="7">
        <v>0.15</v>
      </c>
      <c r="L169" t="s">
        <v>21</v>
      </c>
      <c r="M169" t="s">
        <v>39</v>
      </c>
      <c r="N169" t="s">
        <v>23</v>
      </c>
      <c r="P169">
        <f>VLOOKUP(Table2[[#This Row],[Product_ID]],Table1[#All],8,TRUE)</f>
        <v>1500</v>
      </c>
    </row>
    <row r="170" spans="1:16" x14ac:dyDescent="0.3">
      <c r="A170" t="s">
        <v>502</v>
      </c>
      <c r="B170" s="5" t="s">
        <v>461</v>
      </c>
      <c r="C170" s="3" t="str">
        <f t="shared" si="2"/>
        <v>30-04-2023</v>
      </c>
      <c r="D170" t="s">
        <v>67</v>
      </c>
      <c r="E170" t="s">
        <v>503</v>
      </c>
      <c r="F170" t="s">
        <v>18</v>
      </c>
      <c r="G170" t="s">
        <v>29</v>
      </c>
      <c r="H170" t="s">
        <v>99</v>
      </c>
      <c r="I170">
        <v>5</v>
      </c>
      <c r="J170">
        <v>9016</v>
      </c>
      <c r="K170" s="7">
        <v>0.05</v>
      </c>
      <c r="L170" t="s">
        <v>58</v>
      </c>
      <c r="M170" t="s">
        <v>39</v>
      </c>
      <c r="N170" t="s">
        <v>32</v>
      </c>
      <c r="O170">
        <v>3.2</v>
      </c>
      <c r="P170">
        <f>VLOOKUP(Table2[[#This Row],[Product_ID]],Table1[#All],8,TRUE)</f>
        <v>0</v>
      </c>
    </row>
    <row r="171" spans="1:16" x14ac:dyDescent="0.3">
      <c r="A171" t="s">
        <v>504</v>
      </c>
      <c r="B171" s="5" t="s">
        <v>388</v>
      </c>
      <c r="C171" s="3" t="str">
        <f t="shared" si="2"/>
        <v>30-05-2024</v>
      </c>
      <c r="D171" t="s">
        <v>91</v>
      </c>
      <c r="E171" t="s">
        <v>256</v>
      </c>
      <c r="F171" t="s">
        <v>98</v>
      </c>
      <c r="G171" t="s">
        <v>53</v>
      </c>
      <c r="H171" t="s">
        <v>77</v>
      </c>
      <c r="I171">
        <v>4</v>
      </c>
      <c r="J171">
        <v>6076</v>
      </c>
      <c r="K171" s="7">
        <v>0</v>
      </c>
      <c r="L171" t="s">
        <v>21</v>
      </c>
      <c r="M171" t="s">
        <v>22</v>
      </c>
      <c r="N171" t="s">
        <v>32</v>
      </c>
      <c r="O171">
        <v>4.5999999999999996</v>
      </c>
      <c r="P171">
        <f>VLOOKUP(Table2[[#This Row],[Product_ID]],Table1[#All],8,TRUE)</f>
        <v>0</v>
      </c>
    </row>
    <row r="172" spans="1:16" x14ac:dyDescent="0.3">
      <c r="A172" t="s">
        <v>505</v>
      </c>
      <c r="B172" s="5" t="s">
        <v>506</v>
      </c>
      <c r="C172" s="3" t="str">
        <f t="shared" si="2"/>
        <v>14-03-2024</v>
      </c>
      <c r="D172" t="s">
        <v>114</v>
      </c>
      <c r="E172" t="s">
        <v>507</v>
      </c>
      <c r="F172" t="s">
        <v>64</v>
      </c>
      <c r="G172" t="s">
        <v>19</v>
      </c>
      <c r="H172" t="s">
        <v>77</v>
      </c>
      <c r="I172">
        <v>4</v>
      </c>
      <c r="J172">
        <v>4556</v>
      </c>
      <c r="K172" s="7">
        <v>0.05</v>
      </c>
      <c r="L172" t="s">
        <v>21</v>
      </c>
      <c r="M172" t="s">
        <v>39</v>
      </c>
      <c r="N172" t="s">
        <v>32</v>
      </c>
      <c r="P172">
        <f>VLOOKUP(Table2[[#This Row],[Product_ID]],Table1[#All],8,TRUE)</f>
        <v>900</v>
      </c>
    </row>
    <row r="173" spans="1:16" x14ac:dyDescent="0.3">
      <c r="A173" t="s">
        <v>508</v>
      </c>
      <c r="B173" s="5" t="s">
        <v>509</v>
      </c>
      <c r="C173" s="3" t="str">
        <f t="shared" si="2"/>
        <v>18-01-2024</v>
      </c>
      <c r="D173" t="s">
        <v>67</v>
      </c>
      <c r="E173" t="s">
        <v>468</v>
      </c>
      <c r="F173" t="s">
        <v>57</v>
      </c>
      <c r="G173" t="s">
        <v>29</v>
      </c>
      <c r="H173" t="s">
        <v>99</v>
      </c>
      <c r="I173">
        <v>4</v>
      </c>
      <c r="J173">
        <v>2696</v>
      </c>
      <c r="K173" s="7">
        <v>0</v>
      </c>
      <c r="L173" t="s">
        <v>21</v>
      </c>
      <c r="M173" t="s">
        <v>39</v>
      </c>
      <c r="N173" t="s">
        <v>32</v>
      </c>
      <c r="P173">
        <f>VLOOKUP(Table2[[#This Row],[Product_ID]],Table1[#All],8,TRUE)</f>
        <v>1200</v>
      </c>
    </row>
    <row r="174" spans="1:16" x14ac:dyDescent="0.3">
      <c r="A174" t="s">
        <v>510</v>
      </c>
      <c r="B174" s="5" t="s">
        <v>511</v>
      </c>
      <c r="C174" s="3" t="str">
        <f t="shared" si="2"/>
        <v>17-01-2023</v>
      </c>
      <c r="D174" t="s">
        <v>26</v>
      </c>
      <c r="E174" t="s">
        <v>512</v>
      </c>
      <c r="F174" t="s">
        <v>28</v>
      </c>
      <c r="G174" t="s">
        <v>37</v>
      </c>
      <c r="H174" t="s">
        <v>30</v>
      </c>
      <c r="I174">
        <v>5</v>
      </c>
      <c r="J174">
        <v>7139</v>
      </c>
      <c r="K174" s="7">
        <v>0</v>
      </c>
      <c r="L174" t="s">
        <v>38</v>
      </c>
      <c r="M174" t="s">
        <v>39</v>
      </c>
      <c r="N174" t="s">
        <v>48</v>
      </c>
      <c r="P174">
        <f>VLOOKUP(Table2[[#This Row],[Product_ID]],Table1[#All],8,TRUE)</f>
        <v>500</v>
      </c>
    </row>
    <row r="175" spans="1:16" x14ac:dyDescent="0.3">
      <c r="A175" t="s">
        <v>513</v>
      </c>
      <c r="B175" s="5" t="s">
        <v>514</v>
      </c>
      <c r="C175" s="3" t="str">
        <f t="shared" si="2"/>
        <v>12-04-2024</v>
      </c>
      <c r="D175" t="s">
        <v>67</v>
      </c>
      <c r="E175" t="s">
        <v>515</v>
      </c>
      <c r="F175" t="s">
        <v>73</v>
      </c>
      <c r="G175" t="s">
        <v>29</v>
      </c>
      <c r="H175" t="s">
        <v>77</v>
      </c>
      <c r="I175">
        <v>3</v>
      </c>
      <c r="J175">
        <v>8759</v>
      </c>
      <c r="K175" s="7">
        <v>0</v>
      </c>
      <c r="L175" t="s">
        <v>31</v>
      </c>
      <c r="M175" t="s">
        <v>39</v>
      </c>
      <c r="N175" t="s">
        <v>59</v>
      </c>
      <c r="O175">
        <v>3.9</v>
      </c>
      <c r="P175">
        <f>VLOOKUP(Table2[[#This Row],[Product_ID]],Table1[#All],8,TRUE)</f>
        <v>0</v>
      </c>
    </row>
    <row r="176" spans="1:16" x14ac:dyDescent="0.3">
      <c r="A176" t="s">
        <v>516</v>
      </c>
      <c r="B176" s="5" t="s">
        <v>517</v>
      </c>
      <c r="C176" s="3" t="str">
        <f t="shared" si="2"/>
        <v>16-05-2023</v>
      </c>
      <c r="D176" t="s">
        <v>16</v>
      </c>
      <c r="E176" t="s">
        <v>518</v>
      </c>
      <c r="F176" t="s">
        <v>64</v>
      </c>
      <c r="G176" t="s">
        <v>19</v>
      </c>
      <c r="H176" t="s">
        <v>30</v>
      </c>
      <c r="I176">
        <v>2</v>
      </c>
      <c r="J176">
        <v>1259</v>
      </c>
      <c r="K176" s="7">
        <v>0.05</v>
      </c>
      <c r="L176" t="s">
        <v>38</v>
      </c>
      <c r="M176" t="s">
        <v>39</v>
      </c>
      <c r="N176" t="s">
        <v>59</v>
      </c>
      <c r="O176">
        <v>4.2</v>
      </c>
      <c r="P176">
        <f>VLOOKUP(Table2[[#This Row],[Product_ID]],Table1[#All],8,TRUE)</f>
        <v>1200</v>
      </c>
    </row>
    <row r="177" spans="1:16" x14ac:dyDescent="0.3">
      <c r="A177" t="s">
        <v>519</v>
      </c>
      <c r="B177" s="5" t="s">
        <v>520</v>
      </c>
      <c r="C177" s="3" t="str">
        <f t="shared" si="2"/>
        <v>23-07-2023</v>
      </c>
      <c r="D177" t="s">
        <v>80</v>
      </c>
      <c r="E177" t="s">
        <v>521</v>
      </c>
      <c r="F177" t="s">
        <v>18</v>
      </c>
      <c r="G177" t="s">
        <v>53</v>
      </c>
      <c r="H177" t="s">
        <v>20</v>
      </c>
      <c r="I177">
        <v>3</v>
      </c>
      <c r="J177">
        <v>7137</v>
      </c>
      <c r="K177" s="7">
        <v>0.1</v>
      </c>
      <c r="L177" t="s">
        <v>58</v>
      </c>
      <c r="M177" t="s">
        <v>22</v>
      </c>
      <c r="N177" t="s">
        <v>23</v>
      </c>
      <c r="O177">
        <v>4.3</v>
      </c>
      <c r="P177">
        <f>VLOOKUP(Table2[[#This Row],[Product_ID]],Table1[#All],8,TRUE)</f>
        <v>1500</v>
      </c>
    </row>
    <row r="178" spans="1:16" x14ac:dyDescent="0.3">
      <c r="A178" t="s">
        <v>522</v>
      </c>
      <c r="B178" s="5" t="s">
        <v>523</v>
      </c>
      <c r="C178" s="3" t="str">
        <f t="shared" si="2"/>
        <v>25-01-2024</v>
      </c>
      <c r="D178" t="s">
        <v>51</v>
      </c>
      <c r="E178" t="s">
        <v>507</v>
      </c>
      <c r="F178" t="s">
        <v>18</v>
      </c>
      <c r="G178" t="s">
        <v>37</v>
      </c>
      <c r="H178" t="s">
        <v>77</v>
      </c>
      <c r="I178">
        <v>1</v>
      </c>
      <c r="J178">
        <v>3914</v>
      </c>
      <c r="K178" s="7">
        <v>0</v>
      </c>
      <c r="L178" t="s">
        <v>31</v>
      </c>
      <c r="M178" t="s">
        <v>39</v>
      </c>
      <c r="N178" t="s">
        <v>23</v>
      </c>
      <c r="O178">
        <v>4.2</v>
      </c>
      <c r="P178">
        <f>VLOOKUP(Table2[[#This Row],[Product_ID]],Table1[#All],8,TRUE)</f>
        <v>900</v>
      </c>
    </row>
    <row r="179" spans="1:16" x14ac:dyDescent="0.3">
      <c r="A179" t="s">
        <v>524</v>
      </c>
      <c r="B179" s="5" t="s">
        <v>525</v>
      </c>
      <c r="C179" s="3" t="str">
        <f t="shared" si="2"/>
        <v>04-01-2024</v>
      </c>
      <c r="D179" t="s">
        <v>96</v>
      </c>
      <c r="E179" t="s">
        <v>526</v>
      </c>
      <c r="F179" t="s">
        <v>64</v>
      </c>
      <c r="G179" t="s">
        <v>29</v>
      </c>
      <c r="H179" t="s">
        <v>30</v>
      </c>
      <c r="I179">
        <v>4</v>
      </c>
      <c r="J179">
        <v>1840</v>
      </c>
      <c r="K179" s="7">
        <v>0.15</v>
      </c>
      <c r="L179" t="s">
        <v>38</v>
      </c>
      <c r="M179" t="s">
        <v>39</v>
      </c>
      <c r="N179" t="s">
        <v>23</v>
      </c>
      <c r="O179">
        <v>4.4000000000000004</v>
      </c>
      <c r="P179">
        <f>VLOOKUP(Table2[[#This Row],[Product_ID]],Table1[#All],8,TRUE)</f>
        <v>1200</v>
      </c>
    </row>
    <row r="180" spans="1:16" x14ac:dyDescent="0.3">
      <c r="A180" t="s">
        <v>150</v>
      </c>
      <c r="B180" s="5" t="s">
        <v>527</v>
      </c>
      <c r="C180" s="3" t="str">
        <f t="shared" si="2"/>
        <v>14-11-2024</v>
      </c>
      <c r="D180" t="s">
        <v>67</v>
      </c>
      <c r="E180" t="s">
        <v>528</v>
      </c>
      <c r="F180" t="s">
        <v>73</v>
      </c>
      <c r="G180" t="s">
        <v>53</v>
      </c>
      <c r="H180" t="s">
        <v>20</v>
      </c>
      <c r="I180">
        <v>1</v>
      </c>
      <c r="J180">
        <v>3093</v>
      </c>
      <c r="K180" s="7">
        <v>0.15</v>
      </c>
      <c r="L180" t="s">
        <v>38</v>
      </c>
      <c r="M180" t="s">
        <v>39</v>
      </c>
      <c r="N180" t="s">
        <v>32</v>
      </c>
      <c r="P180">
        <f>VLOOKUP(Table2[[#This Row],[Product_ID]],Table1[#All],8,TRUE)</f>
        <v>500</v>
      </c>
    </row>
    <row r="181" spans="1:16" x14ac:dyDescent="0.3">
      <c r="A181" t="s">
        <v>529</v>
      </c>
      <c r="B181" s="5" t="s">
        <v>530</v>
      </c>
      <c r="C181" s="3" t="str">
        <f t="shared" si="2"/>
        <v>14-11-2023</v>
      </c>
      <c r="D181" t="s">
        <v>51</v>
      </c>
      <c r="E181" t="s">
        <v>256</v>
      </c>
      <c r="F181" t="s">
        <v>43</v>
      </c>
      <c r="G181" t="s">
        <v>53</v>
      </c>
      <c r="H181" t="s">
        <v>99</v>
      </c>
      <c r="I181">
        <v>2</v>
      </c>
      <c r="J181">
        <v>6394</v>
      </c>
      <c r="K181" s="7">
        <v>0.1</v>
      </c>
      <c r="L181" t="s">
        <v>21</v>
      </c>
      <c r="M181" t="s">
        <v>22</v>
      </c>
      <c r="N181" t="s">
        <v>59</v>
      </c>
      <c r="O181">
        <v>4</v>
      </c>
      <c r="P181">
        <f>VLOOKUP(Table2[[#This Row],[Product_ID]],Table1[#All],8,TRUE)</f>
        <v>0</v>
      </c>
    </row>
    <row r="182" spans="1:16" x14ac:dyDescent="0.3">
      <c r="A182" t="s">
        <v>531</v>
      </c>
      <c r="B182" s="5" t="s">
        <v>532</v>
      </c>
      <c r="C182" s="3" t="str">
        <f t="shared" si="2"/>
        <v>05-10-2023</v>
      </c>
      <c r="D182" t="s">
        <v>84</v>
      </c>
      <c r="E182" t="s">
        <v>395</v>
      </c>
      <c r="F182" t="s">
        <v>28</v>
      </c>
      <c r="G182" t="s">
        <v>37</v>
      </c>
      <c r="H182" t="s">
        <v>77</v>
      </c>
      <c r="I182">
        <v>2</v>
      </c>
      <c r="J182">
        <v>7770</v>
      </c>
      <c r="K182" s="7">
        <v>0.15</v>
      </c>
      <c r="L182" t="s">
        <v>38</v>
      </c>
      <c r="M182" t="s">
        <v>39</v>
      </c>
      <c r="N182" t="s">
        <v>48</v>
      </c>
      <c r="O182">
        <v>4.3</v>
      </c>
      <c r="P182">
        <f>VLOOKUP(Table2[[#This Row],[Product_ID]],Table1[#All],8,TRUE)</f>
        <v>0</v>
      </c>
    </row>
    <row r="183" spans="1:16" x14ac:dyDescent="0.3">
      <c r="A183" t="s">
        <v>533</v>
      </c>
      <c r="B183" s="5" t="s">
        <v>534</v>
      </c>
      <c r="C183" s="3" t="str">
        <f t="shared" si="2"/>
        <v>14-12-2023</v>
      </c>
      <c r="D183" t="s">
        <v>67</v>
      </c>
      <c r="E183" t="s">
        <v>535</v>
      </c>
      <c r="F183" t="s">
        <v>57</v>
      </c>
      <c r="G183" t="s">
        <v>29</v>
      </c>
      <c r="H183" t="s">
        <v>20</v>
      </c>
      <c r="I183">
        <v>4</v>
      </c>
      <c r="J183">
        <v>6607</v>
      </c>
      <c r="K183" s="7">
        <v>0.15</v>
      </c>
      <c r="L183" t="s">
        <v>21</v>
      </c>
      <c r="M183" t="s">
        <v>22</v>
      </c>
      <c r="N183" t="s">
        <v>32</v>
      </c>
      <c r="O183">
        <v>3.1</v>
      </c>
      <c r="P183">
        <f>VLOOKUP(Table2[[#This Row],[Product_ID]],Table1[#All],8,TRUE)</f>
        <v>0</v>
      </c>
    </row>
    <row r="184" spans="1:16" x14ac:dyDescent="0.3">
      <c r="A184" t="s">
        <v>536</v>
      </c>
      <c r="B184" s="5" t="s">
        <v>537</v>
      </c>
      <c r="C184" s="3" t="str">
        <f t="shared" si="2"/>
        <v>24-03-2023</v>
      </c>
      <c r="D184" t="s">
        <v>16</v>
      </c>
      <c r="E184" t="s">
        <v>253</v>
      </c>
      <c r="F184" t="s">
        <v>64</v>
      </c>
      <c r="G184" t="s">
        <v>53</v>
      </c>
      <c r="H184" t="s">
        <v>99</v>
      </c>
      <c r="I184">
        <v>2</v>
      </c>
      <c r="J184">
        <v>3371</v>
      </c>
      <c r="K184" s="7">
        <v>0.2</v>
      </c>
      <c r="L184" t="s">
        <v>58</v>
      </c>
      <c r="M184" t="s">
        <v>39</v>
      </c>
      <c r="N184" t="s">
        <v>32</v>
      </c>
      <c r="O184">
        <v>4.5</v>
      </c>
      <c r="P184">
        <f>VLOOKUP(Table2[[#This Row],[Product_ID]],Table1[#All],8,TRUE)</f>
        <v>0</v>
      </c>
    </row>
    <row r="185" spans="1:16" x14ac:dyDescent="0.3">
      <c r="A185" t="s">
        <v>538</v>
      </c>
      <c r="B185" s="5" t="s">
        <v>539</v>
      </c>
      <c r="C185" s="3" t="str">
        <f t="shared" si="2"/>
        <v>30-04-2023</v>
      </c>
      <c r="D185" t="s">
        <v>84</v>
      </c>
      <c r="E185" t="s">
        <v>540</v>
      </c>
      <c r="F185" t="s">
        <v>73</v>
      </c>
      <c r="G185" t="s">
        <v>19</v>
      </c>
      <c r="H185" t="s">
        <v>30</v>
      </c>
      <c r="I185">
        <v>4</v>
      </c>
      <c r="J185">
        <v>1520</v>
      </c>
      <c r="K185" s="7">
        <v>0.05</v>
      </c>
      <c r="L185" t="s">
        <v>58</v>
      </c>
      <c r="M185" t="s">
        <v>39</v>
      </c>
      <c r="N185" t="s">
        <v>59</v>
      </c>
      <c r="O185">
        <v>4.2</v>
      </c>
      <c r="P185">
        <f>VLOOKUP(Table2[[#This Row],[Product_ID]],Table1[#All],8,TRUE)</f>
        <v>1500</v>
      </c>
    </row>
    <row r="186" spans="1:16" x14ac:dyDescent="0.3">
      <c r="A186" t="s">
        <v>541</v>
      </c>
      <c r="B186" s="5" t="s">
        <v>542</v>
      </c>
      <c r="C186" s="3" t="str">
        <f t="shared" si="2"/>
        <v>12-10-2023</v>
      </c>
      <c r="D186" t="s">
        <v>114</v>
      </c>
      <c r="E186" t="s">
        <v>543</v>
      </c>
      <c r="F186" t="s">
        <v>57</v>
      </c>
      <c r="G186" t="s">
        <v>19</v>
      </c>
      <c r="H186" t="s">
        <v>77</v>
      </c>
      <c r="I186">
        <v>4</v>
      </c>
      <c r="J186">
        <v>5919</v>
      </c>
      <c r="K186" s="7">
        <v>0.15</v>
      </c>
      <c r="L186" t="s">
        <v>58</v>
      </c>
      <c r="M186" t="s">
        <v>22</v>
      </c>
      <c r="N186" t="s">
        <v>32</v>
      </c>
      <c r="O186">
        <v>4.9000000000000004</v>
      </c>
      <c r="P186">
        <f>VLOOKUP(Table2[[#This Row],[Product_ID]],Table1[#All],8,TRUE)</f>
        <v>1500</v>
      </c>
    </row>
    <row r="187" spans="1:16" x14ac:dyDescent="0.3">
      <c r="A187" t="s">
        <v>544</v>
      </c>
      <c r="B187" s="5" t="s">
        <v>545</v>
      </c>
      <c r="C187" s="3" t="str">
        <f t="shared" si="2"/>
        <v>20-08-2023</v>
      </c>
      <c r="D187" t="s">
        <v>91</v>
      </c>
      <c r="E187" t="s">
        <v>546</v>
      </c>
      <c r="F187" t="s">
        <v>18</v>
      </c>
      <c r="G187" t="s">
        <v>53</v>
      </c>
      <c r="H187" t="s">
        <v>20</v>
      </c>
      <c r="I187">
        <v>3</v>
      </c>
      <c r="J187">
        <v>4507</v>
      </c>
      <c r="K187" s="7">
        <v>0</v>
      </c>
      <c r="L187" t="s">
        <v>58</v>
      </c>
      <c r="M187" t="s">
        <v>39</v>
      </c>
      <c r="N187" t="s">
        <v>23</v>
      </c>
      <c r="P187">
        <f>VLOOKUP(Table2[[#This Row],[Product_ID]],Table1[#All],8,TRUE)</f>
        <v>900</v>
      </c>
    </row>
    <row r="188" spans="1:16" x14ac:dyDescent="0.3">
      <c r="A188" t="s">
        <v>547</v>
      </c>
      <c r="B188" s="5" t="s">
        <v>313</v>
      </c>
      <c r="C188" s="3" t="str">
        <f t="shared" si="2"/>
        <v>09-03-2023</v>
      </c>
      <c r="D188" t="s">
        <v>96</v>
      </c>
      <c r="E188" t="s">
        <v>398</v>
      </c>
      <c r="F188" t="s">
        <v>98</v>
      </c>
      <c r="G188" t="s">
        <v>19</v>
      </c>
      <c r="H188" t="s">
        <v>77</v>
      </c>
      <c r="I188">
        <v>1</v>
      </c>
      <c r="J188">
        <v>1250</v>
      </c>
      <c r="K188" s="7">
        <v>0</v>
      </c>
      <c r="L188" t="s">
        <v>31</v>
      </c>
      <c r="M188" t="s">
        <v>39</v>
      </c>
      <c r="N188" t="s">
        <v>23</v>
      </c>
      <c r="P188">
        <f>VLOOKUP(Table2[[#This Row],[Product_ID]],Table1[#All],8,TRUE)</f>
        <v>700</v>
      </c>
    </row>
    <row r="189" spans="1:16" x14ac:dyDescent="0.3">
      <c r="A189" t="s">
        <v>548</v>
      </c>
      <c r="B189" s="5" t="s">
        <v>549</v>
      </c>
      <c r="C189" s="3" t="str">
        <f t="shared" si="2"/>
        <v>06-11-2024</v>
      </c>
      <c r="D189" t="s">
        <v>46</v>
      </c>
      <c r="E189" t="s">
        <v>550</v>
      </c>
      <c r="F189" t="s">
        <v>43</v>
      </c>
      <c r="G189" t="s">
        <v>19</v>
      </c>
      <c r="H189" t="s">
        <v>30</v>
      </c>
      <c r="I189">
        <v>5</v>
      </c>
      <c r="J189">
        <v>4843</v>
      </c>
      <c r="K189" s="7">
        <v>0.1</v>
      </c>
      <c r="L189" t="s">
        <v>58</v>
      </c>
      <c r="M189" t="s">
        <v>39</v>
      </c>
      <c r="N189" t="s">
        <v>23</v>
      </c>
      <c r="O189">
        <v>4.3</v>
      </c>
      <c r="P189">
        <f>VLOOKUP(Table2[[#This Row],[Product_ID]],Table1[#All],8,TRUE)</f>
        <v>700</v>
      </c>
    </row>
    <row r="190" spans="1:16" x14ac:dyDescent="0.3">
      <c r="A190" t="s">
        <v>551</v>
      </c>
      <c r="B190" s="5" t="s">
        <v>552</v>
      </c>
      <c r="C190" s="3" t="str">
        <f t="shared" si="2"/>
        <v>15-10-2024</v>
      </c>
      <c r="D190" t="s">
        <v>91</v>
      </c>
      <c r="E190" t="s">
        <v>368</v>
      </c>
      <c r="F190" t="s">
        <v>43</v>
      </c>
      <c r="G190" t="s">
        <v>19</v>
      </c>
      <c r="H190" t="s">
        <v>30</v>
      </c>
      <c r="I190">
        <v>2</v>
      </c>
      <c r="J190">
        <v>2942</v>
      </c>
      <c r="K190" s="7">
        <v>0.15</v>
      </c>
      <c r="L190" t="s">
        <v>38</v>
      </c>
      <c r="M190" t="s">
        <v>22</v>
      </c>
      <c r="N190" t="s">
        <v>23</v>
      </c>
      <c r="O190">
        <v>3.4</v>
      </c>
      <c r="P190">
        <f>VLOOKUP(Table2[[#This Row],[Product_ID]],Table1[#All],8,TRUE)</f>
        <v>1500</v>
      </c>
    </row>
    <row r="191" spans="1:16" x14ac:dyDescent="0.3">
      <c r="A191" t="s">
        <v>553</v>
      </c>
      <c r="B191" s="5" t="s">
        <v>554</v>
      </c>
      <c r="C191" s="3" t="str">
        <f t="shared" si="2"/>
        <v>26-11-2024</v>
      </c>
      <c r="D191" t="s">
        <v>80</v>
      </c>
      <c r="E191" t="s">
        <v>281</v>
      </c>
      <c r="F191" t="s">
        <v>18</v>
      </c>
      <c r="G191" t="s">
        <v>37</v>
      </c>
      <c r="H191" t="s">
        <v>30</v>
      </c>
      <c r="I191">
        <v>2</v>
      </c>
      <c r="J191">
        <v>1990</v>
      </c>
      <c r="K191" s="7">
        <v>0.15</v>
      </c>
      <c r="L191" t="s">
        <v>31</v>
      </c>
      <c r="M191" t="s">
        <v>22</v>
      </c>
      <c r="N191" t="s">
        <v>48</v>
      </c>
      <c r="O191">
        <v>4.4000000000000004</v>
      </c>
      <c r="P191">
        <f>VLOOKUP(Table2[[#This Row],[Product_ID]],Table1[#All],8,TRUE)</f>
        <v>1200</v>
      </c>
    </row>
    <row r="192" spans="1:16" x14ac:dyDescent="0.3">
      <c r="A192" t="s">
        <v>555</v>
      </c>
      <c r="B192" s="5" t="s">
        <v>556</v>
      </c>
      <c r="C192" s="3" t="str">
        <f t="shared" si="2"/>
        <v>07-03-2024</v>
      </c>
      <c r="D192" t="s">
        <v>84</v>
      </c>
      <c r="E192" t="s">
        <v>557</v>
      </c>
      <c r="F192" t="s">
        <v>18</v>
      </c>
      <c r="G192" t="s">
        <v>29</v>
      </c>
      <c r="H192" t="s">
        <v>20</v>
      </c>
      <c r="I192">
        <v>5</v>
      </c>
      <c r="J192">
        <v>5759</v>
      </c>
      <c r="K192" s="7">
        <v>0.2</v>
      </c>
      <c r="L192" t="s">
        <v>38</v>
      </c>
      <c r="M192" t="s">
        <v>22</v>
      </c>
      <c r="N192" t="s">
        <v>48</v>
      </c>
      <c r="P192">
        <f>VLOOKUP(Table2[[#This Row],[Product_ID]],Table1[#All],8,TRUE)</f>
        <v>1500</v>
      </c>
    </row>
    <row r="193" spans="1:16" x14ac:dyDescent="0.3">
      <c r="A193" t="s">
        <v>558</v>
      </c>
      <c r="B193" s="5" t="s">
        <v>559</v>
      </c>
      <c r="C193" s="3" t="str">
        <f t="shared" si="2"/>
        <v>08-08-2024</v>
      </c>
      <c r="D193" t="s">
        <v>84</v>
      </c>
      <c r="E193" t="s">
        <v>560</v>
      </c>
      <c r="F193" t="s">
        <v>64</v>
      </c>
      <c r="G193" t="s">
        <v>19</v>
      </c>
      <c r="H193" t="s">
        <v>30</v>
      </c>
      <c r="I193">
        <v>4</v>
      </c>
      <c r="J193">
        <v>5784</v>
      </c>
      <c r="K193" s="7">
        <v>0.1</v>
      </c>
      <c r="L193" t="s">
        <v>58</v>
      </c>
      <c r="M193" t="s">
        <v>22</v>
      </c>
      <c r="N193" t="s">
        <v>32</v>
      </c>
      <c r="O193">
        <v>3.4</v>
      </c>
      <c r="P193">
        <f>VLOOKUP(Table2[[#This Row],[Product_ID]],Table1[#All],8,TRUE)</f>
        <v>500</v>
      </c>
    </row>
    <row r="194" spans="1:16" x14ac:dyDescent="0.3">
      <c r="A194" t="s">
        <v>561</v>
      </c>
      <c r="B194" s="5" t="s">
        <v>562</v>
      </c>
      <c r="C194" s="3" t="str">
        <f t="shared" ref="C194:C257" si="3">TEXT(B194,"dd-mm-yyyy")</f>
        <v>30-09-2023</v>
      </c>
      <c r="D194" t="s">
        <v>131</v>
      </c>
      <c r="E194" t="s">
        <v>563</v>
      </c>
      <c r="F194" t="s">
        <v>18</v>
      </c>
      <c r="G194" t="s">
        <v>53</v>
      </c>
      <c r="H194" t="s">
        <v>77</v>
      </c>
      <c r="I194">
        <v>1</v>
      </c>
      <c r="J194">
        <v>3206</v>
      </c>
      <c r="K194" s="7">
        <v>0.15</v>
      </c>
      <c r="L194" t="s">
        <v>38</v>
      </c>
      <c r="M194" t="s">
        <v>39</v>
      </c>
      <c r="N194" t="s">
        <v>32</v>
      </c>
      <c r="O194">
        <v>4.3</v>
      </c>
      <c r="P194">
        <f>VLOOKUP(Table2[[#This Row],[Product_ID]],Table1[#All],8,TRUE)</f>
        <v>0</v>
      </c>
    </row>
    <row r="195" spans="1:16" x14ac:dyDescent="0.3">
      <c r="A195" t="s">
        <v>564</v>
      </c>
      <c r="B195" s="5" t="s">
        <v>565</v>
      </c>
      <c r="C195" s="3" t="str">
        <f t="shared" si="3"/>
        <v>03-08-2024</v>
      </c>
      <c r="D195" t="s">
        <v>91</v>
      </c>
      <c r="E195" t="s">
        <v>566</v>
      </c>
      <c r="F195" t="s">
        <v>98</v>
      </c>
      <c r="G195" t="s">
        <v>19</v>
      </c>
      <c r="H195" t="s">
        <v>77</v>
      </c>
      <c r="I195">
        <v>1</v>
      </c>
      <c r="J195">
        <v>7875</v>
      </c>
      <c r="K195" s="7">
        <v>0.15</v>
      </c>
      <c r="L195" t="s">
        <v>21</v>
      </c>
      <c r="M195" t="s">
        <v>22</v>
      </c>
      <c r="N195" t="s">
        <v>32</v>
      </c>
      <c r="O195">
        <v>3</v>
      </c>
      <c r="P195">
        <f>VLOOKUP(Table2[[#This Row],[Product_ID]],Table1[#All],8,TRUE)</f>
        <v>900</v>
      </c>
    </row>
    <row r="196" spans="1:16" x14ac:dyDescent="0.3">
      <c r="A196" t="s">
        <v>567</v>
      </c>
      <c r="B196" s="5" t="s">
        <v>568</v>
      </c>
      <c r="C196" s="3" t="str">
        <f t="shared" si="3"/>
        <v>14-12-2024</v>
      </c>
      <c r="D196" t="s">
        <v>67</v>
      </c>
      <c r="E196" t="s">
        <v>569</v>
      </c>
      <c r="F196" t="s">
        <v>18</v>
      </c>
      <c r="G196" t="s">
        <v>29</v>
      </c>
      <c r="H196" t="s">
        <v>30</v>
      </c>
      <c r="I196">
        <v>5</v>
      </c>
      <c r="J196">
        <v>7288</v>
      </c>
      <c r="K196" s="7">
        <v>0.15</v>
      </c>
      <c r="L196" t="s">
        <v>58</v>
      </c>
      <c r="M196" t="s">
        <v>22</v>
      </c>
      <c r="N196" t="s">
        <v>23</v>
      </c>
      <c r="O196">
        <v>4.2</v>
      </c>
      <c r="P196">
        <f>VLOOKUP(Table2[[#This Row],[Product_ID]],Table1[#All],8,TRUE)</f>
        <v>1500</v>
      </c>
    </row>
    <row r="197" spans="1:16" x14ac:dyDescent="0.3">
      <c r="A197" t="s">
        <v>570</v>
      </c>
      <c r="B197" s="5" t="s">
        <v>571</v>
      </c>
      <c r="C197" s="3" t="str">
        <f t="shared" si="3"/>
        <v>31-01-2024</v>
      </c>
      <c r="D197" t="s">
        <v>62</v>
      </c>
      <c r="E197" t="s">
        <v>572</v>
      </c>
      <c r="F197" t="s">
        <v>98</v>
      </c>
      <c r="G197" t="s">
        <v>37</v>
      </c>
      <c r="H197" t="s">
        <v>30</v>
      </c>
      <c r="I197">
        <v>5</v>
      </c>
      <c r="J197">
        <v>2854</v>
      </c>
      <c r="K197" s="7">
        <v>0.15</v>
      </c>
      <c r="L197" t="s">
        <v>58</v>
      </c>
      <c r="M197" t="s">
        <v>39</v>
      </c>
      <c r="N197" t="s">
        <v>48</v>
      </c>
      <c r="P197">
        <f>VLOOKUP(Table2[[#This Row],[Product_ID]],Table1[#All],8,TRUE)</f>
        <v>700</v>
      </c>
    </row>
    <row r="198" spans="1:16" x14ac:dyDescent="0.3">
      <c r="A198" t="s">
        <v>573</v>
      </c>
      <c r="B198" s="5" t="s">
        <v>574</v>
      </c>
      <c r="C198" s="3" t="str">
        <f t="shared" si="3"/>
        <v>23-03-2023</v>
      </c>
      <c r="D198" t="s">
        <v>96</v>
      </c>
      <c r="E198" t="s">
        <v>575</v>
      </c>
      <c r="F198" t="s">
        <v>57</v>
      </c>
      <c r="G198" t="s">
        <v>37</v>
      </c>
      <c r="H198" t="s">
        <v>20</v>
      </c>
      <c r="I198">
        <v>5</v>
      </c>
      <c r="J198">
        <v>5008</v>
      </c>
      <c r="K198" s="7">
        <v>0.15</v>
      </c>
      <c r="L198" t="s">
        <v>21</v>
      </c>
      <c r="M198" t="s">
        <v>22</v>
      </c>
      <c r="N198" t="s">
        <v>48</v>
      </c>
      <c r="P198">
        <f>VLOOKUP(Table2[[#This Row],[Product_ID]],Table1[#All],8,TRUE)</f>
        <v>0</v>
      </c>
    </row>
    <row r="199" spans="1:16" x14ac:dyDescent="0.3">
      <c r="A199" t="s">
        <v>576</v>
      </c>
      <c r="B199" s="5" t="s">
        <v>294</v>
      </c>
      <c r="C199" s="3" t="str">
        <f t="shared" si="3"/>
        <v>24-06-2024</v>
      </c>
      <c r="D199" t="s">
        <v>71</v>
      </c>
      <c r="E199" t="s">
        <v>577</v>
      </c>
      <c r="F199" t="s">
        <v>98</v>
      </c>
      <c r="G199" t="s">
        <v>53</v>
      </c>
      <c r="H199" t="s">
        <v>77</v>
      </c>
      <c r="I199">
        <v>5</v>
      </c>
      <c r="J199">
        <v>6907</v>
      </c>
      <c r="K199" s="7">
        <v>0.15</v>
      </c>
      <c r="L199" t="s">
        <v>58</v>
      </c>
      <c r="M199" t="s">
        <v>22</v>
      </c>
      <c r="N199" t="s">
        <v>23</v>
      </c>
      <c r="P199">
        <f>VLOOKUP(Table2[[#This Row],[Product_ID]],Table1[#All],8,TRUE)</f>
        <v>900</v>
      </c>
    </row>
    <row r="200" spans="1:16" x14ac:dyDescent="0.3">
      <c r="A200" t="s">
        <v>578</v>
      </c>
      <c r="B200" s="5" t="s">
        <v>579</v>
      </c>
      <c r="C200" s="3" t="str">
        <f t="shared" si="3"/>
        <v>23-06-2023</v>
      </c>
      <c r="D200" t="s">
        <v>62</v>
      </c>
      <c r="E200" t="s">
        <v>518</v>
      </c>
      <c r="F200" t="s">
        <v>64</v>
      </c>
      <c r="G200" t="s">
        <v>29</v>
      </c>
      <c r="H200" t="s">
        <v>77</v>
      </c>
      <c r="I200">
        <v>2</v>
      </c>
      <c r="J200">
        <v>6401</v>
      </c>
      <c r="K200" s="7">
        <v>0.2</v>
      </c>
      <c r="L200" t="s">
        <v>31</v>
      </c>
      <c r="M200" t="s">
        <v>39</v>
      </c>
      <c r="N200" t="s">
        <v>48</v>
      </c>
      <c r="O200">
        <v>4.5999999999999996</v>
      </c>
      <c r="P200">
        <f>VLOOKUP(Table2[[#This Row],[Product_ID]],Table1[#All],8,TRUE)</f>
        <v>1200</v>
      </c>
    </row>
    <row r="201" spans="1:16" x14ac:dyDescent="0.3">
      <c r="A201" t="s">
        <v>580</v>
      </c>
      <c r="B201" s="5" t="s">
        <v>581</v>
      </c>
      <c r="C201" s="3" t="str">
        <f t="shared" si="3"/>
        <v>29-09-2024</v>
      </c>
      <c r="D201" t="s">
        <v>62</v>
      </c>
      <c r="E201" t="s">
        <v>582</v>
      </c>
      <c r="F201" t="s">
        <v>98</v>
      </c>
      <c r="G201" t="s">
        <v>19</v>
      </c>
      <c r="H201" t="s">
        <v>99</v>
      </c>
      <c r="I201">
        <v>3</v>
      </c>
      <c r="J201">
        <v>9692</v>
      </c>
      <c r="K201" s="7">
        <v>0.05</v>
      </c>
      <c r="L201" t="s">
        <v>31</v>
      </c>
      <c r="M201" t="s">
        <v>39</v>
      </c>
      <c r="N201" t="s">
        <v>59</v>
      </c>
      <c r="O201">
        <v>3.1</v>
      </c>
      <c r="P201">
        <f>VLOOKUP(Table2[[#This Row],[Product_ID]],Table1[#All],8,TRUE)</f>
        <v>900</v>
      </c>
    </row>
    <row r="202" spans="1:16" x14ac:dyDescent="0.3">
      <c r="A202" t="s">
        <v>583</v>
      </c>
      <c r="B202" s="5" t="s">
        <v>584</v>
      </c>
      <c r="C202" s="3" t="str">
        <f t="shared" si="3"/>
        <v>26-12-2023</v>
      </c>
      <c r="D202" t="s">
        <v>127</v>
      </c>
      <c r="E202" t="s">
        <v>585</v>
      </c>
      <c r="F202" t="s">
        <v>73</v>
      </c>
      <c r="G202" t="s">
        <v>19</v>
      </c>
      <c r="H202" t="s">
        <v>99</v>
      </c>
      <c r="I202">
        <v>3</v>
      </c>
      <c r="J202">
        <v>9306</v>
      </c>
      <c r="K202" s="7">
        <v>0.05</v>
      </c>
      <c r="L202" t="s">
        <v>38</v>
      </c>
      <c r="M202" t="s">
        <v>22</v>
      </c>
      <c r="N202" t="s">
        <v>59</v>
      </c>
      <c r="O202">
        <v>3.9</v>
      </c>
      <c r="P202">
        <f>VLOOKUP(Table2[[#This Row],[Product_ID]],Table1[#All],8,TRUE)</f>
        <v>700</v>
      </c>
    </row>
    <row r="203" spans="1:16" x14ac:dyDescent="0.3">
      <c r="A203" t="s">
        <v>586</v>
      </c>
      <c r="B203" s="5" t="s">
        <v>587</v>
      </c>
      <c r="C203" s="3" t="str">
        <f t="shared" si="3"/>
        <v>27-06-2024</v>
      </c>
      <c r="D203" t="s">
        <v>127</v>
      </c>
      <c r="E203" t="s">
        <v>471</v>
      </c>
      <c r="F203" t="s">
        <v>64</v>
      </c>
      <c r="G203" t="s">
        <v>53</v>
      </c>
      <c r="H203" t="s">
        <v>30</v>
      </c>
      <c r="I203">
        <v>4</v>
      </c>
      <c r="J203">
        <v>6314</v>
      </c>
      <c r="K203" s="7">
        <v>0</v>
      </c>
      <c r="L203" t="s">
        <v>38</v>
      </c>
      <c r="M203" t="s">
        <v>39</v>
      </c>
      <c r="N203" t="s">
        <v>32</v>
      </c>
      <c r="O203">
        <v>4.2</v>
      </c>
      <c r="P203">
        <f>VLOOKUP(Table2[[#This Row],[Product_ID]],Table1[#All],8,TRUE)</f>
        <v>700</v>
      </c>
    </row>
    <row r="204" spans="1:16" x14ac:dyDescent="0.3">
      <c r="A204" t="s">
        <v>588</v>
      </c>
      <c r="B204" s="5" t="s">
        <v>589</v>
      </c>
      <c r="C204" s="3" t="str">
        <f t="shared" si="3"/>
        <v>22-05-2024</v>
      </c>
      <c r="D204" t="s">
        <v>84</v>
      </c>
      <c r="E204" t="s">
        <v>93</v>
      </c>
      <c r="F204" t="s">
        <v>98</v>
      </c>
      <c r="G204" t="s">
        <v>29</v>
      </c>
      <c r="H204" t="s">
        <v>30</v>
      </c>
      <c r="I204">
        <v>3</v>
      </c>
      <c r="J204">
        <v>7438</v>
      </c>
      <c r="K204" s="7">
        <v>0.2</v>
      </c>
      <c r="L204" t="s">
        <v>38</v>
      </c>
      <c r="M204" t="s">
        <v>22</v>
      </c>
      <c r="N204" t="s">
        <v>23</v>
      </c>
      <c r="P204">
        <f>VLOOKUP(Table2[[#This Row],[Product_ID]],Table1[#All],8,TRUE)</f>
        <v>700</v>
      </c>
    </row>
    <row r="205" spans="1:16" x14ac:dyDescent="0.3">
      <c r="A205" t="s">
        <v>590</v>
      </c>
      <c r="B205" s="5" t="s">
        <v>591</v>
      </c>
      <c r="C205" s="3" t="str">
        <f t="shared" si="3"/>
        <v>13-08-2024</v>
      </c>
      <c r="D205" t="s">
        <v>96</v>
      </c>
      <c r="E205" t="s">
        <v>198</v>
      </c>
      <c r="F205" t="s">
        <v>18</v>
      </c>
      <c r="G205" t="s">
        <v>19</v>
      </c>
      <c r="H205" t="s">
        <v>77</v>
      </c>
      <c r="I205">
        <v>3</v>
      </c>
      <c r="J205">
        <v>3487</v>
      </c>
      <c r="K205" s="7">
        <v>0.2</v>
      </c>
      <c r="L205" t="s">
        <v>31</v>
      </c>
      <c r="M205" t="s">
        <v>39</v>
      </c>
      <c r="N205" t="s">
        <v>48</v>
      </c>
      <c r="P205">
        <f>VLOOKUP(Table2[[#This Row],[Product_ID]],Table1[#All],8,TRUE)</f>
        <v>0</v>
      </c>
    </row>
    <row r="206" spans="1:16" x14ac:dyDescent="0.3">
      <c r="A206" t="s">
        <v>592</v>
      </c>
      <c r="B206" s="5" t="s">
        <v>593</v>
      </c>
      <c r="C206" s="3" t="str">
        <f t="shared" si="3"/>
        <v>29-01-2024</v>
      </c>
      <c r="D206" t="s">
        <v>51</v>
      </c>
      <c r="E206" t="s">
        <v>420</v>
      </c>
      <c r="F206" t="s">
        <v>73</v>
      </c>
      <c r="G206" t="s">
        <v>29</v>
      </c>
      <c r="H206" t="s">
        <v>20</v>
      </c>
      <c r="I206">
        <v>4</v>
      </c>
      <c r="J206">
        <v>4794</v>
      </c>
      <c r="K206" s="7">
        <v>0</v>
      </c>
      <c r="L206" t="s">
        <v>21</v>
      </c>
      <c r="M206" t="s">
        <v>39</v>
      </c>
      <c r="N206" t="s">
        <v>59</v>
      </c>
      <c r="P206">
        <f>VLOOKUP(Table2[[#This Row],[Product_ID]],Table1[#All],8,TRUE)</f>
        <v>500</v>
      </c>
    </row>
    <row r="207" spans="1:16" x14ac:dyDescent="0.3">
      <c r="A207" t="s">
        <v>374</v>
      </c>
      <c r="B207" s="5" t="s">
        <v>594</v>
      </c>
      <c r="C207" s="3" t="str">
        <f t="shared" si="3"/>
        <v>30-09-2023</v>
      </c>
      <c r="D207" t="s">
        <v>96</v>
      </c>
      <c r="E207" t="s">
        <v>368</v>
      </c>
      <c r="F207" t="s">
        <v>98</v>
      </c>
      <c r="G207" t="s">
        <v>19</v>
      </c>
      <c r="H207" t="s">
        <v>99</v>
      </c>
      <c r="I207">
        <v>4</v>
      </c>
      <c r="J207">
        <v>9883</v>
      </c>
      <c r="K207" s="7">
        <v>0.05</v>
      </c>
      <c r="L207" t="s">
        <v>21</v>
      </c>
      <c r="M207" t="s">
        <v>39</v>
      </c>
      <c r="N207" t="s">
        <v>59</v>
      </c>
      <c r="P207">
        <f>VLOOKUP(Table2[[#This Row],[Product_ID]],Table1[#All],8,TRUE)</f>
        <v>1500</v>
      </c>
    </row>
    <row r="208" spans="1:16" x14ac:dyDescent="0.3">
      <c r="A208" t="s">
        <v>595</v>
      </c>
      <c r="B208" s="5" t="s">
        <v>596</v>
      </c>
      <c r="C208" s="3" t="str">
        <f t="shared" si="3"/>
        <v>29-09-2024</v>
      </c>
      <c r="D208" t="s">
        <v>35</v>
      </c>
      <c r="E208" t="s">
        <v>597</v>
      </c>
      <c r="F208" t="s">
        <v>73</v>
      </c>
      <c r="G208" t="s">
        <v>19</v>
      </c>
      <c r="H208" t="s">
        <v>99</v>
      </c>
      <c r="I208">
        <v>5</v>
      </c>
      <c r="J208">
        <v>1753</v>
      </c>
      <c r="K208" s="7">
        <v>0</v>
      </c>
      <c r="L208" t="s">
        <v>38</v>
      </c>
      <c r="M208" t="s">
        <v>39</v>
      </c>
      <c r="N208" t="s">
        <v>59</v>
      </c>
      <c r="O208">
        <v>4</v>
      </c>
      <c r="P208">
        <f>VLOOKUP(Table2[[#This Row],[Product_ID]],Table1[#All],8,TRUE)</f>
        <v>1500</v>
      </c>
    </row>
    <row r="209" spans="1:16" x14ac:dyDescent="0.3">
      <c r="A209" t="s">
        <v>598</v>
      </c>
      <c r="B209" s="5" t="s">
        <v>599</v>
      </c>
      <c r="C209" s="3" t="str">
        <f t="shared" si="3"/>
        <v>04-09-2024</v>
      </c>
      <c r="D209" t="s">
        <v>51</v>
      </c>
      <c r="E209" t="s">
        <v>600</v>
      </c>
      <c r="F209" t="s">
        <v>28</v>
      </c>
      <c r="G209" t="s">
        <v>29</v>
      </c>
      <c r="H209" t="s">
        <v>30</v>
      </c>
      <c r="I209">
        <v>5</v>
      </c>
      <c r="J209">
        <v>5414</v>
      </c>
      <c r="K209" s="7">
        <v>0.1</v>
      </c>
      <c r="L209" t="s">
        <v>31</v>
      </c>
      <c r="M209" t="s">
        <v>22</v>
      </c>
      <c r="N209" t="s">
        <v>48</v>
      </c>
      <c r="O209">
        <v>4.9000000000000004</v>
      </c>
      <c r="P209">
        <f>VLOOKUP(Table2[[#This Row],[Product_ID]],Table1[#All],8,TRUE)</f>
        <v>1200</v>
      </c>
    </row>
    <row r="210" spans="1:16" x14ac:dyDescent="0.3">
      <c r="A210" t="s">
        <v>601</v>
      </c>
      <c r="B210" s="5" t="s">
        <v>602</v>
      </c>
      <c r="C210" s="3" t="str">
        <f t="shared" si="3"/>
        <v>22-02-2024</v>
      </c>
      <c r="D210" t="s">
        <v>96</v>
      </c>
      <c r="E210" t="s">
        <v>603</v>
      </c>
      <c r="F210" t="s">
        <v>64</v>
      </c>
      <c r="G210" t="s">
        <v>53</v>
      </c>
      <c r="H210" t="s">
        <v>99</v>
      </c>
      <c r="I210">
        <v>3</v>
      </c>
      <c r="J210">
        <v>3099</v>
      </c>
      <c r="K210" s="7">
        <v>0.2</v>
      </c>
      <c r="L210" t="s">
        <v>58</v>
      </c>
      <c r="M210" t="s">
        <v>39</v>
      </c>
      <c r="N210" t="s">
        <v>48</v>
      </c>
      <c r="P210">
        <f>VLOOKUP(Table2[[#This Row],[Product_ID]],Table1[#All],8,TRUE)</f>
        <v>0</v>
      </c>
    </row>
    <row r="211" spans="1:16" x14ac:dyDescent="0.3">
      <c r="A211" t="s">
        <v>604</v>
      </c>
      <c r="B211" s="5" t="s">
        <v>605</v>
      </c>
      <c r="C211" s="3" t="str">
        <f t="shared" si="3"/>
        <v>27-03-2024</v>
      </c>
      <c r="D211" t="s">
        <v>71</v>
      </c>
      <c r="E211" t="s">
        <v>81</v>
      </c>
      <c r="F211" t="s">
        <v>28</v>
      </c>
      <c r="G211" t="s">
        <v>29</v>
      </c>
      <c r="H211" t="s">
        <v>99</v>
      </c>
      <c r="I211">
        <v>2</v>
      </c>
      <c r="J211">
        <v>1983</v>
      </c>
      <c r="K211" s="7">
        <v>0</v>
      </c>
      <c r="L211" t="s">
        <v>38</v>
      </c>
      <c r="M211" t="s">
        <v>39</v>
      </c>
      <c r="N211" t="s">
        <v>23</v>
      </c>
      <c r="O211">
        <v>3</v>
      </c>
      <c r="P211">
        <f>VLOOKUP(Table2[[#This Row],[Product_ID]],Table1[#All],8,TRUE)</f>
        <v>1200</v>
      </c>
    </row>
    <row r="212" spans="1:16" x14ac:dyDescent="0.3">
      <c r="A212" t="s">
        <v>274</v>
      </c>
      <c r="B212" s="5" t="s">
        <v>606</v>
      </c>
      <c r="C212" s="3" t="str">
        <f t="shared" si="3"/>
        <v>27-09-2024</v>
      </c>
      <c r="D212" t="s">
        <v>80</v>
      </c>
      <c r="E212" t="s">
        <v>425</v>
      </c>
      <c r="F212" t="s">
        <v>57</v>
      </c>
      <c r="G212" t="s">
        <v>37</v>
      </c>
      <c r="H212" t="s">
        <v>77</v>
      </c>
      <c r="I212">
        <v>4</v>
      </c>
      <c r="J212">
        <v>7127</v>
      </c>
      <c r="K212" s="7">
        <v>0.05</v>
      </c>
      <c r="L212" t="s">
        <v>31</v>
      </c>
      <c r="M212" t="s">
        <v>39</v>
      </c>
      <c r="N212" t="s">
        <v>59</v>
      </c>
      <c r="P212">
        <f>VLOOKUP(Table2[[#This Row],[Product_ID]],Table1[#All],8,TRUE)</f>
        <v>1500</v>
      </c>
    </row>
    <row r="213" spans="1:16" x14ac:dyDescent="0.3">
      <c r="A213" t="s">
        <v>607</v>
      </c>
      <c r="B213" s="5" t="s">
        <v>608</v>
      </c>
      <c r="C213" s="3" t="str">
        <f t="shared" si="3"/>
        <v>13-05-2024</v>
      </c>
      <c r="D213" t="s">
        <v>114</v>
      </c>
      <c r="E213" t="s">
        <v>609</v>
      </c>
      <c r="F213" t="s">
        <v>43</v>
      </c>
      <c r="G213" t="s">
        <v>53</v>
      </c>
      <c r="H213" t="s">
        <v>99</v>
      </c>
      <c r="I213">
        <v>4</v>
      </c>
      <c r="J213">
        <v>1391</v>
      </c>
      <c r="K213" s="7">
        <v>0.05</v>
      </c>
      <c r="L213" t="s">
        <v>31</v>
      </c>
      <c r="M213" t="s">
        <v>22</v>
      </c>
      <c r="N213" t="s">
        <v>48</v>
      </c>
      <c r="O213">
        <v>4.5999999999999996</v>
      </c>
      <c r="P213">
        <f>VLOOKUP(Table2[[#This Row],[Product_ID]],Table1[#All],8,TRUE)</f>
        <v>0</v>
      </c>
    </row>
    <row r="214" spans="1:16" x14ac:dyDescent="0.3">
      <c r="A214" t="s">
        <v>610</v>
      </c>
      <c r="B214" s="5" t="s">
        <v>611</v>
      </c>
      <c r="C214" s="3" t="str">
        <f t="shared" si="3"/>
        <v>20-12-2023</v>
      </c>
      <c r="D214" t="s">
        <v>96</v>
      </c>
      <c r="E214" t="s">
        <v>612</v>
      </c>
      <c r="F214" t="s">
        <v>73</v>
      </c>
      <c r="G214" t="s">
        <v>19</v>
      </c>
      <c r="H214" t="s">
        <v>30</v>
      </c>
      <c r="I214">
        <v>2</v>
      </c>
      <c r="J214">
        <v>8870</v>
      </c>
      <c r="K214" s="7">
        <v>0</v>
      </c>
      <c r="L214" t="s">
        <v>31</v>
      </c>
      <c r="M214" t="s">
        <v>39</v>
      </c>
      <c r="N214" t="s">
        <v>23</v>
      </c>
      <c r="P214">
        <f>VLOOKUP(Table2[[#This Row],[Product_ID]],Table1[#All],8,TRUE)</f>
        <v>1200</v>
      </c>
    </row>
    <row r="215" spans="1:16" x14ac:dyDescent="0.3">
      <c r="A215" t="s">
        <v>613</v>
      </c>
      <c r="B215" s="5" t="s">
        <v>614</v>
      </c>
      <c r="C215" s="3" t="str">
        <f t="shared" si="3"/>
        <v>04-11-2023</v>
      </c>
      <c r="D215" t="s">
        <v>26</v>
      </c>
      <c r="E215" t="s">
        <v>615</v>
      </c>
      <c r="F215" t="s">
        <v>18</v>
      </c>
      <c r="G215" t="s">
        <v>29</v>
      </c>
      <c r="H215" t="s">
        <v>99</v>
      </c>
      <c r="I215">
        <v>4</v>
      </c>
      <c r="J215">
        <v>7408</v>
      </c>
      <c r="K215" s="7">
        <v>0.15</v>
      </c>
      <c r="L215" t="s">
        <v>38</v>
      </c>
      <c r="M215" t="s">
        <v>39</v>
      </c>
      <c r="N215" t="s">
        <v>23</v>
      </c>
      <c r="P215">
        <f>VLOOKUP(Table2[[#This Row],[Product_ID]],Table1[#All],8,TRUE)</f>
        <v>1500</v>
      </c>
    </row>
    <row r="216" spans="1:16" x14ac:dyDescent="0.3">
      <c r="A216" t="s">
        <v>616</v>
      </c>
      <c r="B216" s="5" t="s">
        <v>617</v>
      </c>
      <c r="C216" s="3" t="str">
        <f t="shared" si="3"/>
        <v>13-01-2023</v>
      </c>
      <c r="D216" t="s">
        <v>26</v>
      </c>
      <c r="E216" t="s">
        <v>85</v>
      </c>
      <c r="F216" t="s">
        <v>57</v>
      </c>
      <c r="G216" t="s">
        <v>19</v>
      </c>
      <c r="H216" t="s">
        <v>99</v>
      </c>
      <c r="I216">
        <v>3</v>
      </c>
      <c r="J216">
        <v>3939</v>
      </c>
      <c r="K216" s="7">
        <v>0.15</v>
      </c>
      <c r="L216" t="s">
        <v>31</v>
      </c>
      <c r="M216" t="s">
        <v>39</v>
      </c>
      <c r="N216" t="s">
        <v>23</v>
      </c>
      <c r="P216">
        <f>VLOOKUP(Table2[[#This Row],[Product_ID]],Table1[#All],8,TRUE)</f>
        <v>0</v>
      </c>
    </row>
    <row r="217" spans="1:16" x14ac:dyDescent="0.3">
      <c r="A217" t="s">
        <v>618</v>
      </c>
      <c r="B217" s="5" t="s">
        <v>619</v>
      </c>
      <c r="C217" s="3" t="str">
        <f t="shared" si="3"/>
        <v>30-08-2023</v>
      </c>
      <c r="D217" t="s">
        <v>84</v>
      </c>
      <c r="E217" t="s">
        <v>620</v>
      </c>
      <c r="F217" t="s">
        <v>64</v>
      </c>
      <c r="G217" t="s">
        <v>53</v>
      </c>
      <c r="H217" t="s">
        <v>77</v>
      </c>
      <c r="I217">
        <v>3</v>
      </c>
      <c r="J217">
        <v>1302</v>
      </c>
      <c r="K217" s="7">
        <v>0</v>
      </c>
      <c r="L217" t="s">
        <v>31</v>
      </c>
      <c r="M217" t="s">
        <v>22</v>
      </c>
      <c r="N217" t="s">
        <v>48</v>
      </c>
      <c r="P217">
        <f>VLOOKUP(Table2[[#This Row],[Product_ID]],Table1[#All],8,TRUE)</f>
        <v>900</v>
      </c>
    </row>
    <row r="218" spans="1:16" x14ac:dyDescent="0.3">
      <c r="A218" t="s">
        <v>621</v>
      </c>
      <c r="B218" s="5" t="s">
        <v>622</v>
      </c>
      <c r="C218" s="3" t="str">
        <f t="shared" si="3"/>
        <v>17-06-2023</v>
      </c>
      <c r="D218" t="s">
        <v>26</v>
      </c>
      <c r="E218" t="s">
        <v>600</v>
      </c>
      <c r="F218" t="s">
        <v>57</v>
      </c>
      <c r="G218" t="s">
        <v>37</v>
      </c>
      <c r="H218" t="s">
        <v>30</v>
      </c>
      <c r="I218">
        <v>5</v>
      </c>
      <c r="J218">
        <v>7597</v>
      </c>
      <c r="K218" s="7">
        <v>0.2</v>
      </c>
      <c r="L218" t="s">
        <v>58</v>
      </c>
      <c r="M218" t="s">
        <v>39</v>
      </c>
      <c r="N218" t="s">
        <v>32</v>
      </c>
      <c r="O218">
        <v>3.2</v>
      </c>
      <c r="P218">
        <f>VLOOKUP(Table2[[#This Row],[Product_ID]],Table1[#All],8,TRUE)</f>
        <v>1200</v>
      </c>
    </row>
    <row r="219" spans="1:16" x14ac:dyDescent="0.3">
      <c r="A219" t="s">
        <v>623</v>
      </c>
      <c r="B219" s="5" t="s">
        <v>624</v>
      </c>
      <c r="C219" s="3" t="str">
        <f t="shared" si="3"/>
        <v>13-01-2023</v>
      </c>
      <c r="D219" t="s">
        <v>67</v>
      </c>
      <c r="E219" t="s">
        <v>428</v>
      </c>
      <c r="F219" t="s">
        <v>64</v>
      </c>
      <c r="G219" t="s">
        <v>53</v>
      </c>
      <c r="H219" t="s">
        <v>77</v>
      </c>
      <c r="I219">
        <v>4</v>
      </c>
      <c r="J219">
        <v>9549</v>
      </c>
      <c r="K219" s="7">
        <v>0.1</v>
      </c>
      <c r="L219" t="s">
        <v>31</v>
      </c>
      <c r="M219" t="s">
        <v>22</v>
      </c>
      <c r="N219" t="s">
        <v>23</v>
      </c>
      <c r="P219">
        <f>VLOOKUP(Table2[[#This Row],[Product_ID]],Table1[#All],8,TRUE)</f>
        <v>500</v>
      </c>
    </row>
    <row r="220" spans="1:16" x14ac:dyDescent="0.3">
      <c r="A220" t="s">
        <v>625</v>
      </c>
      <c r="B220" s="5" t="s">
        <v>177</v>
      </c>
      <c r="C220" s="3" t="str">
        <f t="shared" si="3"/>
        <v>16-02-2024</v>
      </c>
      <c r="D220" t="s">
        <v>80</v>
      </c>
      <c r="E220" t="s">
        <v>626</v>
      </c>
      <c r="F220" t="s">
        <v>98</v>
      </c>
      <c r="G220" t="s">
        <v>19</v>
      </c>
      <c r="H220" t="s">
        <v>30</v>
      </c>
      <c r="I220">
        <v>3</v>
      </c>
      <c r="J220">
        <v>4817</v>
      </c>
      <c r="K220" s="7">
        <v>0.2</v>
      </c>
      <c r="L220" t="s">
        <v>58</v>
      </c>
      <c r="M220" t="s">
        <v>39</v>
      </c>
      <c r="N220" t="s">
        <v>48</v>
      </c>
      <c r="P220">
        <f>VLOOKUP(Table2[[#This Row],[Product_ID]],Table1[#All],8,TRUE)</f>
        <v>1200</v>
      </c>
    </row>
    <row r="221" spans="1:16" x14ac:dyDescent="0.3">
      <c r="A221" t="s">
        <v>627</v>
      </c>
      <c r="B221" s="5" t="s">
        <v>628</v>
      </c>
      <c r="C221" s="3" t="str">
        <f t="shared" si="3"/>
        <v>06-12-2024</v>
      </c>
      <c r="D221" t="s">
        <v>67</v>
      </c>
      <c r="E221" t="s">
        <v>629</v>
      </c>
      <c r="F221" t="s">
        <v>43</v>
      </c>
      <c r="G221" t="s">
        <v>53</v>
      </c>
      <c r="H221" t="s">
        <v>20</v>
      </c>
      <c r="I221">
        <v>4</v>
      </c>
      <c r="J221">
        <v>7623</v>
      </c>
      <c r="K221" s="7">
        <v>0</v>
      </c>
      <c r="L221" t="s">
        <v>21</v>
      </c>
      <c r="M221" t="s">
        <v>22</v>
      </c>
      <c r="N221" t="s">
        <v>59</v>
      </c>
      <c r="O221">
        <v>4.8</v>
      </c>
      <c r="P221">
        <f>VLOOKUP(Table2[[#This Row],[Product_ID]],Table1[#All],8,TRUE)</f>
        <v>900</v>
      </c>
    </row>
    <row r="222" spans="1:16" x14ac:dyDescent="0.3">
      <c r="A222" t="s">
        <v>630</v>
      </c>
      <c r="B222" s="5" t="s">
        <v>631</v>
      </c>
      <c r="C222" s="3" t="str">
        <f t="shared" si="3"/>
        <v>23-09-2023</v>
      </c>
      <c r="D222" t="s">
        <v>51</v>
      </c>
      <c r="E222" t="s">
        <v>253</v>
      </c>
      <c r="F222" t="s">
        <v>98</v>
      </c>
      <c r="G222" t="s">
        <v>37</v>
      </c>
      <c r="H222" t="s">
        <v>20</v>
      </c>
      <c r="I222">
        <v>1</v>
      </c>
      <c r="J222">
        <v>3578</v>
      </c>
      <c r="K222" s="7">
        <v>0.15</v>
      </c>
      <c r="L222" t="s">
        <v>38</v>
      </c>
      <c r="M222" t="s">
        <v>39</v>
      </c>
      <c r="N222" t="s">
        <v>48</v>
      </c>
      <c r="P222">
        <f>VLOOKUP(Table2[[#This Row],[Product_ID]],Table1[#All],8,TRUE)</f>
        <v>0</v>
      </c>
    </row>
    <row r="223" spans="1:16" x14ac:dyDescent="0.3">
      <c r="A223" t="s">
        <v>632</v>
      </c>
      <c r="B223" s="5" t="s">
        <v>316</v>
      </c>
      <c r="C223" s="3" t="str">
        <f t="shared" si="3"/>
        <v>16-08-2023</v>
      </c>
      <c r="D223" t="s">
        <v>84</v>
      </c>
      <c r="E223" t="s">
        <v>620</v>
      </c>
      <c r="F223" t="s">
        <v>64</v>
      </c>
      <c r="G223" t="s">
        <v>53</v>
      </c>
      <c r="H223" t="s">
        <v>77</v>
      </c>
      <c r="I223">
        <v>2</v>
      </c>
      <c r="J223">
        <v>9817</v>
      </c>
      <c r="K223" s="7">
        <v>0.1</v>
      </c>
      <c r="L223" t="s">
        <v>31</v>
      </c>
      <c r="M223" t="s">
        <v>39</v>
      </c>
      <c r="N223" t="s">
        <v>48</v>
      </c>
      <c r="O223">
        <v>4.8</v>
      </c>
      <c r="P223">
        <f>VLOOKUP(Table2[[#This Row],[Product_ID]],Table1[#All],8,TRUE)</f>
        <v>900</v>
      </c>
    </row>
    <row r="224" spans="1:16" x14ac:dyDescent="0.3">
      <c r="A224" t="s">
        <v>633</v>
      </c>
      <c r="B224" s="5" t="s">
        <v>634</v>
      </c>
      <c r="C224" s="3" t="str">
        <f t="shared" si="3"/>
        <v>16-10-2024</v>
      </c>
      <c r="D224" t="s">
        <v>51</v>
      </c>
      <c r="E224" t="s">
        <v>635</v>
      </c>
      <c r="F224" t="s">
        <v>98</v>
      </c>
      <c r="G224" t="s">
        <v>29</v>
      </c>
      <c r="H224" t="s">
        <v>20</v>
      </c>
      <c r="I224">
        <v>5</v>
      </c>
      <c r="J224">
        <v>6589</v>
      </c>
      <c r="K224" s="7">
        <v>0</v>
      </c>
      <c r="L224" t="s">
        <v>38</v>
      </c>
      <c r="M224" t="s">
        <v>22</v>
      </c>
      <c r="N224" t="s">
        <v>23</v>
      </c>
      <c r="O224">
        <v>4.4000000000000004</v>
      </c>
      <c r="P224">
        <f>VLOOKUP(Table2[[#This Row],[Product_ID]],Table1[#All],8,TRUE)</f>
        <v>900</v>
      </c>
    </row>
    <row r="225" spans="1:16" x14ac:dyDescent="0.3">
      <c r="A225" t="s">
        <v>636</v>
      </c>
      <c r="B225" s="5" t="s">
        <v>637</v>
      </c>
      <c r="C225" s="3" t="str">
        <f t="shared" si="3"/>
        <v>31-08-2023</v>
      </c>
      <c r="D225" t="s">
        <v>35</v>
      </c>
      <c r="E225" t="s">
        <v>263</v>
      </c>
      <c r="F225" t="s">
        <v>98</v>
      </c>
      <c r="G225" t="s">
        <v>19</v>
      </c>
      <c r="H225" t="s">
        <v>77</v>
      </c>
      <c r="I225">
        <v>5</v>
      </c>
      <c r="J225">
        <v>2090</v>
      </c>
      <c r="K225" s="7">
        <v>0.2</v>
      </c>
      <c r="L225" t="s">
        <v>21</v>
      </c>
      <c r="M225" t="s">
        <v>22</v>
      </c>
      <c r="N225" t="s">
        <v>48</v>
      </c>
      <c r="P225">
        <f>VLOOKUP(Table2[[#This Row],[Product_ID]],Table1[#All],8,TRUE)</f>
        <v>1500</v>
      </c>
    </row>
    <row r="226" spans="1:16" x14ac:dyDescent="0.3">
      <c r="A226" t="s">
        <v>638</v>
      </c>
      <c r="B226" s="5" t="s">
        <v>639</v>
      </c>
      <c r="C226" s="3" t="str">
        <f t="shared" si="3"/>
        <v>22-11-2023</v>
      </c>
      <c r="D226" t="s">
        <v>96</v>
      </c>
      <c r="E226" t="s">
        <v>640</v>
      </c>
      <c r="F226" t="s">
        <v>43</v>
      </c>
      <c r="G226" t="s">
        <v>29</v>
      </c>
      <c r="H226" t="s">
        <v>77</v>
      </c>
      <c r="I226">
        <v>1</v>
      </c>
      <c r="J226">
        <v>2461</v>
      </c>
      <c r="K226" s="7">
        <v>0.2</v>
      </c>
      <c r="L226" t="s">
        <v>31</v>
      </c>
      <c r="M226" t="s">
        <v>22</v>
      </c>
      <c r="N226" t="s">
        <v>23</v>
      </c>
      <c r="P226">
        <f>VLOOKUP(Table2[[#This Row],[Product_ID]],Table1[#All],8,TRUE)</f>
        <v>900</v>
      </c>
    </row>
    <row r="227" spans="1:16" x14ac:dyDescent="0.3">
      <c r="A227" t="s">
        <v>641</v>
      </c>
      <c r="B227" s="5" t="s">
        <v>642</v>
      </c>
      <c r="C227" s="3" t="str">
        <f t="shared" si="3"/>
        <v>10-04-2024</v>
      </c>
      <c r="D227" t="s">
        <v>127</v>
      </c>
      <c r="E227" t="s">
        <v>643</v>
      </c>
      <c r="F227" t="s">
        <v>73</v>
      </c>
      <c r="G227" t="s">
        <v>19</v>
      </c>
      <c r="H227" t="s">
        <v>20</v>
      </c>
      <c r="I227">
        <v>5</v>
      </c>
      <c r="J227">
        <v>8404</v>
      </c>
      <c r="K227" s="7">
        <v>0.15</v>
      </c>
      <c r="L227" t="s">
        <v>21</v>
      </c>
      <c r="M227" t="s">
        <v>22</v>
      </c>
      <c r="N227" t="s">
        <v>48</v>
      </c>
      <c r="O227">
        <v>3.8</v>
      </c>
      <c r="P227">
        <f>VLOOKUP(Table2[[#This Row],[Product_ID]],Table1[#All],8,TRUE)</f>
        <v>1200</v>
      </c>
    </row>
    <row r="228" spans="1:16" x14ac:dyDescent="0.3">
      <c r="A228" t="s">
        <v>644</v>
      </c>
      <c r="B228" s="5" t="s">
        <v>645</v>
      </c>
      <c r="C228" s="3" t="str">
        <f t="shared" si="3"/>
        <v>21-12-2024</v>
      </c>
      <c r="D228" t="s">
        <v>51</v>
      </c>
      <c r="E228" t="s">
        <v>376</v>
      </c>
      <c r="F228" t="s">
        <v>18</v>
      </c>
      <c r="G228" t="s">
        <v>37</v>
      </c>
      <c r="H228" t="s">
        <v>77</v>
      </c>
      <c r="I228">
        <v>3</v>
      </c>
      <c r="J228">
        <v>9944</v>
      </c>
      <c r="K228" s="7">
        <v>0.2</v>
      </c>
      <c r="L228" t="s">
        <v>31</v>
      </c>
      <c r="M228" t="s">
        <v>39</v>
      </c>
      <c r="N228" t="s">
        <v>48</v>
      </c>
      <c r="O228">
        <v>3.7</v>
      </c>
      <c r="P228">
        <f>VLOOKUP(Table2[[#This Row],[Product_ID]],Table1[#All],8,TRUE)</f>
        <v>1500</v>
      </c>
    </row>
    <row r="229" spans="1:16" x14ac:dyDescent="0.3">
      <c r="A229" t="s">
        <v>646</v>
      </c>
      <c r="B229" s="5" t="s">
        <v>321</v>
      </c>
      <c r="C229" s="3" t="str">
        <f t="shared" si="3"/>
        <v>11-12-2023</v>
      </c>
      <c r="D229" t="s">
        <v>35</v>
      </c>
      <c r="E229" t="s">
        <v>647</v>
      </c>
      <c r="F229" t="s">
        <v>64</v>
      </c>
      <c r="G229" t="s">
        <v>29</v>
      </c>
      <c r="H229" t="s">
        <v>20</v>
      </c>
      <c r="I229">
        <v>4</v>
      </c>
      <c r="J229">
        <v>2950</v>
      </c>
      <c r="K229" s="7">
        <v>0</v>
      </c>
      <c r="L229" t="s">
        <v>38</v>
      </c>
      <c r="M229" t="s">
        <v>39</v>
      </c>
      <c r="N229" t="s">
        <v>23</v>
      </c>
      <c r="O229">
        <v>3.8</v>
      </c>
      <c r="P229">
        <f>VLOOKUP(Table2[[#This Row],[Product_ID]],Table1[#All],8,TRUE)</f>
        <v>700</v>
      </c>
    </row>
    <row r="230" spans="1:16" x14ac:dyDescent="0.3">
      <c r="A230" t="s">
        <v>648</v>
      </c>
      <c r="B230" s="5" t="s">
        <v>649</v>
      </c>
      <c r="C230" s="3" t="str">
        <f t="shared" si="3"/>
        <v>18-09-2023</v>
      </c>
      <c r="D230" t="s">
        <v>67</v>
      </c>
      <c r="E230" t="s">
        <v>612</v>
      </c>
      <c r="F230" t="s">
        <v>28</v>
      </c>
      <c r="G230" t="s">
        <v>29</v>
      </c>
      <c r="H230" t="s">
        <v>30</v>
      </c>
      <c r="I230">
        <v>1</v>
      </c>
      <c r="J230">
        <v>2757</v>
      </c>
      <c r="K230" s="7">
        <v>0.1</v>
      </c>
      <c r="L230" t="s">
        <v>21</v>
      </c>
      <c r="M230" t="s">
        <v>22</v>
      </c>
      <c r="N230" t="s">
        <v>32</v>
      </c>
      <c r="P230">
        <f>VLOOKUP(Table2[[#This Row],[Product_ID]],Table1[#All],8,TRUE)</f>
        <v>1200</v>
      </c>
    </row>
    <row r="231" spans="1:16" x14ac:dyDescent="0.3">
      <c r="A231" t="s">
        <v>650</v>
      </c>
      <c r="B231" s="5" t="s">
        <v>651</v>
      </c>
      <c r="C231" s="3" t="str">
        <f t="shared" si="3"/>
        <v>17-07-2023</v>
      </c>
      <c r="D231" t="s">
        <v>16</v>
      </c>
      <c r="E231" t="s">
        <v>452</v>
      </c>
      <c r="F231" t="s">
        <v>43</v>
      </c>
      <c r="G231" t="s">
        <v>29</v>
      </c>
      <c r="H231" t="s">
        <v>77</v>
      </c>
      <c r="I231">
        <v>4</v>
      </c>
      <c r="J231">
        <v>4452</v>
      </c>
      <c r="K231" s="7">
        <v>0</v>
      </c>
      <c r="L231" t="s">
        <v>58</v>
      </c>
      <c r="M231" t="s">
        <v>39</v>
      </c>
      <c r="N231" t="s">
        <v>23</v>
      </c>
      <c r="P231">
        <f>VLOOKUP(Table2[[#This Row],[Product_ID]],Table1[#All],8,TRUE)</f>
        <v>1200</v>
      </c>
    </row>
    <row r="232" spans="1:16" x14ac:dyDescent="0.3">
      <c r="A232" t="s">
        <v>652</v>
      </c>
      <c r="B232" s="5" t="s">
        <v>653</v>
      </c>
      <c r="C232" s="3" t="str">
        <f t="shared" si="3"/>
        <v>28-03-2024</v>
      </c>
      <c r="D232" t="s">
        <v>131</v>
      </c>
      <c r="E232" t="s">
        <v>400</v>
      </c>
      <c r="F232" t="s">
        <v>98</v>
      </c>
      <c r="G232" t="s">
        <v>19</v>
      </c>
      <c r="H232" t="s">
        <v>77</v>
      </c>
      <c r="I232">
        <v>3</v>
      </c>
      <c r="J232">
        <v>7060</v>
      </c>
      <c r="K232" s="7">
        <v>0.1</v>
      </c>
      <c r="L232" t="s">
        <v>58</v>
      </c>
      <c r="M232" t="s">
        <v>22</v>
      </c>
      <c r="N232" t="s">
        <v>59</v>
      </c>
      <c r="P232">
        <f>VLOOKUP(Table2[[#This Row],[Product_ID]],Table1[#All],8,TRUE)</f>
        <v>700</v>
      </c>
    </row>
    <row r="233" spans="1:16" x14ac:dyDescent="0.3">
      <c r="A233" t="s">
        <v>654</v>
      </c>
      <c r="B233" s="5" t="s">
        <v>655</v>
      </c>
      <c r="C233" s="3" t="str">
        <f t="shared" si="3"/>
        <v>21-07-2023</v>
      </c>
      <c r="D233" t="s">
        <v>71</v>
      </c>
      <c r="E233" t="s">
        <v>354</v>
      </c>
      <c r="F233" t="s">
        <v>18</v>
      </c>
      <c r="G233" t="s">
        <v>29</v>
      </c>
      <c r="H233" t="s">
        <v>99</v>
      </c>
      <c r="I233">
        <v>4</v>
      </c>
      <c r="J233">
        <v>5266</v>
      </c>
      <c r="K233" s="7">
        <v>0.15</v>
      </c>
      <c r="L233" t="s">
        <v>38</v>
      </c>
      <c r="M233" t="s">
        <v>39</v>
      </c>
      <c r="N233" t="s">
        <v>32</v>
      </c>
      <c r="O233">
        <v>3.2</v>
      </c>
      <c r="P233">
        <f>VLOOKUP(Table2[[#This Row],[Product_ID]],Table1[#All],8,TRUE)</f>
        <v>0</v>
      </c>
    </row>
    <row r="234" spans="1:16" x14ac:dyDescent="0.3">
      <c r="A234" t="s">
        <v>656</v>
      </c>
      <c r="B234" s="5" t="s">
        <v>657</v>
      </c>
      <c r="C234" s="3" t="str">
        <f t="shared" si="3"/>
        <v>29-04-2023</v>
      </c>
      <c r="D234" t="s">
        <v>84</v>
      </c>
      <c r="E234" t="s">
        <v>420</v>
      </c>
      <c r="F234" t="s">
        <v>43</v>
      </c>
      <c r="G234" t="s">
        <v>53</v>
      </c>
      <c r="H234" t="s">
        <v>77</v>
      </c>
      <c r="I234">
        <v>1</v>
      </c>
      <c r="J234">
        <v>5515</v>
      </c>
      <c r="K234" s="7">
        <v>0.2</v>
      </c>
      <c r="L234" t="s">
        <v>31</v>
      </c>
      <c r="M234" t="s">
        <v>22</v>
      </c>
      <c r="N234" t="s">
        <v>48</v>
      </c>
      <c r="O234">
        <v>3.7</v>
      </c>
      <c r="P234">
        <f>VLOOKUP(Table2[[#This Row],[Product_ID]],Table1[#All],8,TRUE)</f>
        <v>500</v>
      </c>
    </row>
    <row r="235" spans="1:16" x14ac:dyDescent="0.3">
      <c r="A235" t="s">
        <v>658</v>
      </c>
      <c r="B235" s="5" t="s">
        <v>659</v>
      </c>
      <c r="C235" s="3" t="str">
        <f t="shared" si="3"/>
        <v>04-04-2024</v>
      </c>
      <c r="D235" t="s">
        <v>91</v>
      </c>
      <c r="E235" t="s">
        <v>132</v>
      </c>
      <c r="F235" t="s">
        <v>57</v>
      </c>
      <c r="G235" t="s">
        <v>29</v>
      </c>
      <c r="H235" t="s">
        <v>99</v>
      </c>
      <c r="I235">
        <v>1</v>
      </c>
      <c r="J235">
        <v>9474</v>
      </c>
      <c r="K235" s="7">
        <v>0.2</v>
      </c>
      <c r="L235" t="s">
        <v>31</v>
      </c>
      <c r="M235" t="s">
        <v>22</v>
      </c>
      <c r="N235" t="s">
        <v>48</v>
      </c>
      <c r="P235">
        <f>VLOOKUP(Table2[[#This Row],[Product_ID]],Table1[#All],8,TRUE)</f>
        <v>1500</v>
      </c>
    </row>
    <row r="236" spans="1:16" x14ac:dyDescent="0.3">
      <c r="A236" t="s">
        <v>660</v>
      </c>
      <c r="B236" s="5" t="s">
        <v>661</v>
      </c>
      <c r="C236" s="3" t="str">
        <f t="shared" si="3"/>
        <v>02-12-2024</v>
      </c>
      <c r="D236" t="s">
        <v>46</v>
      </c>
      <c r="E236" t="s">
        <v>507</v>
      </c>
      <c r="F236" t="s">
        <v>43</v>
      </c>
      <c r="G236" t="s">
        <v>19</v>
      </c>
      <c r="H236" t="s">
        <v>99</v>
      </c>
      <c r="I236">
        <v>5</v>
      </c>
      <c r="J236">
        <v>3662</v>
      </c>
      <c r="K236" s="7">
        <v>0</v>
      </c>
      <c r="L236" t="s">
        <v>31</v>
      </c>
      <c r="M236" t="s">
        <v>39</v>
      </c>
      <c r="N236" t="s">
        <v>23</v>
      </c>
      <c r="P236">
        <f>VLOOKUP(Table2[[#This Row],[Product_ID]],Table1[#All],8,TRUE)</f>
        <v>900</v>
      </c>
    </row>
    <row r="237" spans="1:16" x14ac:dyDescent="0.3">
      <c r="A237" t="s">
        <v>219</v>
      </c>
      <c r="B237" s="5" t="s">
        <v>662</v>
      </c>
      <c r="C237" s="3" t="str">
        <f t="shared" si="3"/>
        <v>20-05-2023</v>
      </c>
      <c r="D237" t="s">
        <v>80</v>
      </c>
      <c r="E237" t="s">
        <v>663</v>
      </c>
      <c r="F237" t="s">
        <v>18</v>
      </c>
      <c r="G237" t="s">
        <v>37</v>
      </c>
      <c r="H237" t="s">
        <v>77</v>
      </c>
      <c r="I237">
        <v>2</v>
      </c>
      <c r="J237">
        <v>3001</v>
      </c>
      <c r="K237" s="7">
        <v>0.05</v>
      </c>
      <c r="L237" t="s">
        <v>38</v>
      </c>
      <c r="M237" t="s">
        <v>39</v>
      </c>
      <c r="N237" t="s">
        <v>59</v>
      </c>
      <c r="O237">
        <v>4.8</v>
      </c>
      <c r="P237">
        <f>VLOOKUP(Table2[[#This Row],[Product_ID]],Table1[#All],8,TRUE)</f>
        <v>900</v>
      </c>
    </row>
    <row r="238" spans="1:16" x14ac:dyDescent="0.3">
      <c r="A238" t="s">
        <v>664</v>
      </c>
      <c r="B238" s="5" t="s">
        <v>665</v>
      </c>
      <c r="C238" s="3" t="str">
        <f t="shared" si="3"/>
        <v>25-07-2023</v>
      </c>
      <c r="D238" t="s">
        <v>91</v>
      </c>
      <c r="E238" t="s">
        <v>437</v>
      </c>
      <c r="F238" t="s">
        <v>43</v>
      </c>
      <c r="G238" t="s">
        <v>53</v>
      </c>
      <c r="H238" t="s">
        <v>77</v>
      </c>
      <c r="I238">
        <v>3</v>
      </c>
      <c r="J238">
        <v>7882</v>
      </c>
      <c r="K238" s="7">
        <v>0.05</v>
      </c>
      <c r="L238" t="s">
        <v>58</v>
      </c>
      <c r="M238" t="s">
        <v>22</v>
      </c>
      <c r="N238" t="s">
        <v>23</v>
      </c>
      <c r="O238">
        <v>4.7</v>
      </c>
      <c r="P238">
        <f>VLOOKUP(Table2[[#This Row],[Product_ID]],Table1[#All],8,TRUE)</f>
        <v>0</v>
      </c>
    </row>
    <row r="239" spans="1:16" x14ac:dyDescent="0.3">
      <c r="A239" t="s">
        <v>666</v>
      </c>
      <c r="B239" s="5" t="s">
        <v>667</v>
      </c>
      <c r="C239" s="3" t="str">
        <f t="shared" si="3"/>
        <v>12-08-2023</v>
      </c>
      <c r="D239" t="s">
        <v>84</v>
      </c>
      <c r="E239" t="s">
        <v>668</v>
      </c>
      <c r="F239" t="s">
        <v>98</v>
      </c>
      <c r="G239" t="s">
        <v>53</v>
      </c>
      <c r="H239" t="s">
        <v>20</v>
      </c>
      <c r="I239">
        <v>5</v>
      </c>
      <c r="J239">
        <v>2996</v>
      </c>
      <c r="K239" s="7">
        <v>0.2</v>
      </c>
      <c r="L239" t="s">
        <v>21</v>
      </c>
      <c r="M239" t="s">
        <v>39</v>
      </c>
      <c r="N239" t="s">
        <v>32</v>
      </c>
      <c r="O239">
        <v>4.4000000000000004</v>
      </c>
      <c r="P239">
        <f>VLOOKUP(Table2[[#This Row],[Product_ID]],Table1[#All],8,TRUE)</f>
        <v>0</v>
      </c>
    </row>
    <row r="240" spans="1:16" x14ac:dyDescent="0.3">
      <c r="A240" t="s">
        <v>669</v>
      </c>
      <c r="B240" s="5" t="s">
        <v>670</v>
      </c>
      <c r="C240" s="3" t="str">
        <f t="shared" si="3"/>
        <v>28-05-2023</v>
      </c>
      <c r="D240" t="s">
        <v>16</v>
      </c>
      <c r="E240" t="s">
        <v>476</v>
      </c>
      <c r="F240" t="s">
        <v>28</v>
      </c>
      <c r="G240" t="s">
        <v>37</v>
      </c>
      <c r="H240" t="s">
        <v>77</v>
      </c>
      <c r="I240">
        <v>3</v>
      </c>
      <c r="J240">
        <v>3751</v>
      </c>
      <c r="K240" s="7">
        <v>0.2</v>
      </c>
      <c r="L240" t="s">
        <v>58</v>
      </c>
      <c r="M240" t="s">
        <v>39</v>
      </c>
      <c r="N240" t="s">
        <v>48</v>
      </c>
      <c r="P240">
        <f>VLOOKUP(Table2[[#This Row],[Product_ID]],Table1[#All],8,TRUE)</f>
        <v>1200</v>
      </c>
    </row>
    <row r="241" spans="1:16" x14ac:dyDescent="0.3">
      <c r="A241" t="s">
        <v>671</v>
      </c>
      <c r="B241" s="5" t="s">
        <v>672</v>
      </c>
      <c r="C241" s="3" t="str">
        <f t="shared" si="3"/>
        <v>14-09-2024</v>
      </c>
      <c r="D241" t="s">
        <v>16</v>
      </c>
      <c r="E241" t="s">
        <v>47</v>
      </c>
      <c r="F241" t="s">
        <v>73</v>
      </c>
      <c r="G241" t="s">
        <v>53</v>
      </c>
      <c r="H241" t="s">
        <v>20</v>
      </c>
      <c r="I241">
        <v>2</v>
      </c>
      <c r="J241">
        <v>4765</v>
      </c>
      <c r="K241" s="7">
        <v>0.05</v>
      </c>
      <c r="L241" t="s">
        <v>31</v>
      </c>
      <c r="M241" t="s">
        <v>22</v>
      </c>
      <c r="N241" t="s">
        <v>32</v>
      </c>
      <c r="P241">
        <f>VLOOKUP(Table2[[#This Row],[Product_ID]],Table1[#All],8,TRUE)</f>
        <v>700</v>
      </c>
    </row>
    <row r="242" spans="1:16" x14ac:dyDescent="0.3">
      <c r="A242" t="s">
        <v>621</v>
      </c>
      <c r="B242" s="5" t="s">
        <v>673</v>
      </c>
      <c r="C242" s="3" t="str">
        <f t="shared" si="3"/>
        <v>06-03-2024</v>
      </c>
      <c r="D242" t="s">
        <v>46</v>
      </c>
      <c r="E242" t="s">
        <v>674</v>
      </c>
      <c r="F242" t="s">
        <v>57</v>
      </c>
      <c r="G242" t="s">
        <v>19</v>
      </c>
      <c r="H242" t="s">
        <v>99</v>
      </c>
      <c r="I242">
        <v>2</v>
      </c>
      <c r="J242">
        <v>1530</v>
      </c>
      <c r="K242" s="7">
        <v>0.2</v>
      </c>
      <c r="L242" t="s">
        <v>31</v>
      </c>
      <c r="M242" t="s">
        <v>39</v>
      </c>
      <c r="N242" t="s">
        <v>32</v>
      </c>
      <c r="P242">
        <f>VLOOKUP(Table2[[#This Row],[Product_ID]],Table1[#All],8,TRUE)</f>
        <v>1200</v>
      </c>
    </row>
    <row r="243" spans="1:16" x14ac:dyDescent="0.3">
      <c r="A243" t="s">
        <v>675</v>
      </c>
      <c r="B243" s="5" t="s">
        <v>676</v>
      </c>
      <c r="C243" s="3" t="str">
        <f t="shared" si="3"/>
        <v>21-04-2023</v>
      </c>
      <c r="D243" t="s">
        <v>51</v>
      </c>
      <c r="E243" t="s">
        <v>253</v>
      </c>
      <c r="F243" t="s">
        <v>57</v>
      </c>
      <c r="G243" t="s">
        <v>29</v>
      </c>
      <c r="H243" t="s">
        <v>77</v>
      </c>
      <c r="I243">
        <v>5</v>
      </c>
      <c r="J243">
        <v>6796</v>
      </c>
      <c r="K243" s="7">
        <v>0.1</v>
      </c>
      <c r="L243" t="s">
        <v>38</v>
      </c>
      <c r="M243" t="s">
        <v>39</v>
      </c>
      <c r="N243" t="s">
        <v>32</v>
      </c>
      <c r="O243">
        <v>3.5</v>
      </c>
      <c r="P243">
        <f>VLOOKUP(Table2[[#This Row],[Product_ID]],Table1[#All],8,TRUE)</f>
        <v>0</v>
      </c>
    </row>
    <row r="244" spans="1:16" x14ac:dyDescent="0.3">
      <c r="A244" t="s">
        <v>677</v>
      </c>
      <c r="B244" s="5" t="s">
        <v>678</v>
      </c>
      <c r="C244" s="3" t="str">
        <f t="shared" si="3"/>
        <v>17-07-2024</v>
      </c>
      <c r="D244" t="s">
        <v>67</v>
      </c>
      <c r="E244" t="s">
        <v>72</v>
      </c>
      <c r="F244" t="s">
        <v>64</v>
      </c>
      <c r="G244" t="s">
        <v>29</v>
      </c>
      <c r="H244" t="s">
        <v>30</v>
      </c>
      <c r="I244">
        <v>1</v>
      </c>
      <c r="J244">
        <v>5421</v>
      </c>
      <c r="K244" s="7">
        <v>0</v>
      </c>
      <c r="L244" t="s">
        <v>31</v>
      </c>
      <c r="M244" t="s">
        <v>22</v>
      </c>
      <c r="N244" t="s">
        <v>59</v>
      </c>
      <c r="O244">
        <v>4.4000000000000004</v>
      </c>
      <c r="P244">
        <f>VLOOKUP(Table2[[#This Row],[Product_ID]],Table1[#All],8,TRUE)</f>
        <v>0</v>
      </c>
    </row>
    <row r="245" spans="1:16" x14ac:dyDescent="0.3">
      <c r="A245" t="s">
        <v>679</v>
      </c>
      <c r="B245" s="5" t="s">
        <v>680</v>
      </c>
      <c r="C245" s="3" t="str">
        <f t="shared" si="3"/>
        <v>29-01-2024</v>
      </c>
      <c r="D245" t="s">
        <v>35</v>
      </c>
      <c r="E245" t="s">
        <v>566</v>
      </c>
      <c r="F245" t="s">
        <v>98</v>
      </c>
      <c r="G245" t="s">
        <v>29</v>
      </c>
      <c r="H245" t="s">
        <v>77</v>
      </c>
      <c r="I245">
        <v>4</v>
      </c>
      <c r="J245">
        <v>5121</v>
      </c>
      <c r="K245" s="7">
        <v>0.15</v>
      </c>
      <c r="L245" t="s">
        <v>21</v>
      </c>
      <c r="M245" t="s">
        <v>39</v>
      </c>
      <c r="N245" t="s">
        <v>23</v>
      </c>
      <c r="P245">
        <f>VLOOKUP(Table2[[#This Row],[Product_ID]],Table1[#All],8,TRUE)</f>
        <v>900</v>
      </c>
    </row>
    <row r="246" spans="1:16" x14ac:dyDescent="0.3">
      <c r="A246" t="s">
        <v>681</v>
      </c>
      <c r="B246" s="5" t="s">
        <v>682</v>
      </c>
      <c r="C246" s="3" t="str">
        <f t="shared" si="3"/>
        <v>16-08-2023</v>
      </c>
      <c r="D246" t="s">
        <v>51</v>
      </c>
      <c r="E246" t="s">
        <v>376</v>
      </c>
      <c r="F246" t="s">
        <v>73</v>
      </c>
      <c r="G246" t="s">
        <v>19</v>
      </c>
      <c r="H246" t="s">
        <v>99</v>
      </c>
      <c r="I246">
        <v>1</v>
      </c>
      <c r="J246">
        <v>3979</v>
      </c>
      <c r="K246" s="7">
        <v>0.15</v>
      </c>
      <c r="L246" t="s">
        <v>38</v>
      </c>
      <c r="M246" t="s">
        <v>22</v>
      </c>
      <c r="N246" t="s">
        <v>59</v>
      </c>
      <c r="P246">
        <f>VLOOKUP(Table2[[#This Row],[Product_ID]],Table1[#All],8,TRUE)</f>
        <v>1500</v>
      </c>
    </row>
    <row r="247" spans="1:16" x14ac:dyDescent="0.3">
      <c r="A247" t="s">
        <v>683</v>
      </c>
      <c r="B247" s="5" t="s">
        <v>684</v>
      </c>
      <c r="C247" s="3" t="str">
        <f t="shared" si="3"/>
        <v>18-08-2023</v>
      </c>
      <c r="D247" t="s">
        <v>114</v>
      </c>
      <c r="E247" t="s">
        <v>362</v>
      </c>
      <c r="F247" t="s">
        <v>28</v>
      </c>
      <c r="G247" t="s">
        <v>53</v>
      </c>
      <c r="H247" t="s">
        <v>30</v>
      </c>
      <c r="I247">
        <v>2</v>
      </c>
      <c r="J247">
        <v>4855</v>
      </c>
      <c r="K247" s="7">
        <v>0.05</v>
      </c>
      <c r="L247" t="s">
        <v>21</v>
      </c>
      <c r="M247" t="s">
        <v>39</v>
      </c>
      <c r="N247" t="s">
        <v>59</v>
      </c>
      <c r="O247">
        <v>4.5</v>
      </c>
      <c r="P247">
        <f>VLOOKUP(Table2[[#This Row],[Product_ID]],Table1[#All],8,TRUE)</f>
        <v>500</v>
      </c>
    </row>
    <row r="248" spans="1:16" x14ac:dyDescent="0.3">
      <c r="A248" t="s">
        <v>685</v>
      </c>
      <c r="B248" s="5" t="s">
        <v>686</v>
      </c>
      <c r="C248" s="3" t="str">
        <f t="shared" si="3"/>
        <v>15-01-2023</v>
      </c>
      <c r="D248" t="s">
        <v>35</v>
      </c>
      <c r="E248" t="s">
        <v>108</v>
      </c>
      <c r="F248" t="s">
        <v>98</v>
      </c>
      <c r="G248" t="s">
        <v>53</v>
      </c>
      <c r="H248" t="s">
        <v>99</v>
      </c>
      <c r="I248">
        <v>2</v>
      </c>
      <c r="J248">
        <v>7728</v>
      </c>
      <c r="K248" s="7">
        <v>0.05</v>
      </c>
      <c r="L248" t="s">
        <v>21</v>
      </c>
      <c r="M248" t="s">
        <v>22</v>
      </c>
      <c r="N248" t="s">
        <v>23</v>
      </c>
      <c r="P248">
        <f>VLOOKUP(Table2[[#This Row],[Product_ID]],Table1[#All],8,TRUE)</f>
        <v>500</v>
      </c>
    </row>
    <row r="249" spans="1:16" x14ac:dyDescent="0.3">
      <c r="A249" t="s">
        <v>687</v>
      </c>
      <c r="B249" s="5" t="s">
        <v>634</v>
      </c>
      <c r="C249" s="3" t="str">
        <f t="shared" si="3"/>
        <v>16-10-2024</v>
      </c>
      <c r="D249" t="s">
        <v>84</v>
      </c>
      <c r="E249" t="s">
        <v>585</v>
      </c>
      <c r="F249" t="s">
        <v>57</v>
      </c>
      <c r="G249" t="s">
        <v>53</v>
      </c>
      <c r="H249" t="s">
        <v>99</v>
      </c>
      <c r="I249">
        <v>4</v>
      </c>
      <c r="J249">
        <v>9504</v>
      </c>
      <c r="K249" s="7">
        <v>0.2</v>
      </c>
      <c r="L249" t="s">
        <v>31</v>
      </c>
      <c r="M249" t="s">
        <v>22</v>
      </c>
      <c r="N249" t="s">
        <v>48</v>
      </c>
      <c r="P249">
        <f>VLOOKUP(Table2[[#This Row],[Product_ID]],Table1[#All],8,TRUE)</f>
        <v>700</v>
      </c>
    </row>
    <row r="250" spans="1:16" x14ac:dyDescent="0.3">
      <c r="A250" t="s">
        <v>688</v>
      </c>
      <c r="B250" s="5" t="s">
        <v>689</v>
      </c>
      <c r="C250" s="3" t="str">
        <f t="shared" si="3"/>
        <v>22-04-2024</v>
      </c>
      <c r="D250" t="s">
        <v>26</v>
      </c>
      <c r="E250" t="s">
        <v>690</v>
      </c>
      <c r="F250" t="s">
        <v>28</v>
      </c>
      <c r="G250" t="s">
        <v>53</v>
      </c>
      <c r="H250" t="s">
        <v>30</v>
      </c>
      <c r="I250">
        <v>3</v>
      </c>
      <c r="J250">
        <v>3831</v>
      </c>
      <c r="K250" s="7">
        <v>0</v>
      </c>
      <c r="L250" t="s">
        <v>31</v>
      </c>
      <c r="M250" t="s">
        <v>39</v>
      </c>
      <c r="N250" t="s">
        <v>48</v>
      </c>
      <c r="O250">
        <v>4.9000000000000004</v>
      </c>
      <c r="P250">
        <f>VLOOKUP(Table2[[#This Row],[Product_ID]],Table1[#All],8,TRUE)</f>
        <v>0</v>
      </c>
    </row>
    <row r="251" spans="1:16" x14ac:dyDescent="0.3">
      <c r="A251" t="s">
        <v>691</v>
      </c>
      <c r="B251" s="5" t="s">
        <v>692</v>
      </c>
      <c r="C251" s="3" t="str">
        <f t="shared" si="3"/>
        <v>24-12-2024</v>
      </c>
      <c r="D251" t="s">
        <v>96</v>
      </c>
      <c r="E251" t="s">
        <v>572</v>
      </c>
      <c r="F251" t="s">
        <v>57</v>
      </c>
      <c r="G251" t="s">
        <v>53</v>
      </c>
      <c r="H251" t="s">
        <v>20</v>
      </c>
      <c r="I251">
        <v>2</v>
      </c>
      <c r="J251">
        <v>8920</v>
      </c>
      <c r="K251" s="7">
        <v>0.15</v>
      </c>
      <c r="L251" t="s">
        <v>21</v>
      </c>
      <c r="M251" t="s">
        <v>39</v>
      </c>
      <c r="N251" t="s">
        <v>59</v>
      </c>
      <c r="O251">
        <v>4.8</v>
      </c>
      <c r="P251">
        <f>VLOOKUP(Table2[[#This Row],[Product_ID]],Table1[#All],8,TRUE)</f>
        <v>700</v>
      </c>
    </row>
    <row r="252" spans="1:16" x14ac:dyDescent="0.3">
      <c r="A252" t="s">
        <v>693</v>
      </c>
      <c r="B252" s="5" t="s">
        <v>694</v>
      </c>
      <c r="C252" s="3" t="str">
        <f t="shared" si="3"/>
        <v>10-07-2023</v>
      </c>
      <c r="D252" t="s">
        <v>62</v>
      </c>
      <c r="E252" t="s">
        <v>695</v>
      </c>
      <c r="F252" t="s">
        <v>73</v>
      </c>
      <c r="G252" t="s">
        <v>37</v>
      </c>
      <c r="H252" t="s">
        <v>30</v>
      </c>
      <c r="I252">
        <v>5</v>
      </c>
      <c r="J252">
        <v>6123</v>
      </c>
      <c r="K252" s="7">
        <v>0.05</v>
      </c>
      <c r="L252" t="s">
        <v>38</v>
      </c>
      <c r="M252" t="s">
        <v>39</v>
      </c>
      <c r="N252" t="s">
        <v>23</v>
      </c>
      <c r="O252">
        <v>4.5999999999999996</v>
      </c>
      <c r="P252">
        <f>VLOOKUP(Table2[[#This Row],[Product_ID]],Table1[#All],8,TRUE)</f>
        <v>0</v>
      </c>
    </row>
    <row r="253" spans="1:16" x14ac:dyDescent="0.3">
      <c r="A253" t="s">
        <v>696</v>
      </c>
      <c r="B253" s="5" t="s">
        <v>305</v>
      </c>
      <c r="C253" s="3" t="str">
        <f t="shared" si="3"/>
        <v>05-05-2023</v>
      </c>
      <c r="D253" t="s">
        <v>26</v>
      </c>
      <c r="E253" t="s">
        <v>597</v>
      </c>
      <c r="F253" t="s">
        <v>43</v>
      </c>
      <c r="G253" t="s">
        <v>37</v>
      </c>
      <c r="H253" t="s">
        <v>99</v>
      </c>
      <c r="I253">
        <v>3</v>
      </c>
      <c r="J253">
        <v>6114</v>
      </c>
      <c r="K253" s="7">
        <v>0.1</v>
      </c>
      <c r="L253" t="s">
        <v>21</v>
      </c>
      <c r="M253" t="s">
        <v>39</v>
      </c>
      <c r="N253" t="s">
        <v>23</v>
      </c>
      <c r="O253">
        <v>4.2</v>
      </c>
      <c r="P253">
        <f>VLOOKUP(Table2[[#This Row],[Product_ID]],Table1[#All],8,TRUE)</f>
        <v>1500</v>
      </c>
    </row>
    <row r="254" spans="1:16" x14ac:dyDescent="0.3">
      <c r="A254" t="s">
        <v>697</v>
      </c>
      <c r="B254" s="5" t="s">
        <v>698</v>
      </c>
      <c r="C254" s="3" t="str">
        <f t="shared" si="3"/>
        <v>16-07-2024</v>
      </c>
      <c r="D254" t="s">
        <v>26</v>
      </c>
      <c r="E254" t="s">
        <v>384</v>
      </c>
      <c r="F254" t="s">
        <v>73</v>
      </c>
      <c r="G254" t="s">
        <v>19</v>
      </c>
      <c r="H254" t="s">
        <v>77</v>
      </c>
      <c r="I254">
        <v>1</v>
      </c>
      <c r="J254">
        <v>6644</v>
      </c>
      <c r="K254" s="7">
        <v>0.2</v>
      </c>
      <c r="L254" t="s">
        <v>38</v>
      </c>
      <c r="M254" t="s">
        <v>39</v>
      </c>
      <c r="N254" t="s">
        <v>59</v>
      </c>
      <c r="O254">
        <v>3</v>
      </c>
      <c r="P254">
        <f>VLOOKUP(Table2[[#This Row],[Product_ID]],Table1[#All],8,TRUE)</f>
        <v>1500</v>
      </c>
    </row>
    <row r="255" spans="1:16" x14ac:dyDescent="0.3">
      <c r="A255" t="s">
        <v>699</v>
      </c>
      <c r="B255" s="5" t="s">
        <v>700</v>
      </c>
      <c r="C255" s="3" t="str">
        <f t="shared" si="3"/>
        <v>22-07-2024</v>
      </c>
      <c r="D255" t="s">
        <v>71</v>
      </c>
      <c r="E255" t="s">
        <v>701</v>
      </c>
      <c r="F255" t="s">
        <v>98</v>
      </c>
      <c r="G255" t="s">
        <v>19</v>
      </c>
      <c r="H255" t="s">
        <v>30</v>
      </c>
      <c r="I255">
        <v>5</v>
      </c>
      <c r="J255">
        <v>2222</v>
      </c>
      <c r="K255" s="7">
        <v>0.15</v>
      </c>
      <c r="L255" t="s">
        <v>21</v>
      </c>
      <c r="M255" t="s">
        <v>39</v>
      </c>
      <c r="N255" t="s">
        <v>48</v>
      </c>
      <c r="P255">
        <f>VLOOKUP(Table2[[#This Row],[Product_ID]],Table1[#All],8,TRUE)</f>
        <v>1200</v>
      </c>
    </row>
    <row r="256" spans="1:16" x14ac:dyDescent="0.3">
      <c r="A256" t="s">
        <v>702</v>
      </c>
      <c r="B256" s="5" t="s">
        <v>703</v>
      </c>
      <c r="C256" s="3" t="str">
        <f t="shared" si="3"/>
        <v>06-05-2023</v>
      </c>
      <c r="D256" t="s">
        <v>80</v>
      </c>
      <c r="E256" t="s">
        <v>704</v>
      </c>
      <c r="F256" t="s">
        <v>18</v>
      </c>
      <c r="G256" t="s">
        <v>29</v>
      </c>
      <c r="H256" t="s">
        <v>77</v>
      </c>
      <c r="I256">
        <v>3</v>
      </c>
      <c r="J256">
        <v>1850</v>
      </c>
      <c r="K256" s="7">
        <v>0.1</v>
      </c>
      <c r="L256" t="s">
        <v>31</v>
      </c>
      <c r="M256" t="s">
        <v>39</v>
      </c>
      <c r="N256" t="s">
        <v>59</v>
      </c>
      <c r="O256">
        <v>3.8</v>
      </c>
      <c r="P256">
        <f>VLOOKUP(Table2[[#This Row],[Product_ID]],Table1[#All],8,TRUE)</f>
        <v>1200</v>
      </c>
    </row>
    <row r="257" spans="1:16" x14ac:dyDescent="0.3">
      <c r="A257" t="s">
        <v>705</v>
      </c>
      <c r="B257" s="5" t="s">
        <v>706</v>
      </c>
      <c r="C257" s="3" t="str">
        <f t="shared" si="3"/>
        <v>04-03-2024</v>
      </c>
      <c r="D257" t="s">
        <v>84</v>
      </c>
      <c r="E257" t="s">
        <v>216</v>
      </c>
      <c r="F257" t="s">
        <v>18</v>
      </c>
      <c r="G257" t="s">
        <v>29</v>
      </c>
      <c r="H257" t="s">
        <v>20</v>
      </c>
      <c r="I257">
        <v>1</v>
      </c>
      <c r="J257">
        <v>3238</v>
      </c>
      <c r="K257" s="7">
        <v>0.05</v>
      </c>
      <c r="L257" t="s">
        <v>58</v>
      </c>
      <c r="M257" t="s">
        <v>39</v>
      </c>
      <c r="N257" t="s">
        <v>23</v>
      </c>
      <c r="O257">
        <v>3.3</v>
      </c>
      <c r="P257">
        <f>VLOOKUP(Table2[[#This Row],[Product_ID]],Table1[#All],8,TRUE)</f>
        <v>0</v>
      </c>
    </row>
    <row r="258" spans="1:16" x14ac:dyDescent="0.3">
      <c r="A258" t="s">
        <v>707</v>
      </c>
      <c r="B258" s="5" t="s">
        <v>708</v>
      </c>
      <c r="C258" s="3" t="str">
        <f t="shared" ref="C258:C321" si="4">TEXT(B258,"dd-mm-yyyy")</f>
        <v>11-10-2024</v>
      </c>
      <c r="D258" t="s">
        <v>46</v>
      </c>
      <c r="E258" t="s">
        <v>709</v>
      </c>
      <c r="F258" t="s">
        <v>57</v>
      </c>
      <c r="G258" t="s">
        <v>53</v>
      </c>
      <c r="H258" t="s">
        <v>77</v>
      </c>
      <c r="I258">
        <v>4</v>
      </c>
      <c r="J258">
        <v>1842</v>
      </c>
      <c r="K258" s="7">
        <v>0.15</v>
      </c>
      <c r="L258" t="s">
        <v>38</v>
      </c>
      <c r="M258" t="s">
        <v>39</v>
      </c>
      <c r="N258" t="s">
        <v>59</v>
      </c>
      <c r="O258">
        <v>4.4000000000000004</v>
      </c>
      <c r="P258">
        <f>VLOOKUP(Table2[[#This Row],[Product_ID]],Table1[#All],8,TRUE)</f>
        <v>1500</v>
      </c>
    </row>
    <row r="259" spans="1:16" x14ac:dyDescent="0.3">
      <c r="A259" t="s">
        <v>710</v>
      </c>
      <c r="B259" s="5" t="s">
        <v>711</v>
      </c>
      <c r="C259" s="3" t="str">
        <f t="shared" si="4"/>
        <v>11-07-2023</v>
      </c>
      <c r="D259" t="s">
        <v>127</v>
      </c>
      <c r="E259" t="s">
        <v>712</v>
      </c>
      <c r="F259" t="s">
        <v>43</v>
      </c>
      <c r="G259" t="s">
        <v>37</v>
      </c>
      <c r="H259" t="s">
        <v>99</v>
      </c>
      <c r="I259">
        <v>3</v>
      </c>
      <c r="J259">
        <v>3221</v>
      </c>
      <c r="K259" s="7">
        <v>0.15</v>
      </c>
      <c r="L259" t="s">
        <v>31</v>
      </c>
      <c r="M259" t="s">
        <v>39</v>
      </c>
      <c r="N259" t="s">
        <v>32</v>
      </c>
      <c r="O259">
        <v>3</v>
      </c>
      <c r="P259">
        <f>VLOOKUP(Table2[[#This Row],[Product_ID]],Table1[#All],8,TRUE)</f>
        <v>700</v>
      </c>
    </row>
    <row r="260" spans="1:16" x14ac:dyDescent="0.3">
      <c r="A260" t="s">
        <v>713</v>
      </c>
      <c r="B260" s="5" t="s">
        <v>714</v>
      </c>
      <c r="C260" s="3" t="str">
        <f t="shared" si="4"/>
        <v>31-08-2023</v>
      </c>
      <c r="D260" t="s">
        <v>71</v>
      </c>
      <c r="E260" t="s">
        <v>108</v>
      </c>
      <c r="F260" t="s">
        <v>73</v>
      </c>
      <c r="G260" t="s">
        <v>53</v>
      </c>
      <c r="H260" t="s">
        <v>20</v>
      </c>
      <c r="I260">
        <v>1</v>
      </c>
      <c r="J260">
        <v>1809</v>
      </c>
      <c r="K260" s="7">
        <v>0.1</v>
      </c>
      <c r="L260" t="s">
        <v>31</v>
      </c>
      <c r="M260" t="s">
        <v>22</v>
      </c>
      <c r="N260" t="s">
        <v>48</v>
      </c>
      <c r="P260">
        <f>VLOOKUP(Table2[[#This Row],[Product_ID]],Table1[#All],8,TRUE)</f>
        <v>500</v>
      </c>
    </row>
    <row r="261" spans="1:16" x14ac:dyDescent="0.3">
      <c r="A261" t="s">
        <v>415</v>
      </c>
      <c r="B261" s="5" t="s">
        <v>715</v>
      </c>
      <c r="C261" s="3" t="str">
        <f t="shared" si="4"/>
        <v>20-03-2023</v>
      </c>
      <c r="D261" t="s">
        <v>51</v>
      </c>
      <c r="E261" t="s">
        <v>716</v>
      </c>
      <c r="F261" t="s">
        <v>64</v>
      </c>
      <c r="G261" t="s">
        <v>29</v>
      </c>
      <c r="H261" t="s">
        <v>77</v>
      </c>
      <c r="I261">
        <v>1</v>
      </c>
      <c r="J261">
        <v>8302</v>
      </c>
      <c r="K261" s="7">
        <v>0.15</v>
      </c>
      <c r="L261" t="s">
        <v>31</v>
      </c>
      <c r="M261" t="s">
        <v>22</v>
      </c>
      <c r="N261" t="s">
        <v>32</v>
      </c>
      <c r="O261">
        <v>3.1</v>
      </c>
      <c r="P261">
        <f>VLOOKUP(Table2[[#This Row],[Product_ID]],Table1[#All],8,TRUE)</f>
        <v>700</v>
      </c>
    </row>
    <row r="262" spans="1:16" x14ac:dyDescent="0.3">
      <c r="A262" t="s">
        <v>717</v>
      </c>
      <c r="B262" s="5" t="s">
        <v>718</v>
      </c>
      <c r="C262" s="3" t="str">
        <f t="shared" si="4"/>
        <v>28-08-2024</v>
      </c>
      <c r="D262" t="s">
        <v>62</v>
      </c>
      <c r="E262" t="s">
        <v>357</v>
      </c>
      <c r="F262" t="s">
        <v>18</v>
      </c>
      <c r="G262" t="s">
        <v>37</v>
      </c>
      <c r="H262" t="s">
        <v>30</v>
      </c>
      <c r="I262">
        <v>4</v>
      </c>
      <c r="J262">
        <v>8477</v>
      </c>
      <c r="K262" s="7">
        <v>0</v>
      </c>
      <c r="L262" t="s">
        <v>38</v>
      </c>
      <c r="M262" t="s">
        <v>39</v>
      </c>
      <c r="N262" t="s">
        <v>48</v>
      </c>
      <c r="O262">
        <v>4.7</v>
      </c>
      <c r="P262">
        <f>VLOOKUP(Table2[[#This Row],[Product_ID]],Table1[#All],8,TRUE)</f>
        <v>1200</v>
      </c>
    </row>
    <row r="263" spans="1:16" x14ac:dyDescent="0.3">
      <c r="A263" t="s">
        <v>719</v>
      </c>
      <c r="B263" s="5" t="s">
        <v>720</v>
      </c>
      <c r="C263" s="3" t="str">
        <f t="shared" si="4"/>
        <v>10-07-2024</v>
      </c>
      <c r="D263" t="s">
        <v>71</v>
      </c>
      <c r="E263" t="s">
        <v>93</v>
      </c>
      <c r="F263" t="s">
        <v>64</v>
      </c>
      <c r="G263" t="s">
        <v>19</v>
      </c>
      <c r="H263" t="s">
        <v>77</v>
      </c>
      <c r="I263">
        <v>4</v>
      </c>
      <c r="J263">
        <v>6203</v>
      </c>
      <c r="K263" s="7">
        <v>0.15</v>
      </c>
      <c r="L263" t="s">
        <v>58</v>
      </c>
      <c r="M263" t="s">
        <v>39</v>
      </c>
      <c r="N263" t="s">
        <v>32</v>
      </c>
      <c r="P263">
        <f>VLOOKUP(Table2[[#This Row],[Product_ID]],Table1[#All],8,TRUE)</f>
        <v>700</v>
      </c>
    </row>
    <row r="264" spans="1:16" x14ac:dyDescent="0.3">
      <c r="A264" t="s">
        <v>721</v>
      </c>
      <c r="B264" s="5" t="s">
        <v>90</v>
      </c>
      <c r="C264" s="3" t="str">
        <f t="shared" si="4"/>
        <v>16-09-2024</v>
      </c>
      <c r="D264" t="s">
        <v>84</v>
      </c>
      <c r="E264" t="s">
        <v>635</v>
      </c>
      <c r="F264" t="s">
        <v>18</v>
      </c>
      <c r="G264" t="s">
        <v>19</v>
      </c>
      <c r="H264" t="s">
        <v>99</v>
      </c>
      <c r="I264">
        <v>4</v>
      </c>
      <c r="J264">
        <v>5407</v>
      </c>
      <c r="K264" s="7">
        <v>0</v>
      </c>
      <c r="L264" t="s">
        <v>21</v>
      </c>
      <c r="M264" t="s">
        <v>22</v>
      </c>
      <c r="N264" t="s">
        <v>59</v>
      </c>
      <c r="P264">
        <f>VLOOKUP(Table2[[#This Row],[Product_ID]],Table1[#All],8,TRUE)</f>
        <v>900</v>
      </c>
    </row>
    <row r="265" spans="1:16" x14ac:dyDescent="0.3">
      <c r="A265" t="s">
        <v>230</v>
      </c>
      <c r="B265" s="5" t="s">
        <v>708</v>
      </c>
      <c r="C265" s="3" t="str">
        <f t="shared" si="4"/>
        <v>11-10-2024</v>
      </c>
      <c r="D265" t="s">
        <v>127</v>
      </c>
      <c r="E265" t="s">
        <v>88</v>
      </c>
      <c r="F265" t="s">
        <v>28</v>
      </c>
      <c r="G265" t="s">
        <v>53</v>
      </c>
      <c r="H265" t="s">
        <v>30</v>
      </c>
      <c r="I265">
        <v>2</v>
      </c>
      <c r="J265">
        <v>4189</v>
      </c>
      <c r="K265" s="7">
        <v>0.15</v>
      </c>
      <c r="L265" t="s">
        <v>21</v>
      </c>
      <c r="M265" t="s">
        <v>39</v>
      </c>
      <c r="N265" t="s">
        <v>23</v>
      </c>
      <c r="O265">
        <v>3.4</v>
      </c>
      <c r="P265">
        <f>VLOOKUP(Table2[[#This Row],[Product_ID]],Table1[#All],8,TRUE)</f>
        <v>0</v>
      </c>
    </row>
    <row r="266" spans="1:16" x14ac:dyDescent="0.3">
      <c r="A266" t="s">
        <v>49</v>
      </c>
      <c r="B266" s="5" t="s">
        <v>324</v>
      </c>
      <c r="C266" s="3" t="str">
        <f t="shared" si="4"/>
        <v>09-08-2024</v>
      </c>
      <c r="D266" t="s">
        <v>131</v>
      </c>
      <c r="E266" t="s">
        <v>722</v>
      </c>
      <c r="F266" t="s">
        <v>73</v>
      </c>
      <c r="G266" t="s">
        <v>29</v>
      </c>
      <c r="H266" t="s">
        <v>30</v>
      </c>
      <c r="I266">
        <v>1</v>
      </c>
      <c r="J266">
        <v>7853</v>
      </c>
      <c r="K266" s="7">
        <v>0</v>
      </c>
      <c r="L266" t="s">
        <v>38</v>
      </c>
      <c r="M266" t="s">
        <v>39</v>
      </c>
      <c r="N266" t="s">
        <v>59</v>
      </c>
      <c r="O266">
        <v>3</v>
      </c>
      <c r="P266">
        <f>VLOOKUP(Table2[[#This Row],[Product_ID]],Table1[#All],8,TRUE)</f>
        <v>700</v>
      </c>
    </row>
    <row r="267" spans="1:16" x14ac:dyDescent="0.3">
      <c r="A267" t="s">
        <v>723</v>
      </c>
      <c r="B267" s="5" t="s">
        <v>424</v>
      </c>
      <c r="C267" s="3" t="str">
        <f t="shared" si="4"/>
        <v>12-06-2024</v>
      </c>
      <c r="D267" t="s">
        <v>96</v>
      </c>
      <c r="E267" t="s">
        <v>724</v>
      </c>
      <c r="F267" t="s">
        <v>57</v>
      </c>
      <c r="G267" t="s">
        <v>19</v>
      </c>
      <c r="H267" t="s">
        <v>20</v>
      </c>
      <c r="I267">
        <v>2</v>
      </c>
      <c r="J267">
        <v>7940</v>
      </c>
      <c r="K267" s="7">
        <v>0.15</v>
      </c>
      <c r="L267" t="s">
        <v>21</v>
      </c>
      <c r="M267" t="s">
        <v>39</v>
      </c>
      <c r="N267" t="s">
        <v>23</v>
      </c>
      <c r="P267">
        <f>VLOOKUP(Table2[[#This Row],[Product_ID]],Table1[#All],8,TRUE)</f>
        <v>900</v>
      </c>
    </row>
    <row r="268" spans="1:16" x14ac:dyDescent="0.3">
      <c r="A268" t="s">
        <v>725</v>
      </c>
      <c r="B268" s="5" t="s">
        <v>511</v>
      </c>
      <c r="C268" s="3" t="str">
        <f t="shared" si="4"/>
        <v>17-01-2023</v>
      </c>
      <c r="D268" t="s">
        <v>131</v>
      </c>
      <c r="E268" t="s">
        <v>726</v>
      </c>
      <c r="F268" t="s">
        <v>18</v>
      </c>
      <c r="G268" t="s">
        <v>37</v>
      </c>
      <c r="H268" t="s">
        <v>30</v>
      </c>
      <c r="I268">
        <v>3</v>
      </c>
      <c r="J268">
        <v>4018</v>
      </c>
      <c r="K268" s="7">
        <v>0.2</v>
      </c>
      <c r="L268" t="s">
        <v>58</v>
      </c>
      <c r="M268" t="s">
        <v>39</v>
      </c>
      <c r="N268" t="s">
        <v>59</v>
      </c>
      <c r="P268">
        <f>VLOOKUP(Table2[[#This Row],[Product_ID]],Table1[#All],8,TRUE)</f>
        <v>0</v>
      </c>
    </row>
    <row r="269" spans="1:16" x14ac:dyDescent="0.3">
      <c r="A269" t="s">
        <v>727</v>
      </c>
      <c r="B269" s="5" t="s">
        <v>728</v>
      </c>
      <c r="C269" s="3" t="str">
        <f t="shared" si="4"/>
        <v>01-10-2023</v>
      </c>
      <c r="D269" t="s">
        <v>80</v>
      </c>
      <c r="E269" t="s">
        <v>712</v>
      </c>
      <c r="F269" t="s">
        <v>64</v>
      </c>
      <c r="G269" t="s">
        <v>29</v>
      </c>
      <c r="H269" t="s">
        <v>77</v>
      </c>
      <c r="I269">
        <v>2</v>
      </c>
      <c r="J269">
        <v>9489</v>
      </c>
      <c r="K269" s="7">
        <v>0.1</v>
      </c>
      <c r="L269" t="s">
        <v>31</v>
      </c>
      <c r="M269" t="s">
        <v>39</v>
      </c>
      <c r="N269" t="s">
        <v>23</v>
      </c>
      <c r="O269">
        <v>3.3</v>
      </c>
      <c r="P269">
        <f>VLOOKUP(Table2[[#This Row],[Product_ID]],Table1[#All],8,TRUE)</f>
        <v>700</v>
      </c>
    </row>
    <row r="270" spans="1:16" x14ac:dyDescent="0.3">
      <c r="A270" t="s">
        <v>729</v>
      </c>
      <c r="B270" s="5" t="s">
        <v>730</v>
      </c>
      <c r="C270" s="3" t="str">
        <f t="shared" si="4"/>
        <v>17-02-2023</v>
      </c>
      <c r="D270" t="s">
        <v>91</v>
      </c>
      <c r="E270" t="s">
        <v>731</v>
      </c>
      <c r="F270" t="s">
        <v>57</v>
      </c>
      <c r="G270" t="s">
        <v>53</v>
      </c>
      <c r="H270" t="s">
        <v>77</v>
      </c>
      <c r="I270">
        <v>4</v>
      </c>
      <c r="J270">
        <v>3207</v>
      </c>
      <c r="K270" s="7">
        <v>0.2</v>
      </c>
      <c r="L270" t="s">
        <v>58</v>
      </c>
      <c r="M270" t="s">
        <v>39</v>
      </c>
      <c r="N270" t="s">
        <v>48</v>
      </c>
      <c r="P270">
        <f>VLOOKUP(Table2[[#This Row],[Product_ID]],Table1[#All],8,TRUE)</f>
        <v>1500</v>
      </c>
    </row>
    <row r="271" spans="1:16" x14ac:dyDescent="0.3">
      <c r="A271" t="s">
        <v>732</v>
      </c>
      <c r="B271" s="5" t="s">
        <v>733</v>
      </c>
      <c r="C271" s="3" t="str">
        <f t="shared" si="4"/>
        <v>21-01-2024</v>
      </c>
      <c r="D271" t="s">
        <v>51</v>
      </c>
      <c r="E271" t="s">
        <v>115</v>
      </c>
      <c r="F271" t="s">
        <v>28</v>
      </c>
      <c r="G271" t="s">
        <v>19</v>
      </c>
      <c r="H271" t="s">
        <v>99</v>
      </c>
      <c r="I271">
        <v>5</v>
      </c>
      <c r="J271">
        <v>9782</v>
      </c>
      <c r="K271" s="7">
        <v>0.2</v>
      </c>
      <c r="L271" t="s">
        <v>31</v>
      </c>
      <c r="M271" t="s">
        <v>39</v>
      </c>
      <c r="N271" t="s">
        <v>23</v>
      </c>
      <c r="P271">
        <f>VLOOKUP(Table2[[#This Row],[Product_ID]],Table1[#All],8,TRUE)</f>
        <v>900</v>
      </c>
    </row>
    <row r="272" spans="1:16" x14ac:dyDescent="0.3">
      <c r="A272" t="s">
        <v>734</v>
      </c>
      <c r="B272" s="5" t="s">
        <v>735</v>
      </c>
      <c r="C272" s="3" t="str">
        <f t="shared" si="4"/>
        <v>07-08-2024</v>
      </c>
      <c r="D272" t="s">
        <v>84</v>
      </c>
      <c r="E272" t="s">
        <v>736</v>
      </c>
      <c r="F272" t="s">
        <v>73</v>
      </c>
      <c r="G272" t="s">
        <v>37</v>
      </c>
      <c r="H272" t="s">
        <v>20</v>
      </c>
      <c r="I272">
        <v>2</v>
      </c>
      <c r="J272">
        <v>2731</v>
      </c>
      <c r="K272" s="7">
        <v>0.05</v>
      </c>
      <c r="L272" t="s">
        <v>58</v>
      </c>
      <c r="M272" t="s">
        <v>39</v>
      </c>
      <c r="N272" t="s">
        <v>32</v>
      </c>
      <c r="O272">
        <v>3.4</v>
      </c>
      <c r="P272">
        <f>VLOOKUP(Table2[[#This Row],[Product_ID]],Table1[#All],8,TRUE)</f>
        <v>0</v>
      </c>
    </row>
    <row r="273" spans="1:16" x14ac:dyDescent="0.3">
      <c r="A273" t="s">
        <v>737</v>
      </c>
      <c r="B273" s="5" t="s">
        <v>738</v>
      </c>
      <c r="C273" s="3" t="str">
        <f t="shared" si="4"/>
        <v>04-12-2024</v>
      </c>
      <c r="D273" t="s">
        <v>127</v>
      </c>
      <c r="E273" t="s">
        <v>739</v>
      </c>
      <c r="F273" t="s">
        <v>28</v>
      </c>
      <c r="G273" t="s">
        <v>29</v>
      </c>
      <c r="H273" t="s">
        <v>77</v>
      </c>
      <c r="I273">
        <v>5</v>
      </c>
      <c r="J273">
        <v>2874</v>
      </c>
      <c r="K273" s="7">
        <v>0.1</v>
      </c>
      <c r="L273" t="s">
        <v>31</v>
      </c>
      <c r="M273" t="s">
        <v>39</v>
      </c>
      <c r="N273" t="s">
        <v>59</v>
      </c>
      <c r="O273">
        <v>4.4000000000000004</v>
      </c>
      <c r="P273">
        <f>VLOOKUP(Table2[[#This Row],[Product_ID]],Table1[#All],8,TRUE)</f>
        <v>1500</v>
      </c>
    </row>
    <row r="274" spans="1:16" x14ac:dyDescent="0.3">
      <c r="A274" t="s">
        <v>740</v>
      </c>
      <c r="B274" s="5" t="s">
        <v>741</v>
      </c>
      <c r="C274" s="3" t="str">
        <f t="shared" si="4"/>
        <v>09-05-2024</v>
      </c>
      <c r="D274" t="s">
        <v>71</v>
      </c>
      <c r="E274" t="s">
        <v>742</v>
      </c>
      <c r="F274" t="s">
        <v>28</v>
      </c>
      <c r="G274" t="s">
        <v>37</v>
      </c>
      <c r="H274" t="s">
        <v>30</v>
      </c>
      <c r="I274">
        <v>1</v>
      </c>
      <c r="J274">
        <v>5337</v>
      </c>
      <c r="K274" s="7">
        <v>0.15</v>
      </c>
      <c r="L274" t="s">
        <v>58</v>
      </c>
      <c r="M274" t="s">
        <v>39</v>
      </c>
      <c r="N274" t="s">
        <v>59</v>
      </c>
      <c r="O274">
        <v>3.5</v>
      </c>
      <c r="P274">
        <f>VLOOKUP(Table2[[#This Row],[Product_ID]],Table1[#All],8,TRUE)</f>
        <v>0</v>
      </c>
    </row>
    <row r="275" spans="1:16" x14ac:dyDescent="0.3">
      <c r="A275" t="s">
        <v>743</v>
      </c>
      <c r="B275" s="5" t="s">
        <v>145</v>
      </c>
      <c r="C275" s="3" t="str">
        <f t="shared" si="4"/>
        <v>25-03-2024</v>
      </c>
      <c r="D275" t="s">
        <v>46</v>
      </c>
      <c r="E275" t="s">
        <v>237</v>
      </c>
      <c r="F275" t="s">
        <v>28</v>
      </c>
      <c r="G275" t="s">
        <v>37</v>
      </c>
      <c r="H275" t="s">
        <v>99</v>
      </c>
      <c r="I275">
        <v>3</v>
      </c>
      <c r="J275">
        <v>5055</v>
      </c>
      <c r="K275" s="7">
        <v>0.05</v>
      </c>
      <c r="L275" t="s">
        <v>21</v>
      </c>
      <c r="M275" t="s">
        <v>22</v>
      </c>
      <c r="N275" t="s">
        <v>32</v>
      </c>
      <c r="O275">
        <v>3.9</v>
      </c>
      <c r="P275">
        <f>VLOOKUP(Table2[[#This Row],[Product_ID]],Table1[#All],8,TRUE)</f>
        <v>900</v>
      </c>
    </row>
    <row r="276" spans="1:16" x14ac:dyDescent="0.3">
      <c r="A276" t="s">
        <v>744</v>
      </c>
      <c r="B276" s="5" t="s">
        <v>745</v>
      </c>
      <c r="C276" s="3" t="str">
        <f t="shared" si="4"/>
        <v>08-11-2023</v>
      </c>
      <c r="D276" t="s">
        <v>96</v>
      </c>
      <c r="E276" t="s">
        <v>97</v>
      </c>
      <c r="F276" t="s">
        <v>64</v>
      </c>
      <c r="G276" t="s">
        <v>29</v>
      </c>
      <c r="H276" t="s">
        <v>77</v>
      </c>
      <c r="I276">
        <v>3</v>
      </c>
      <c r="J276">
        <v>8255</v>
      </c>
      <c r="K276" s="7">
        <v>0.15</v>
      </c>
      <c r="L276" t="s">
        <v>58</v>
      </c>
      <c r="M276" t="s">
        <v>39</v>
      </c>
      <c r="N276" t="s">
        <v>23</v>
      </c>
      <c r="O276">
        <v>4.9000000000000004</v>
      </c>
      <c r="P276">
        <f>VLOOKUP(Table2[[#This Row],[Product_ID]],Table1[#All],8,TRUE)</f>
        <v>500</v>
      </c>
    </row>
    <row r="277" spans="1:16" x14ac:dyDescent="0.3">
      <c r="A277" t="s">
        <v>746</v>
      </c>
      <c r="B277" s="5" t="s">
        <v>747</v>
      </c>
      <c r="C277" s="3" t="str">
        <f t="shared" si="4"/>
        <v>07-04-2023</v>
      </c>
      <c r="D277" t="s">
        <v>96</v>
      </c>
      <c r="E277" t="s">
        <v>722</v>
      </c>
      <c r="F277" t="s">
        <v>64</v>
      </c>
      <c r="G277" t="s">
        <v>53</v>
      </c>
      <c r="H277" t="s">
        <v>30</v>
      </c>
      <c r="I277">
        <v>3</v>
      </c>
      <c r="J277">
        <v>6625</v>
      </c>
      <c r="K277" s="7">
        <v>0.15</v>
      </c>
      <c r="L277" t="s">
        <v>38</v>
      </c>
      <c r="M277" t="s">
        <v>39</v>
      </c>
      <c r="N277" t="s">
        <v>23</v>
      </c>
      <c r="P277">
        <f>VLOOKUP(Table2[[#This Row],[Product_ID]],Table1[#All],8,TRUE)</f>
        <v>700</v>
      </c>
    </row>
    <row r="278" spans="1:16" x14ac:dyDescent="0.3">
      <c r="A278" t="s">
        <v>748</v>
      </c>
      <c r="B278" s="5" t="s">
        <v>749</v>
      </c>
      <c r="C278" s="3" t="str">
        <f t="shared" si="4"/>
        <v>08-12-2024</v>
      </c>
      <c r="D278" t="s">
        <v>80</v>
      </c>
      <c r="E278" t="s">
        <v>259</v>
      </c>
      <c r="F278" t="s">
        <v>64</v>
      </c>
      <c r="G278" t="s">
        <v>53</v>
      </c>
      <c r="H278" t="s">
        <v>99</v>
      </c>
      <c r="I278">
        <v>4</v>
      </c>
      <c r="J278">
        <v>8864</v>
      </c>
      <c r="K278" s="7">
        <v>0.1</v>
      </c>
      <c r="L278" t="s">
        <v>58</v>
      </c>
      <c r="M278" t="s">
        <v>39</v>
      </c>
      <c r="N278" t="s">
        <v>48</v>
      </c>
      <c r="P278">
        <f>VLOOKUP(Table2[[#This Row],[Product_ID]],Table1[#All],8,TRUE)</f>
        <v>0</v>
      </c>
    </row>
    <row r="279" spans="1:16" x14ac:dyDescent="0.3">
      <c r="A279" t="s">
        <v>750</v>
      </c>
      <c r="B279" s="5" t="s">
        <v>751</v>
      </c>
      <c r="C279" s="3" t="str">
        <f t="shared" si="4"/>
        <v>22-10-2024</v>
      </c>
      <c r="D279" t="s">
        <v>71</v>
      </c>
      <c r="E279" t="s">
        <v>494</v>
      </c>
      <c r="F279" t="s">
        <v>43</v>
      </c>
      <c r="G279" t="s">
        <v>29</v>
      </c>
      <c r="H279" t="s">
        <v>99</v>
      </c>
      <c r="I279">
        <v>2</v>
      </c>
      <c r="J279">
        <v>4736</v>
      </c>
      <c r="K279" s="7">
        <v>0.05</v>
      </c>
      <c r="L279" t="s">
        <v>21</v>
      </c>
      <c r="M279" t="s">
        <v>22</v>
      </c>
      <c r="N279" t="s">
        <v>32</v>
      </c>
      <c r="P279">
        <f>VLOOKUP(Table2[[#This Row],[Product_ID]],Table1[#All],8,TRUE)</f>
        <v>0</v>
      </c>
    </row>
    <row r="280" spans="1:16" x14ac:dyDescent="0.3">
      <c r="A280" t="s">
        <v>752</v>
      </c>
      <c r="B280" s="5" t="s">
        <v>753</v>
      </c>
      <c r="C280" s="3" t="str">
        <f t="shared" si="4"/>
        <v>04-12-2023</v>
      </c>
      <c r="D280" t="s">
        <v>26</v>
      </c>
      <c r="E280" t="s">
        <v>754</v>
      </c>
      <c r="F280" t="s">
        <v>64</v>
      </c>
      <c r="G280" t="s">
        <v>37</v>
      </c>
      <c r="H280" t="s">
        <v>30</v>
      </c>
      <c r="I280">
        <v>1</v>
      </c>
      <c r="J280">
        <v>5743</v>
      </c>
      <c r="K280" s="7">
        <v>0.1</v>
      </c>
      <c r="L280" t="s">
        <v>58</v>
      </c>
      <c r="M280" t="s">
        <v>22</v>
      </c>
      <c r="N280" t="s">
        <v>32</v>
      </c>
      <c r="O280">
        <v>3.5</v>
      </c>
      <c r="P280">
        <f>VLOOKUP(Table2[[#This Row],[Product_ID]],Table1[#All],8,TRUE)</f>
        <v>500</v>
      </c>
    </row>
    <row r="281" spans="1:16" x14ac:dyDescent="0.3">
      <c r="A281" t="s">
        <v>755</v>
      </c>
      <c r="B281" s="5" t="s">
        <v>756</v>
      </c>
      <c r="C281" s="3" t="str">
        <f t="shared" si="4"/>
        <v>08-12-2023</v>
      </c>
      <c r="D281" t="s">
        <v>84</v>
      </c>
      <c r="E281" t="s">
        <v>563</v>
      </c>
      <c r="F281" t="s">
        <v>18</v>
      </c>
      <c r="G281" t="s">
        <v>29</v>
      </c>
      <c r="H281" t="s">
        <v>20</v>
      </c>
      <c r="I281">
        <v>4</v>
      </c>
      <c r="J281">
        <v>6191</v>
      </c>
      <c r="K281" s="7">
        <v>0.1</v>
      </c>
      <c r="L281" t="s">
        <v>31</v>
      </c>
      <c r="M281" t="s">
        <v>22</v>
      </c>
      <c r="N281" t="s">
        <v>59</v>
      </c>
      <c r="O281">
        <v>3.3</v>
      </c>
      <c r="P281">
        <f>VLOOKUP(Table2[[#This Row],[Product_ID]],Table1[#All],8,TRUE)</f>
        <v>0</v>
      </c>
    </row>
    <row r="282" spans="1:16" x14ac:dyDescent="0.3">
      <c r="A282" t="s">
        <v>757</v>
      </c>
      <c r="B282" s="5" t="s">
        <v>514</v>
      </c>
      <c r="C282" s="3" t="str">
        <f t="shared" si="4"/>
        <v>12-04-2024</v>
      </c>
      <c r="D282" t="s">
        <v>80</v>
      </c>
      <c r="E282" t="s">
        <v>758</v>
      </c>
      <c r="F282" t="s">
        <v>57</v>
      </c>
      <c r="G282" t="s">
        <v>29</v>
      </c>
      <c r="H282" t="s">
        <v>20</v>
      </c>
      <c r="I282">
        <v>4</v>
      </c>
      <c r="J282">
        <v>9601</v>
      </c>
      <c r="K282" s="7">
        <v>0.2</v>
      </c>
      <c r="L282" t="s">
        <v>38</v>
      </c>
      <c r="M282" t="s">
        <v>22</v>
      </c>
      <c r="N282" t="s">
        <v>59</v>
      </c>
      <c r="O282">
        <v>4.4000000000000004</v>
      </c>
      <c r="P282">
        <f>VLOOKUP(Table2[[#This Row],[Product_ID]],Table1[#All],8,TRUE)</f>
        <v>1500</v>
      </c>
    </row>
    <row r="283" spans="1:16" x14ac:dyDescent="0.3">
      <c r="A283" t="s">
        <v>759</v>
      </c>
      <c r="B283" s="5" t="s">
        <v>527</v>
      </c>
      <c r="C283" s="3" t="str">
        <f t="shared" si="4"/>
        <v>14-11-2024</v>
      </c>
      <c r="D283" t="s">
        <v>16</v>
      </c>
      <c r="E283" t="s">
        <v>281</v>
      </c>
      <c r="F283" t="s">
        <v>28</v>
      </c>
      <c r="G283" t="s">
        <v>37</v>
      </c>
      <c r="H283" t="s">
        <v>20</v>
      </c>
      <c r="I283">
        <v>2</v>
      </c>
      <c r="J283">
        <v>5840</v>
      </c>
      <c r="K283" s="7">
        <v>0.2</v>
      </c>
      <c r="L283" t="s">
        <v>31</v>
      </c>
      <c r="M283" t="s">
        <v>22</v>
      </c>
      <c r="N283" t="s">
        <v>48</v>
      </c>
      <c r="O283">
        <v>3.3</v>
      </c>
      <c r="P283">
        <f>VLOOKUP(Table2[[#This Row],[Product_ID]],Table1[#All],8,TRUE)</f>
        <v>1200</v>
      </c>
    </row>
    <row r="284" spans="1:16" x14ac:dyDescent="0.3">
      <c r="A284" t="s">
        <v>760</v>
      </c>
      <c r="B284" s="5" t="s">
        <v>761</v>
      </c>
      <c r="C284" s="3" t="str">
        <f t="shared" si="4"/>
        <v>12-10-2023</v>
      </c>
      <c r="D284" t="s">
        <v>46</v>
      </c>
      <c r="E284" t="s">
        <v>762</v>
      </c>
      <c r="F284" t="s">
        <v>57</v>
      </c>
      <c r="G284" t="s">
        <v>29</v>
      </c>
      <c r="H284" t="s">
        <v>77</v>
      </c>
      <c r="I284">
        <v>2</v>
      </c>
      <c r="J284">
        <v>3211</v>
      </c>
      <c r="K284" s="7">
        <v>0.2</v>
      </c>
      <c r="L284" t="s">
        <v>38</v>
      </c>
      <c r="M284" t="s">
        <v>22</v>
      </c>
      <c r="N284" t="s">
        <v>59</v>
      </c>
      <c r="P284">
        <f>VLOOKUP(Table2[[#This Row],[Product_ID]],Table1[#All],8,TRUE)</f>
        <v>1500</v>
      </c>
    </row>
    <row r="285" spans="1:16" x14ac:dyDescent="0.3">
      <c r="A285" t="s">
        <v>763</v>
      </c>
      <c r="B285" s="5" t="s">
        <v>764</v>
      </c>
      <c r="C285" s="3" t="str">
        <f t="shared" si="4"/>
        <v>06-08-2024</v>
      </c>
      <c r="D285" t="s">
        <v>46</v>
      </c>
      <c r="E285" t="s">
        <v>765</v>
      </c>
      <c r="F285" t="s">
        <v>73</v>
      </c>
      <c r="G285" t="s">
        <v>53</v>
      </c>
      <c r="H285" t="s">
        <v>30</v>
      </c>
      <c r="I285">
        <v>5</v>
      </c>
      <c r="J285">
        <v>9516</v>
      </c>
      <c r="K285" s="7">
        <v>0.05</v>
      </c>
      <c r="L285" t="s">
        <v>58</v>
      </c>
      <c r="M285" t="s">
        <v>39</v>
      </c>
      <c r="N285" t="s">
        <v>48</v>
      </c>
      <c r="P285">
        <f>VLOOKUP(Table2[[#This Row],[Product_ID]],Table1[#All],8,TRUE)</f>
        <v>500</v>
      </c>
    </row>
    <row r="286" spans="1:16" x14ac:dyDescent="0.3">
      <c r="A286" t="s">
        <v>766</v>
      </c>
      <c r="B286" s="5" t="s">
        <v>767</v>
      </c>
      <c r="C286" s="3" t="str">
        <f t="shared" si="4"/>
        <v>31-10-2024</v>
      </c>
      <c r="D286" t="s">
        <v>91</v>
      </c>
      <c r="E286" t="s">
        <v>768</v>
      </c>
      <c r="F286" t="s">
        <v>28</v>
      </c>
      <c r="G286" t="s">
        <v>53</v>
      </c>
      <c r="H286" t="s">
        <v>20</v>
      </c>
      <c r="I286">
        <v>5</v>
      </c>
      <c r="J286">
        <v>3322</v>
      </c>
      <c r="K286" s="7">
        <v>0.2</v>
      </c>
      <c r="L286" t="s">
        <v>58</v>
      </c>
      <c r="M286" t="s">
        <v>22</v>
      </c>
      <c r="N286" t="s">
        <v>59</v>
      </c>
      <c r="P286">
        <f>VLOOKUP(Table2[[#This Row],[Product_ID]],Table1[#All],8,TRUE)</f>
        <v>900</v>
      </c>
    </row>
    <row r="287" spans="1:16" x14ac:dyDescent="0.3">
      <c r="A287" t="s">
        <v>769</v>
      </c>
      <c r="B287" s="5" t="s">
        <v>770</v>
      </c>
      <c r="C287" s="3" t="str">
        <f t="shared" si="4"/>
        <v>21-05-2023</v>
      </c>
      <c r="D287" t="s">
        <v>62</v>
      </c>
      <c r="E287" t="s">
        <v>771</v>
      </c>
      <c r="F287" t="s">
        <v>57</v>
      </c>
      <c r="G287" t="s">
        <v>37</v>
      </c>
      <c r="H287" t="s">
        <v>99</v>
      </c>
      <c r="I287">
        <v>2</v>
      </c>
      <c r="J287">
        <v>4867</v>
      </c>
      <c r="K287" s="7">
        <v>0.2</v>
      </c>
      <c r="L287" t="s">
        <v>58</v>
      </c>
      <c r="M287" t="s">
        <v>39</v>
      </c>
      <c r="N287" t="s">
        <v>59</v>
      </c>
      <c r="P287">
        <f>VLOOKUP(Table2[[#This Row],[Product_ID]],Table1[#All],8,TRUE)</f>
        <v>1200</v>
      </c>
    </row>
    <row r="288" spans="1:16" x14ac:dyDescent="0.3">
      <c r="A288" t="s">
        <v>772</v>
      </c>
      <c r="B288" s="5" t="s">
        <v>773</v>
      </c>
      <c r="C288" s="3" t="str">
        <f t="shared" si="4"/>
        <v>29-07-2023</v>
      </c>
      <c r="D288" t="s">
        <v>96</v>
      </c>
      <c r="E288" t="s">
        <v>278</v>
      </c>
      <c r="F288" t="s">
        <v>28</v>
      </c>
      <c r="G288" t="s">
        <v>19</v>
      </c>
      <c r="H288" t="s">
        <v>30</v>
      </c>
      <c r="I288">
        <v>2</v>
      </c>
      <c r="J288">
        <v>7317</v>
      </c>
      <c r="K288" s="7">
        <v>0.15</v>
      </c>
      <c r="L288" t="s">
        <v>38</v>
      </c>
      <c r="M288" t="s">
        <v>39</v>
      </c>
      <c r="N288" t="s">
        <v>23</v>
      </c>
      <c r="P288">
        <f>VLOOKUP(Table2[[#This Row],[Product_ID]],Table1[#All],8,TRUE)</f>
        <v>1200</v>
      </c>
    </row>
    <row r="289" spans="1:16" x14ac:dyDescent="0.3">
      <c r="A289" t="s">
        <v>774</v>
      </c>
      <c r="B289" s="5" t="s">
        <v>775</v>
      </c>
      <c r="C289" s="3" t="str">
        <f t="shared" si="4"/>
        <v>03-10-2023</v>
      </c>
      <c r="D289" t="s">
        <v>62</v>
      </c>
      <c r="E289" t="s">
        <v>486</v>
      </c>
      <c r="F289" t="s">
        <v>18</v>
      </c>
      <c r="G289" t="s">
        <v>29</v>
      </c>
      <c r="H289" t="s">
        <v>77</v>
      </c>
      <c r="I289">
        <v>1</v>
      </c>
      <c r="J289">
        <v>4393</v>
      </c>
      <c r="K289" s="7">
        <v>0.15</v>
      </c>
      <c r="L289" t="s">
        <v>58</v>
      </c>
      <c r="M289" t="s">
        <v>22</v>
      </c>
      <c r="N289" t="s">
        <v>59</v>
      </c>
      <c r="P289">
        <f>VLOOKUP(Table2[[#This Row],[Product_ID]],Table1[#All],8,TRUE)</f>
        <v>500</v>
      </c>
    </row>
    <row r="290" spans="1:16" x14ac:dyDescent="0.3">
      <c r="A290" t="s">
        <v>776</v>
      </c>
      <c r="B290" s="5" t="s">
        <v>777</v>
      </c>
      <c r="C290" s="3" t="str">
        <f t="shared" si="4"/>
        <v>24-04-2023</v>
      </c>
      <c r="D290" t="s">
        <v>67</v>
      </c>
      <c r="E290" t="s">
        <v>778</v>
      </c>
      <c r="F290" t="s">
        <v>28</v>
      </c>
      <c r="G290" t="s">
        <v>53</v>
      </c>
      <c r="H290" t="s">
        <v>30</v>
      </c>
      <c r="I290">
        <v>4</v>
      </c>
      <c r="J290">
        <v>9742</v>
      </c>
      <c r="K290" s="7">
        <v>0.1</v>
      </c>
      <c r="L290" t="s">
        <v>58</v>
      </c>
      <c r="M290" t="s">
        <v>22</v>
      </c>
      <c r="N290" t="s">
        <v>23</v>
      </c>
      <c r="O290">
        <v>4.9000000000000004</v>
      </c>
      <c r="P290">
        <f>VLOOKUP(Table2[[#This Row],[Product_ID]],Table1[#All],8,TRUE)</f>
        <v>900</v>
      </c>
    </row>
    <row r="291" spans="1:16" x14ac:dyDescent="0.3">
      <c r="A291" t="s">
        <v>779</v>
      </c>
      <c r="B291" s="5" t="s">
        <v>780</v>
      </c>
      <c r="C291" s="3" t="str">
        <f t="shared" si="4"/>
        <v>11-06-2023</v>
      </c>
      <c r="D291" t="s">
        <v>67</v>
      </c>
      <c r="E291" t="s">
        <v>325</v>
      </c>
      <c r="F291" t="s">
        <v>28</v>
      </c>
      <c r="G291" t="s">
        <v>37</v>
      </c>
      <c r="H291" t="s">
        <v>99</v>
      </c>
      <c r="I291">
        <v>4</v>
      </c>
      <c r="J291">
        <v>8945</v>
      </c>
      <c r="K291" s="7">
        <v>0.05</v>
      </c>
      <c r="L291" t="s">
        <v>21</v>
      </c>
      <c r="M291" t="s">
        <v>22</v>
      </c>
      <c r="N291" t="s">
        <v>48</v>
      </c>
      <c r="O291">
        <v>3.2</v>
      </c>
      <c r="P291">
        <f>VLOOKUP(Table2[[#This Row],[Product_ID]],Table1[#All],8,TRUE)</f>
        <v>1200</v>
      </c>
    </row>
    <row r="292" spans="1:16" x14ac:dyDescent="0.3">
      <c r="A292" t="s">
        <v>781</v>
      </c>
      <c r="B292" s="5" t="s">
        <v>782</v>
      </c>
      <c r="C292" s="3" t="str">
        <f t="shared" si="4"/>
        <v>31-12-2024</v>
      </c>
      <c r="D292" t="s">
        <v>114</v>
      </c>
      <c r="E292" t="s">
        <v>783</v>
      </c>
      <c r="F292" t="s">
        <v>43</v>
      </c>
      <c r="G292" t="s">
        <v>37</v>
      </c>
      <c r="H292" t="s">
        <v>99</v>
      </c>
      <c r="I292">
        <v>5</v>
      </c>
      <c r="J292">
        <v>1038</v>
      </c>
      <c r="K292" s="7">
        <v>0.15</v>
      </c>
      <c r="L292" t="s">
        <v>58</v>
      </c>
      <c r="M292" t="s">
        <v>22</v>
      </c>
      <c r="N292" t="s">
        <v>32</v>
      </c>
      <c r="O292">
        <v>4.3</v>
      </c>
      <c r="P292">
        <f>VLOOKUP(Table2[[#This Row],[Product_ID]],Table1[#All],8,TRUE)</f>
        <v>900</v>
      </c>
    </row>
    <row r="293" spans="1:16" x14ac:dyDescent="0.3">
      <c r="A293" t="s">
        <v>784</v>
      </c>
      <c r="B293" s="5" t="s">
        <v>785</v>
      </c>
      <c r="C293" s="3" t="str">
        <f t="shared" si="4"/>
        <v>27-04-2024</v>
      </c>
      <c r="D293" t="s">
        <v>51</v>
      </c>
      <c r="E293" t="s">
        <v>111</v>
      </c>
      <c r="F293" t="s">
        <v>28</v>
      </c>
      <c r="G293" t="s">
        <v>29</v>
      </c>
      <c r="H293" t="s">
        <v>77</v>
      </c>
      <c r="I293">
        <v>3</v>
      </c>
      <c r="J293">
        <v>3398</v>
      </c>
      <c r="K293" s="7">
        <v>0.05</v>
      </c>
      <c r="L293" t="s">
        <v>31</v>
      </c>
      <c r="M293" t="s">
        <v>22</v>
      </c>
      <c r="N293" t="s">
        <v>23</v>
      </c>
      <c r="P293">
        <f>VLOOKUP(Table2[[#This Row],[Product_ID]],Table1[#All],8,TRUE)</f>
        <v>900</v>
      </c>
    </row>
    <row r="294" spans="1:16" x14ac:dyDescent="0.3">
      <c r="A294" t="s">
        <v>786</v>
      </c>
      <c r="B294" s="5" t="s">
        <v>787</v>
      </c>
      <c r="C294" s="3" t="str">
        <f t="shared" si="4"/>
        <v>10-11-2024</v>
      </c>
      <c r="D294" t="s">
        <v>51</v>
      </c>
      <c r="E294" t="s">
        <v>223</v>
      </c>
      <c r="F294" t="s">
        <v>98</v>
      </c>
      <c r="G294" t="s">
        <v>37</v>
      </c>
      <c r="H294" t="s">
        <v>99</v>
      </c>
      <c r="I294">
        <v>4</v>
      </c>
      <c r="J294">
        <v>3148</v>
      </c>
      <c r="K294" s="7">
        <v>0</v>
      </c>
      <c r="L294" t="s">
        <v>58</v>
      </c>
      <c r="M294" t="s">
        <v>39</v>
      </c>
      <c r="N294" t="s">
        <v>23</v>
      </c>
      <c r="P294">
        <f>VLOOKUP(Table2[[#This Row],[Product_ID]],Table1[#All],8,TRUE)</f>
        <v>0</v>
      </c>
    </row>
    <row r="295" spans="1:16" x14ac:dyDescent="0.3">
      <c r="A295" t="s">
        <v>788</v>
      </c>
      <c r="B295" s="5" t="s">
        <v>605</v>
      </c>
      <c r="C295" s="3" t="str">
        <f t="shared" si="4"/>
        <v>27-03-2024</v>
      </c>
      <c r="D295" t="s">
        <v>62</v>
      </c>
      <c r="E295" t="s">
        <v>331</v>
      </c>
      <c r="F295" t="s">
        <v>73</v>
      </c>
      <c r="G295" t="s">
        <v>53</v>
      </c>
      <c r="H295" t="s">
        <v>77</v>
      </c>
      <c r="I295">
        <v>5</v>
      </c>
      <c r="J295">
        <v>3896</v>
      </c>
      <c r="K295" s="7">
        <v>0.05</v>
      </c>
      <c r="L295" t="s">
        <v>38</v>
      </c>
      <c r="M295" t="s">
        <v>22</v>
      </c>
      <c r="N295" t="s">
        <v>48</v>
      </c>
      <c r="O295">
        <v>4.5999999999999996</v>
      </c>
      <c r="P295">
        <f>VLOOKUP(Table2[[#This Row],[Product_ID]],Table1[#All],8,TRUE)</f>
        <v>900</v>
      </c>
    </row>
    <row r="296" spans="1:16" x14ac:dyDescent="0.3">
      <c r="A296" t="s">
        <v>789</v>
      </c>
      <c r="B296" s="5" t="s">
        <v>790</v>
      </c>
      <c r="C296" s="3" t="str">
        <f t="shared" si="4"/>
        <v>08-07-2024</v>
      </c>
      <c r="D296" t="s">
        <v>91</v>
      </c>
      <c r="E296" t="s">
        <v>709</v>
      </c>
      <c r="F296" t="s">
        <v>43</v>
      </c>
      <c r="G296" t="s">
        <v>29</v>
      </c>
      <c r="H296" t="s">
        <v>30</v>
      </c>
      <c r="I296">
        <v>5</v>
      </c>
      <c r="J296">
        <v>8601</v>
      </c>
      <c r="K296" s="7">
        <v>0.15</v>
      </c>
      <c r="L296" t="s">
        <v>31</v>
      </c>
      <c r="M296" t="s">
        <v>22</v>
      </c>
      <c r="N296" t="s">
        <v>59</v>
      </c>
      <c r="P296">
        <f>VLOOKUP(Table2[[#This Row],[Product_ID]],Table1[#All],8,TRUE)</f>
        <v>1500</v>
      </c>
    </row>
    <row r="297" spans="1:16" x14ac:dyDescent="0.3">
      <c r="A297" t="s">
        <v>791</v>
      </c>
      <c r="B297" s="5" t="s">
        <v>792</v>
      </c>
      <c r="C297" s="3" t="str">
        <f t="shared" si="4"/>
        <v>25-01-2023</v>
      </c>
      <c r="D297" t="s">
        <v>91</v>
      </c>
      <c r="E297" t="s">
        <v>716</v>
      </c>
      <c r="F297" t="s">
        <v>57</v>
      </c>
      <c r="G297" t="s">
        <v>53</v>
      </c>
      <c r="H297" t="s">
        <v>77</v>
      </c>
      <c r="I297">
        <v>3</v>
      </c>
      <c r="J297">
        <v>6745</v>
      </c>
      <c r="K297" s="7">
        <v>0.05</v>
      </c>
      <c r="L297" t="s">
        <v>21</v>
      </c>
      <c r="M297" t="s">
        <v>22</v>
      </c>
      <c r="N297" t="s">
        <v>59</v>
      </c>
      <c r="P297">
        <f>VLOOKUP(Table2[[#This Row],[Product_ID]],Table1[#All],8,TRUE)</f>
        <v>700</v>
      </c>
    </row>
    <row r="298" spans="1:16" x14ac:dyDescent="0.3">
      <c r="A298" t="s">
        <v>793</v>
      </c>
      <c r="B298" s="5" t="s">
        <v>794</v>
      </c>
      <c r="C298" s="3" t="str">
        <f t="shared" si="4"/>
        <v>07-05-2023</v>
      </c>
      <c r="D298" t="s">
        <v>84</v>
      </c>
      <c r="E298" t="s">
        <v>795</v>
      </c>
      <c r="F298" t="s">
        <v>73</v>
      </c>
      <c r="G298" t="s">
        <v>37</v>
      </c>
      <c r="H298" t="s">
        <v>99</v>
      </c>
      <c r="I298">
        <v>4</v>
      </c>
      <c r="J298">
        <v>4854</v>
      </c>
      <c r="K298" s="7">
        <v>0.15</v>
      </c>
      <c r="L298" t="s">
        <v>21</v>
      </c>
      <c r="M298" t="s">
        <v>22</v>
      </c>
      <c r="N298" t="s">
        <v>32</v>
      </c>
      <c r="P298">
        <f>VLOOKUP(Table2[[#This Row],[Product_ID]],Table1[#All],8,TRUE)</f>
        <v>1500</v>
      </c>
    </row>
    <row r="299" spans="1:16" x14ac:dyDescent="0.3">
      <c r="A299" t="s">
        <v>796</v>
      </c>
      <c r="B299" s="5" t="s">
        <v>797</v>
      </c>
      <c r="C299" s="3" t="str">
        <f t="shared" si="4"/>
        <v>26-12-2023</v>
      </c>
      <c r="D299" t="s">
        <v>80</v>
      </c>
      <c r="E299" t="s">
        <v>643</v>
      </c>
      <c r="F299" t="s">
        <v>18</v>
      </c>
      <c r="G299" t="s">
        <v>53</v>
      </c>
      <c r="H299" t="s">
        <v>20</v>
      </c>
      <c r="I299">
        <v>1</v>
      </c>
      <c r="J299">
        <v>6536</v>
      </c>
      <c r="K299" s="7">
        <v>0.05</v>
      </c>
      <c r="L299" t="s">
        <v>58</v>
      </c>
      <c r="M299" t="s">
        <v>39</v>
      </c>
      <c r="N299" t="s">
        <v>32</v>
      </c>
      <c r="O299">
        <v>3.3</v>
      </c>
      <c r="P299">
        <f>VLOOKUP(Table2[[#This Row],[Product_ID]],Table1[#All],8,TRUE)</f>
        <v>1200</v>
      </c>
    </row>
    <row r="300" spans="1:16" x14ac:dyDescent="0.3">
      <c r="A300" t="s">
        <v>798</v>
      </c>
      <c r="B300" s="5" t="s">
        <v>799</v>
      </c>
      <c r="C300" s="3" t="str">
        <f t="shared" si="4"/>
        <v>05-08-2023</v>
      </c>
      <c r="D300" t="s">
        <v>96</v>
      </c>
      <c r="E300" t="s">
        <v>800</v>
      </c>
      <c r="F300" t="s">
        <v>64</v>
      </c>
      <c r="G300" t="s">
        <v>29</v>
      </c>
      <c r="H300" t="s">
        <v>20</v>
      </c>
      <c r="I300">
        <v>4</v>
      </c>
      <c r="J300">
        <v>5419</v>
      </c>
      <c r="K300" s="7">
        <v>0.1</v>
      </c>
      <c r="L300" t="s">
        <v>38</v>
      </c>
      <c r="M300" t="s">
        <v>39</v>
      </c>
      <c r="N300" t="s">
        <v>23</v>
      </c>
      <c r="P300">
        <f>VLOOKUP(Table2[[#This Row],[Product_ID]],Table1[#All],8,TRUE)</f>
        <v>1200</v>
      </c>
    </row>
    <row r="301" spans="1:16" x14ac:dyDescent="0.3">
      <c r="A301" t="s">
        <v>801</v>
      </c>
      <c r="B301" s="5" t="s">
        <v>802</v>
      </c>
      <c r="C301" s="3" t="str">
        <f t="shared" si="4"/>
        <v>11-09-2024</v>
      </c>
      <c r="D301" t="s">
        <v>62</v>
      </c>
      <c r="E301" t="s">
        <v>263</v>
      </c>
      <c r="F301" t="s">
        <v>73</v>
      </c>
      <c r="G301" t="s">
        <v>19</v>
      </c>
      <c r="H301" t="s">
        <v>20</v>
      </c>
      <c r="I301">
        <v>5</v>
      </c>
      <c r="J301">
        <v>5396</v>
      </c>
      <c r="K301" s="7">
        <v>0</v>
      </c>
      <c r="L301" t="s">
        <v>38</v>
      </c>
      <c r="M301" t="s">
        <v>39</v>
      </c>
      <c r="N301" t="s">
        <v>59</v>
      </c>
      <c r="P301">
        <f>VLOOKUP(Table2[[#This Row],[Product_ID]],Table1[#All],8,TRUE)</f>
        <v>1500</v>
      </c>
    </row>
    <row r="302" spans="1:16" x14ac:dyDescent="0.3">
      <c r="A302" t="s">
        <v>803</v>
      </c>
      <c r="B302" s="5" t="s">
        <v>804</v>
      </c>
      <c r="C302" s="3" t="str">
        <f t="shared" si="4"/>
        <v>29-06-2023</v>
      </c>
      <c r="D302" t="s">
        <v>26</v>
      </c>
      <c r="E302" t="s">
        <v>535</v>
      </c>
      <c r="F302" t="s">
        <v>57</v>
      </c>
      <c r="G302" t="s">
        <v>19</v>
      </c>
      <c r="H302" t="s">
        <v>99</v>
      </c>
      <c r="I302">
        <v>1</v>
      </c>
      <c r="J302">
        <v>3043</v>
      </c>
      <c r="K302" s="7">
        <v>0</v>
      </c>
      <c r="L302" t="s">
        <v>21</v>
      </c>
      <c r="M302" t="s">
        <v>39</v>
      </c>
      <c r="N302" t="s">
        <v>23</v>
      </c>
      <c r="P302">
        <f>VLOOKUP(Table2[[#This Row],[Product_ID]],Table1[#All],8,TRUE)</f>
        <v>0</v>
      </c>
    </row>
    <row r="303" spans="1:16" x14ac:dyDescent="0.3">
      <c r="A303" t="s">
        <v>805</v>
      </c>
      <c r="B303" s="5" t="s">
        <v>806</v>
      </c>
      <c r="C303" s="3" t="str">
        <f t="shared" si="4"/>
        <v>13-11-2024</v>
      </c>
      <c r="D303" t="s">
        <v>67</v>
      </c>
      <c r="E303" t="s">
        <v>716</v>
      </c>
      <c r="F303" t="s">
        <v>64</v>
      </c>
      <c r="G303" t="s">
        <v>29</v>
      </c>
      <c r="H303" t="s">
        <v>30</v>
      </c>
      <c r="I303">
        <v>5</v>
      </c>
      <c r="J303">
        <v>1889</v>
      </c>
      <c r="K303" s="7">
        <v>0.2</v>
      </c>
      <c r="L303" t="s">
        <v>38</v>
      </c>
      <c r="M303" t="s">
        <v>39</v>
      </c>
      <c r="N303" t="s">
        <v>48</v>
      </c>
      <c r="O303">
        <v>4.9000000000000004</v>
      </c>
      <c r="P303">
        <f>VLOOKUP(Table2[[#This Row],[Product_ID]],Table1[#All],8,TRUE)</f>
        <v>700</v>
      </c>
    </row>
    <row r="304" spans="1:16" x14ac:dyDescent="0.3">
      <c r="A304" t="s">
        <v>807</v>
      </c>
      <c r="B304" s="5" t="s">
        <v>808</v>
      </c>
      <c r="C304" s="3" t="str">
        <f t="shared" si="4"/>
        <v>26-01-2023</v>
      </c>
      <c r="D304" t="s">
        <v>26</v>
      </c>
      <c r="E304" t="s">
        <v>72</v>
      </c>
      <c r="F304" t="s">
        <v>43</v>
      </c>
      <c r="G304" t="s">
        <v>29</v>
      </c>
      <c r="H304" t="s">
        <v>30</v>
      </c>
      <c r="I304">
        <v>1</v>
      </c>
      <c r="J304">
        <v>6657</v>
      </c>
      <c r="K304" s="7">
        <v>0.05</v>
      </c>
      <c r="L304" t="s">
        <v>58</v>
      </c>
      <c r="M304" t="s">
        <v>22</v>
      </c>
      <c r="N304" t="s">
        <v>48</v>
      </c>
      <c r="P304">
        <f>VLOOKUP(Table2[[#This Row],[Product_ID]],Table1[#All],8,TRUE)</f>
        <v>0</v>
      </c>
    </row>
    <row r="305" spans="1:16" x14ac:dyDescent="0.3">
      <c r="A305" t="s">
        <v>809</v>
      </c>
      <c r="B305" s="5" t="s">
        <v>810</v>
      </c>
      <c r="C305" s="3" t="str">
        <f t="shared" si="4"/>
        <v>09-02-2023</v>
      </c>
      <c r="D305" t="s">
        <v>80</v>
      </c>
      <c r="E305" t="s">
        <v>783</v>
      </c>
      <c r="F305" t="s">
        <v>64</v>
      </c>
      <c r="G305" t="s">
        <v>53</v>
      </c>
      <c r="H305" t="s">
        <v>99</v>
      </c>
      <c r="I305">
        <v>3</v>
      </c>
      <c r="J305">
        <v>4494</v>
      </c>
      <c r="K305" s="7">
        <v>0.1</v>
      </c>
      <c r="L305" t="s">
        <v>31</v>
      </c>
      <c r="M305" t="s">
        <v>39</v>
      </c>
      <c r="N305" t="s">
        <v>59</v>
      </c>
      <c r="P305">
        <f>VLOOKUP(Table2[[#This Row],[Product_ID]],Table1[#All],8,TRUE)</f>
        <v>900</v>
      </c>
    </row>
    <row r="306" spans="1:16" x14ac:dyDescent="0.3">
      <c r="A306" t="s">
        <v>811</v>
      </c>
      <c r="B306" s="5" t="s">
        <v>812</v>
      </c>
      <c r="C306" s="3" t="str">
        <f t="shared" si="4"/>
        <v>15-07-2024</v>
      </c>
      <c r="D306" t="s">
        <v>131</v>
      </c>
      <c r="E306" t="s">
        <v>56</v>
      </c>
      <c r="F306" t="s">
        <v>28</v>
      </c>
      <c r="G306" t="s">
        <v>37</v>
      </c>
      <c r="H306" t="s">
        <v>77</v>
      </c>
      <c r="I306">
        <v>4</v>
      </c>
      <c r="J306">
        <v>9652</v>
      </c>
      <c r="K306" s="7">
        <v>0.1</v>
      </c>
      <c r="L306" t="s">
        <v>21</v>
      </c>
      <c r="M306" t="s">
        <v>22</v>
      </c>
      <c r="N306" t="s">
        <v>59</v>
      </c>
      <c r="P306">
        <f>VLOOKUP(Table2[[#This Row],[Product_ID]],Table1[#All],8,TRUE)</f>
        <v>700</v>
      </c>
    </row>
    <row r="307" spans="1:16" x14ac:dyDescent="0.3">
      <c r="A307" t="s">
        <v>813</v>
      </c>
      <c r="B307" s="5" t="s">
        <v>785</v>
      </c>
      <c r="C307" s="3" t="str">
        <f t="shared" si="4"/>
        <v>27-04-2024</v>
      </c>
      <c r="D307" t="s">
        <v>26</v>
      </c>
      <c r="E307" t="s">
        <v>518</v>
      </c>
      <c r="F307" t="s">
        <v>64</v>
      </c>
      <c r="G307" t="s">
        <v>37</v>
      </c>
      <c r="H307" t="s">
        <v>20</v>
      </c>
      <c r="I307">
        <v>5</v>
      </c>
      <c r="J307">
        <v>7281</v>
      </c>
      <c r="K307" s="7">
        <v>0.2</v>
      </c>
      <c r="L307" t="s">
        <v>31</v>
      </c>
      <c r="M307" t="s">
        <v>22</v>
      </c>
      <c r="N307" t="s">
        <v>48</v>
      </c>
      <c r="P307">
        <f>VLOOKUP(Table2[[#This Row],[Product_ID]],Table1[#All],8,TRUE)</f>
        <v>1200</v>
      </c>
    </row>
    <row r="308" spans="1:16" x14ac:dyDescent="0.3">
      <c r="A308" t="s">
        <v>814</v>
      </c>
      <c r="B308" s="5" t="s">
        <v>815</v>
      </c>
      <c r="C308" s="3" t="str">
        <f t="shared" si="4"/>
        <v>16-01-2023</v>
      </c>
      <c r="D308" t="s">
        <v>80</v>
      </c>
      <c r="E308" t="s">
        <v>816</v>
      </c>
      <c r="F308" t="s">
        <v>28</v>
      </c>
      <c r="G308" t="s">
        <v>37</v>
      </c>
      <c r="H308" t="s">
        <v>30</v>
      </c>
      <c r="I308">
        <v>3</v>
      </c>
      <c r="J308">
        <v>4829</v>
      </c>
      <c r="K308" s="7">
        <v>0.05</v>
      </c>
      <c r="L308" t="s">
        <v>58</v>
      </c>
      <c r="M308" t="s">
        <v>39</v>
      </c>
      <c r="N308" t="s">
        <v>48</v>
      </c>
      <c r="P308">
        <f>VLOOKUP(Table2[[#This Row],[Product_ID]],Table1[#All],8,TRUE)</f>
        <v>1200</v>
      </c>
    </row>
    <row r="309" spans="1:16" x14ac:dyDescent="0.3">
      <c r="A309" t="s">
        <v>817</v>
      </c>
      <c r="B309" s="5" t="s">
        <v>818</v>
      </c>
      <c r="C309" s="3" t="str">
        <f t="shared" si="4"/>
        <v>07-09-2024</v>
      </c>
      <c r="D309" t="s">
        <v>16</v>
      </c>
      <c r="E309" t="s">
        <v>819</v>
      </c>
      <c r="F309" t="s">
        <v>28</v>
      </c>
      <c r="G309" t="s">
        <v>37</v>
      </c>
      <c r="H309" t="s">
        <v>99</v>
      </c>
      <c r="I309">
        <v>3</v>
      </c>
      <c r="J309">
        <v>9542</v>
      </c>
      <c r="K309" s="7">
        <v>0.1</v>
      </c>
      <c r="L309" t="s">
        <v>31</v>
      </c>
      <c r="M309" t="s">
        <v>39</v>
      </c>
      <c r="N309" t="s">
        <v>32</v>
      </c>
      <c r="O309">
        <v>4.8</v>
      </c>
      <c r="P309">
        <f>VLOOKUP(Table2[[#This Row],[Product_ID]],Table1[#All],8,TRUE)</f>
        <v>0</v>
      </c>
    </row>
    <row r="310" spans="1:16" x14ac:dyDescent="0.3">
      <c r="A310" t="s">
        <v>820</v>
      </c>
      <c r="B310" s="5" t="s">
        <v>821</v>
      </c>
      <c r="C310" s="3" t="str">
        <f t="shared" si="4"/>
        <v>19-05-2023</v>
      </c>
      <c r="D310" t="s">
        <v>127</v>
      </c>
      <c r="E310" t="s">
        <v>736</v>
      </c>
      <c r="F310" t="s">
        <v>43</v>
      </c>
      <c r="G310" t="s">
        <v>37</v>
      </c>
      <c r="H310" t="s">
        <v>77</v>
      </c>
      <c r="I310">
        <v>5</v>
      </c>
      <c r="J310">
        <v>1782</v>
      </c>
      <c r="K310" s="7">
        <v>0.1</v>
      </c>
      <c r="L310" t="s">
        <v>58</v>
      </c>
      <c r="M310" t="s">
        <v>22</v>
      </c>
      <c r="N310" t="s">
        <v>59</v>
      </c>
      <c r="O310">
        <v>3.7</v>
      </c>
      <c r="P310">
        <f>VLOOKUP(Table2[[#This Row],[Product_ID]],Table1[#All],8,TRUE)</f>
        <v>0</v>
      </c>
    </row>
    <row r="311" spans="1:16" x14ac:dyDescent="0.3">
      <c r="A311" t="s">
        <v>822</v>
      </c>
      <c r="B311" s="5" t="s">
        <v>823</v>
      </c>
      <c r="C311" s="3" t="str">
        <f t="shared" si="4"/>
        <v>12-08-2024</v>
      </c>
      <c r="D311" t="s">
        <v>84</v>
      </c>
      <c r="E311" t="s">
        <v>824</v>
      </c>
      <c r="F311" t="s">
        <v>18</v>
      </c>
      <c r="G311" t="s">
        <v>53</v>
      </c>
      <c r="H311" t="s">
        <v>77</v>
      </c>
      <c r="I311">
        <v>1</v>
      </c>
      <c r="J311">
        <v>4537</v>
      </c>
      <c r="K311" s="7">
        <v>0.2</v>
      </c>
      <c r="L311" t="s">
        <v>38</v>
      </c>
      <c r="M311" t="s">
        <v>39</v>
      </c>
      <c r="N311" t="s">
        <v>59</v>
      </c>
      <c r="O311">
        <v>4.7</v>
      </c>
      <c r="P311">
        <f>VLOOKUP(Table2[[#This Row],[Product_ID]],Table1[#All],8,TRUE)</f>
        <v>1500</v>
      </c>
    </row>
    <row r="312" spans="1:16" x14ac:dyDescent="0.3">
      <c r="A312" t="s">
        <v>825</v>
      </c>
      <c r="B312" s="5" t="s">
        <v>826</v>
      </c>
      <c r="C312" s="3" t="str">
        <f t="shared" si="4"/>
        <v>28-10-2024</v>
      </c>
      <c r="D312" t="s">
        <v>67</v>
      </c>
      <c r="E312" t="s">
        <v>712</v>
      </c>
      <c r="F312" t="s">
        <v>73</v>
      </c>
      <c r="G312" t="s">
        <v>29</v>
      </c>
      <c r="H312" t="s">
        <v>99</v>
      </c>
      <c r="I312">
        <v>2</v>
      </c>
      <c r="J312">
        <v>2757</v>
      </c>
      <c r="K312" s="7">
        <v>0.1</v>
      </c>
      <c r="L312" t="s">
        <v>58</v>
      </c>
      <c r="M312" t="s">
        <v>22</v>
      </c>
      <c r="N312" t="s">
        <v>23</v>
      </c>
      <c r="P312">
        <f>VLOOKUP(Table2[[#This Row],[Product_ID]],Table1[#All],8,TRUE)</f>
        <v>700</v>
      </c>
    </row>
    <row r="313" spans="1:16" x14ac:dyDescent="0.3">
      <c r="A313" t="s">
        <v>827</v>
      </c>
      <c r="B313" s="5" t="s">
        <v>828</v>
      </c>
      <c r="C313" s="3" t="str">
        <f t="shared" si="4"/>
        <v>12-10-2024</v>
      </c>
      <c r="D313" t="s">
        <v>46</v>
      </c>
      <c r="E313" t="s">
        <v>829</v>
      </c>
      <c r="F313" t="s">
        <v>43</v>
      </c>
      <c r="G313" t="s">
        <v>19</v>
      </c>
      <c r="H313" t="s">
        <v>20</v>
      </c>
      <c r="I313">
        <v>3</v>
      </c>
      <c r="J313">
        <v>9236</v>
      </c>
      <c r="K313" s="7">
        <v>0.2</v>
      </c>
      <c r="L313" t="s">
        <v>38</v>
      </c>
      <c r="M313" t="s">
        <v>22</v>
      </c>
      <c r="N313" t="s">
        <v>59</v>
      </c>
      <c r="O313">
        <v>4.8</v>
      </c>
      <c r="P313">
        <f>VLOOKUP(Table2[[#This Row],[Product_ID]],Table1[#All],8,TRUE)</f>
        <v>1500</v>
      </c>
    </row>
    <row r="314" spans="1:16" x14ac:dyDescent="0.3">
      <c r="A314" t="s">
        <v>830</v>
      </c>
      <c r="B314" s="5" t="s">
        <v>831</v>
      </c>
      <c r="C314" s="3" t="str">
        <f t="shared" si="4"/>
        <v>02-05-2024</v>
      </c>
      <c r="D314" t="s">
        <v>16</v>
      </c>
      <c r="E314" t="s">
        <v>357</v>
      </c>
      <c r="F314" t="s">
        <v>57</v>
      </c>
      <c r="G314" t="s">
        <v>29</v>
      </c>
      <c r="H314" t="s">
        <v>77</v>
      </c>
      <c r="I314">
        <v>4</v>
      </c>
      <c r="J314">
        <v>7370</v>
      </c>
      <c r="K314" s="7">
        <v>0</v>
      </c>
      <c r="L314" t="s">
        <v>58</v>
      </c>
      <c r="M314" t="s">
        <v>22</v>
      </c>
      <c r="N314" t="s">
        <v>59</v>
      </c>
      <c r="P314">
        <f>VLOOKUP(Table2[[#This Row],[Product_ID]],Table1[#All],8,TRUE)</f>
        <v>1200</v>
      </c>
    </row>
    <row r="315" spans="1:16" x14ac:dyDescent="0.3">
      <c r="A315" t="s">
        <v>832</v>
      </c>
      <c r="B315" s="5" t="s">
        <v>833</v>
      </c>
      <c r="C315" s="3" t="str">
        <f t="shared" si="4"/>
        <v>14-10-2024</v>
      </c>
      <c r="D315" t="s">
        <v>67</v>
      </c>
      <c r="E315" t="s">
        <v>834</v>
      </c>
      <c r="F315" t="s">
        <v>98</v>
      </c>
      <c r="G315" t="s">
        <v>37</v>
      </c>
      <c r="H315" t="s">
        <v>30</v>
      </c>
      <c r="I315">
        <v>4</v>
      </c>
      <c r="J315">
        <v>4380</v>
      </c>
      <c r="K315" s="7">
        <v>0.05</v>
      </c>
      <c r="L315" t="s">
        <v>58</v>
      </c>
      <c r="M315" t="s">
        <v>22</v>
      </c>
      <c r="N315" t="s">
        <v>48</v>
      </c>
      <c r="O315">
        <v>3</v>
      </c>
      <c r="P315">
        <f>VLOOKUP(Table2[[#This Row],[Product_ID]],Table1[#All],8,TRUE)</f>
        <v>500</v>
      </c>
    </row>
    <row r="316" spans="1:16" x14ac:dyDescent="0.3">
      <c r="A316" t="s">
        <v>835</v>
      </c>
      <c r="B316" s="5" t="s">
        <v>836</v>
      </c>
      <c r="C316" s="3" t="str">
        <f t="shared" si="4"/>
        <v>12-03-2023</v>
      </c>
      <c r="D316" t="s">
        <v>84</v>
      </c>
      <c r="E316" t="s">
        <v>216</v>
      </c>
      <c r="F316" t="s">
        <v>18</v>
      </c>
      <c r="G316" t="s">
        <v>29</v>
      </c>
      <c r="H316" t="s">
        <v>20</v>
      </c>
      <c r="I316">
        <v>4</v>
      </c>
      <c r="J316">
        <v>6194</v>
      </c>
      <c r="K316" s="7">
        <v>0</v>
      </c>
      <c r="L316" t="s">
        <v>31</v>
      </c>
      <c r="M316" t="s">
        <v>39</v>
      </c>
      <c r="N316" t="s">
        <v>48</v>
      </c>
      <c r="P316">
        <f>VLOOKUP(Table2[[#This Row],[Product_ID]],Table1[#All],8,TRUE)</f>
        <v>0</v>
      </c>
    </row>
    <row r="317" spans="1:16" x14ac:dyDescent="0.3">
      <c r="A317" t="s">
        <v>837</v>
      </c>
      <c r="B317" s="5" t="s">
        <v>838</v>
      </c>
      <c r="C317" s="3" t="str">
        <f t="shared" si="4"/>
        <v>24-09-2023</v>
      </c>
      <c r="D317" t="s">
        <v>91</v>
      </c>
      <c r="E317" t="s">
        <v>839</v>
      </c>
      <c r="F317" t="s">
        <v>28</v>
      </c>
      <c r="G317" t="s">
        <v>53</v>
      </c>
      <c r="H317" t="s">
        <v>77</v>
      </c>
      <c r="I317">
        <v>5</v>
      </c>
      <c r="J317">
        <v>8817</v>
      </c>
      <c r="K317" s="7">
        <v>0.2</v>
      </c>
      <c r="L317" t="s">
        <v>21</v>
      </c>
      <c r="M317" t="s">
        <v>39</v>
      </c>
      <c r="N317" t="s">
        <v>32</v>
      </c>
      <c r="O317">
        <v>4.3</v>
      </c>
      <c r="P317">
        <f>VLOOKUP(Table2[[#This Row],[Product_ID]],Table1[#All],8,TRUE)</f>
        <v>500</v>
      </c>
    </row>
    <row r="318" spans="1:16" x14ac:dyDescent="0.3">
      <c r="A318" t="s">
        <v>840</v>
      </c>
      <c r="B318" s="5" t="s">
        <v>841</v>
      </c>
      <c r="C318" s="3" t="str">
        <f t="shared" si="4"/>
        <v>30-04-2024</v>
      </c>
      <c r="D318" t="s">
        <v>46</v>
      </c>
      <c r="E318" t="s">
        <v>339</v>
      </c>
      <c r="F318" t="s">
        <v>64</v>
      </c>
      <c r="G318" t="s">
        <v>19</v>
      </c>
      <c r="H318" t="s">
        <v>77</v>
      </c>
      <c r="I318">
        <v>5</v>
      </c>
      <c r="J318">
        <v>3991</v>
      </c>
      <c r="K318" s="7">
        <v>0.2</v>
      </c>
      <c r="L318" t="s">
        <v>58</v>
      </c>
      <c r="M318" t="s">
        <v>22</v>
      </c>
      <c r="N318" t="s">
        <v>32</v>
      </c>
      <c r="P318">
        <f>VLOOKUP(Table2[[#This Row],[Product_ID]],Table1[#All],8,TRUE)</f>
        <v>1500</v>
      </c>
    </row>
    <row r="319" spans="1:16" x14ac:dyDescent="0.3">
      <c r="A319" t="s">
        <v>842</v>
      </c>
      <c r="B319" s="5" t="s">
        <v>843</v>
      </c>
      <c r="C319" s="3" t="str">
        <f t="shared" si="4"/>
        <v>03-07-2024</v>
      </c>
      <c r="D319" t="s">
        <v>62</v>
      </c>
      <c r="E319" t="s">
        <v>354</v>
      </c>
      <c r="F319" t="s">
        <v>18</v>
      </c>
      <c r="G319" t="s">
        <v>37</v>
      </c>
      <c r="H319" t="s">
        <v>99</v>
      </c>
      <c r="I319">
        <v>2</v>
      </c>
      <c r="J319">
        <v>1846</v>
      </c>
      <c r="K319" s="7">
        <v>0.15</v>
      </c>
      <c r="L319" t="s">
        <v>31</v>
      </c>
      <c r="M319" t="s">
        <v>22</v>
      </c>
      <c r="N319" t="s">
        <v>59</v>
      </c>
      <c r="O319">
        <v>4.8</v>
      </c>
      <c r="P319">
        <f>VLOOKUP(Table2[[#This Row],[Product_ID]],Table1[#All],8,TRUE)</f>
        <v>0</v>
      </c>
    </row>
    <row r="320" spans="1:16" x14ac:dyDescent="0.3">
      <c r="A320" t="s">
        <v>844</v>
      </c>
      <c r="B320" s="5" t="s">
        <v>845</v>
      </c>
      <c r="C320" s="3" t="str">
        <f t="shared" si="4"/>
        <v>16-10-2024</v>
      </c>
      <c r="D320" t="s">
        <v>91</v>
      </c>
      <c r="E320" t="s">
        <v>166</v>
      </c>
      <c r="F320" t="s">
        <v>18</v>
      </c>
      <c r="G320" t="s">
        <v>37</v>
      </c>
      <c r="H320" t="s">
        <v>77</v>
      </c>
      <c r="I320">
        <v>3</v>
      </c>
      <c r="J320">
        <v>9667</v>
      </c>
      <c r="K320" s="7">
        <v>0</v>
      </c>
      <c r="L320" t="s">
        <v>38</v>
      </c>
      <c r="M320" t="s">
        <v>39</v>
      </c>
      <c r="N320" t="s">
        <v>48</v>
      </c>
      <c r="O320">
        <v>4.0999999999999996</v>
      </c>
      <c r="P320">
        <f>VLOOKUP(Table2[[#This Row],[Product_ID]],Table1[#All],8,TRUE)</f>
        <v>0</v>
      </c>
    </row>
    <row r="321" spans="1:16" x14ac:dyDescent="0.3">
      <c r="A321" t="s">
        <v>846</v>
      </c>
      <c r="B321" s="5" t="s">
        <v>847</v>
      </c>
      <c r="C321" s="3" t="str">
        <f t="shared" si="4"/>
        <v>24-05-2023</v>
      </c>
      <c r="D321" t="s">
        <v>91</v>
      </c>
      <c r="E321" t="s">
        <v>175</v>
      </c>
      <c r="F321" t="s">
        <v>98</v>
      </c>
      <c r="G321" t="s">
        <v>53</v>
      </c>
      <c r="H321" t="s">
        <v>99</v>
      </c>
      <c r="I321">
        <v>1</v>
      </c>
      <c r="J321">
        <v>5642</v>
      </c>
      <c r="K321" s="7">
        <v>0.05</v>
      </c>
      <c r="L321" t="s">
        <v>31</v>
      </c>
      <c r="M321" t="s">
        <v>22</v>
      </c>
      <c r="N321" t="s">
        <v>59</v>
      </c>
      <c r="O321">
        <v>3.1</v>
      </c>
      <c r="P321">
        <f>VLOOKUP(Table2[[#This Row],[Product_ID]],Table1[#All],8,TRUE)</f>
        <v>1500</v>
      </c>
    </row>
    <row r="322" spans="1:16" x14ac:dyDescent="0.3">
      <c r="A322" t="s">
        <v>848</v>
      </c>
      <c r="B322" s="5" t="s">
        <v>419</v>
      </c>
      <c r="C322" s="3" t="str">
        <f t="shared" ref="C322:C385" si="5">TEXT(B322,"dd-mm-yyyy")</f>
        <v>11-09-2023</v>
      </c>
      <c r="D322" t="s">
        <v>127</v>
      </c>
      <c r="E322" t="s">
        <v>381</v>
      </c>
      <c r="F322" t="s">
        <v>73</v>
      </c>
      <c r="G322" t="s">
        <v>29</v>
      </c>
      <c r="H322" t="s">
        <v>99</v>
      </c>
      <c r="I322">
        <v>4</v>
      </c>
      <c r="J322">
        <v>5544</v>
      </c>
      <c r="K322" s="7">
        <v>0.1</v>
      </c>
      <c r="L322" t="s">
        <v>21</v>
      </c>
      <c r="M322" t="s">
        <v>22</v>
      </c>
      <c r="N322" t="s">
        <v>23</v>
      </c>
      <c r="P322">
        <f>VLOOKUP(Table2[[#This Row],[Product_ID]],Table1[#All],8,TRUE)</f>
        <v>1500</v>
      </c>
    </row>
    <row r="323" spans="1:16" x14ac:dyDescent="0.3">
      <c r="A323" t="s">
        <v>849</v>
      </c>
      <c r="B323" s="5" t="s">
        <v>850</v>
      </c>
      <c r="C323" s="3" t="str">
        <f t="shared" si="5"/>
        <v>09-03-2024</v>
      </c>
      <c r="D323" t="s">
        <v>51</v>
      </c>
      <c r="E323" t="s">
        <v>851</v>
      </c>
      <c r="F323" t="s">
        <v>28</v>
      </c>
      <c r="G323" t="s">
        <v>37</v>
      </c>
      <c r="H323" t="s">
        <v>99</v>
      </c>
      <c r="I323">
        <v>4</v>
      </c>
      <c r="J323">
        <v>1719</v>
      </c>
      <c r="K323" s="7">
        <v>0.05</v>
      </c>
      <c r="L323" t="s">
        <v>38</v>
      </c>
      <c r="M323" t="s">
        <v>22</v>
      </c>
      <c r="N323" t="s">
        <v>48</v>
      </c>
      <c r="P323">
        <f>VLOOKUP(Table2[[#This Row],[Product_ID]],Table1[#All],8,TRUE)</f>
        <v>700</v>
      </c>
    </row>
    <row r="324" spans="1:16" x14ac:dyDescent="0.3">
      <c r="A324" t="s">
        <v>852</v>
      </c>
      <c r="B324" s="5" t="s">
        <v>853</v>
      </c>
      <c r="C324" s="3" t="str">
        <f t="shared" si="5"/>
        <v>04-03-2023</v>
      </c>
      <c r="D324" t="s">
        <v>62</v>
      </c>
      <c r="E324" t="s">
        <v>854</v>
      </c>
      <c r="F324" t="s">
        <v>64</v>
      </c>
      <c r="G324" t="s">
        <v>37</v>
      </c>
      <c r="H324" t="s">
        <v>30</v>
      </c>
      <c r="I324">
        <v>3</v>
      </c>
      <c r="J324">
        <v>8267</v>
      </c>
      <c r="K324" s="7">
        <v>0.05</v>
      </c>
      <c r="L324" t="s">
        <v>31</v>
      </c>
      <c r="M324" t="s">
        <v>39</v>
      </c>
      <c r="N324" t="s">
        <v>59</v>
      </c>
      <c r="O324">
        <v>3.5</v>
      </c>
      <c r="P324">
        <f>VLOOKUP(Table2[[#This Row],[Product_ID]],Table1[#All],8,TRUE)</f>
        <v>1200</v>
      </c>
    </row>
    <row r="325" spans="1:16" x14ac:dyDescent="0.3">
      <c r="A325" t="s">
        <v>855</v>
      </c>
      <c r="B325" s="5" t="s">
        <v>684</v>
      </c>
      <c r="C325" s="3" t="str">
        <f t="shared" si="5"/>
        <v>18-08-2023</v>
      </c>
      <c r="D325" t="s">
        <v>51</v>
      </c>
      <c r="E325" t="s">
        <v>856</v>
      </c>
      <c r="F325" t="s">
        <v>57</v>
      </c>
      <c r="G325" t="s">
        <v>37</v>
      </c>
      <c r="H325" t="s">
        <v>30</v>
      </c>
      <c r="I325">
        <v>1</v>
      </c>
      <c r="J325">
        <v>6136</v>
      </c>
      <c r="K325" s="7">
        <v>0</v>
      </c>
      <c r="L325" t="s">
        <v>58</v>
      </c>
      <c r="M325" t="s">
        <v>39</v>
      </c>
      <c r="N325" t="s">
        <v>32</v>
      </c>
      <c r="O325">
        <v>3.5</v>
      </c>
      <c r="P325">
        <f>VLOOKUP(Table2[[#This Row],[Product_ID]],Table1[#All],8,TRUE)</f>
        <v>1500</v>
      </c>
    </row>
    <row r="326" spans="1:16" x14ac:dyDescent="0.3">
      <c r="A326" t="s">
        <v>857</v>
      </c>
      <c r="B326" s="5" t="s">
        <v>858</v>
      </c>
      <c r="C326" s="3" t="str">
        <f t="shared" si="5"/>
        <v>21-12-2023</v>
      </c>
      <c r="D326" t="s">
        <v>16</v>
      </c>
      <c r="E326" t="s">
        <v>17</v>
      </c>
      <c r="F326" t="s">
        <v>98</v>
      </c>
      <c r="G326" t="s">
        <v>29</v>
      </c>
      <c r="H326" t="s">
        <v>30</v>
      </c>
      <c r="I326">
        <v>2</v>
      </c>
      <c r="J326">
        <v>6394</v>
      </c>
      <c r="K326" s="7">
        <v>0.05</v>
      </c>
      <c r="L326" t="s">
        <v>58</v>
      </c>
      <c r="M326" t="s">
        <v>22</v>
      </c>
      <c r="N326" t="s">
        <v>48</v>
      </c>
      <c r="O326">
        <v>4.0999999999999996</v>
      </c>
      <c r="P326">
        <f>VLOOKUP(Table2[[#This Row],[Product_ID]],Table1[#All],8,TRUE)</f>
        <v>700</v>
      </c>
    </row>
    <row r="327" spans="1:16" x14ac:dyDescent="0.3">
      <c r="A327" t="s">
        <v>859</v>
      </c>
      <c r="B327" s="5" t="s">
        <v>186</v>
      </c>
      <c r="C327" s="3" t="str">
        <f t="shared" si="5"/>
        <v>25-09-2024</v>
      </c>
      <c r="D327" t="s">
        <v>26</v>
      </c>
      <c r="E327" t="s">
        <v>758</v>
      </c>
      <c r="F327" t="s">
        <v>28</v>
      </c>
      <c r="G327" t="s">
        <v>37</v>
      </c>
      <c r="H327" t="s">
        <v>99</v>
      </c>
      <c r="I327">
        <v>3</v>
      </c>
      <c r="J327">
        <v>3127</v>
      </c>
      <c r="K327" s="7">
        <v>0</v>
      </c>
      <c r="L327" t="s">
        <v>31</v>
      </c>
      <c r="M327" t="s">
        <v>22</v>
      </c>
      <c r="N327" t="s">
        <v>59</v>
      </c>
      <c r="P327">
        <f>VLOOKUP(Table2[[#This Row],[Product_ID]],Table1[#All],8,TRUE)</f>
        <v>1500</v>
      </c>
    </row>
    <row r="328" spans="1:16" x14ac:dyDescent="0.3">
      <c r="A328" t="s">
        <v>860</v>
      </c>
      <c r="B328" s="5" t="s">
        <v>861</v>
      </c>
      <c r="C328" s="3" t="str">
        <f t="shared" si="5"/>
        <v>10-11-2023</v>
      </c>
      <c r="D328" t="s">
        <v>51</v>
      </c>
      <c r="E328" t="s">
        <v>314</v>
      </c>
      <c r="F328" t="s">
        <v>18</v>
      </c>
      <c r="G328" t="s">
        <v>29</v>
      </c>
      <c r="H328" t="s">
        <v>99</v>
      </c>
      <c r="I328">
        <v>3</v>
      </c>
      <c r="J328">
        <v>3014</v>
      </c>
      <c r="K328" s="7">
        <v>0.15</v>
      </c>
      <c r="L328" t="s">
        <v>58</v>
      </c>
      <c r="M328" t="s">
        <v>22</v>
      </c>
      <c r="N328" t="s">
        <v>59</v>
      </c>
      <c r="P328">
        <f>VLOOKUP(Table2[[#This Row],[Product_ID]],Table1[#All],8,TRUE)</f>
        <v>500</v>
      </c>
    </row>
    <row r="329" spans="1:16" x14ac:dyDescent="0.3">
      <c r="A329" t="s">
        <v>862</v>
      </c>
      <c r="B329" s="5" t="s">
        <v>863</v>
      </c>
      <c r="C329" s="3" t="str">
        <f t="shared" si="5"/>
        <v>08-04-2023</v>
      </c>
      <c r="D329" t="s">
        <v>127</v>
      </c>
      <c r="E329" t="s">
        <v>494</v>
      </c>
      <c r="F329" t="s">
        <v>73</v>
      </c>
      <c r="G329" t="s">
        <v>19</v>
      </c>
      <c r="H329" t="s">
        <v>30</v>
      </c>
      <c r="I329">
        <v>5</v>
      </c>
      <c r="J329">
        <v>5184</v>
      </c>
      <c r="K329" s="7">
        <v>0.1</v>
      </c>
      <c r="L329" t="s">
        <v>38</v>
      </c>
      <c r="M329" t="s">
        <v>39</v>
      </c>
      <c r="N329" t="s">
        <v>59</v>
      </c>
      <c r="O329">
        <v>3.4</v>
      </c>
      <c r="P329">
        <f>VLOOKUP(Table2[[#This Row],[Product_ID]],Table1[#All],8,TRUE)</f>
        <v>0</v>
      </c>
    </row>
    <row r="330" spans="1:16" x14ac:dyDescent="0.3">
      <c r="A330" t="s">
        <v>864</v>
      </c>
      <c r="B330" s="5" t="s">
        <v>865</v>
      </c>
      <c r="C330" s="3" t="str">
        <f t="shared" si="5"/>
        <v>21-12-2024</v>
      </c>
      <c r="D330" t="s">
        <v>26</v>
      </c>
      <c r="E330" t="s">
        <v>866</v>
      </c>
      <c r="F330" t="s">
        <v>43</v>
      </c>
      <c r="G330" t="s">
        <v>37</v>
      </c>
      <c r="H330" t="s">
        <v>30</v>
      </c>
      <c r="I330">
        <v>1</v>
      </c>
      <c r="J330">
        <v>8256</v>
      </c>
      <c r="K330" s="7">
        <v>0.2</v>
      </c>
      <c r="L330" t="s">
        <v>38</v>
      </c>
      <c r="M330" t="s">
        <v>39</v>
      </c>
      <c r="N330" t="s">
        <v>59</v>
      </c>
      <c r="P330">
        <f>VLOOKUP(Table2[[#This Row],[Product_ID]],Table1[#All],8,TRUE)</f>
        <v>900</v>
      </c>
    </row>
    <row r="331" spans="1:16" x14ac:dyDescent="0.3">
      <c r="A331" t="s">
        <v>867</v>
      </c>
      <c r="B331" s="5" t="s">
        <v>868</v>
      </c>
      <c r="C331" s="3" t="str">
        <f t="shared" si="5"/>
        <v>07-03-2023</v>
      </c>
      <c r="D331" t="s">
        <v>67</v>
      </c>
      <c r="E331" t="s">
        <v>869</v>
      </c>
      <c r="F331" t="s">
        <v>98</v>
      </c>
      <c r="G331" t="s">
        <v>19</v>
      </c>
      <c r="H331" t="s">
        <v>20</v>
      </c>
      <c r="I331">
        <v>1</v>
      </c>
      <c r="J331">
        <v>7915</v>
      </c>
      <c r="K331" s="7">
        <v>0.05</v>
      </c>
      <c r="L331" t="s">
        <v>38</v>
      </c>
      <c r="M331" t="s">
        <v>22</v>
      </c>
      <c r="N331" t="s">
        <v>23</v>
      </c>
      <c r="P331">
        <f>VLOOKUP(Table2[[#This Row],[Product_ID]],Table1[#All],8,TRUE)</f>
        <v>900</v>
      </c>
    </row>
    <row r="332" spans="1:16" x14ac:dyDescent="0.3">
      <c r="A332" t="s">
        <v>870</v>
      </c>
      <c r="B332" s="5" t="s">
        <v>871</v>
      </c>
      <c r="C332" s="3" t="str">
        <f t="shared" si="5"/>
        <v>12-11-2023</v>
      </c>
      <c r="D332" t="s">
        <v>80</v>
      </c>
      <c r="E332" t="s">
        <v>269</v>
      </c>
      <c r="F332" t="s">
        <v>98</v>
      </c>
      <c r="G332" t="s">
        <v>29</v>
      </c>
      <c r="H332" t="s">
        <v>77</v>
      </c>
      <c r="I332">
        <v>4</v>
      </c>
      <c r="J332">
        <v>8378</v>
      </c>
      <c r="K332" s="7">
        <v>0.1</v>
      </c>
      <c r="L332" t="s">
        <v>21</v>
      </c>
      <c r="M332" t="s">
        <v>22</v>
      </c>
      <c r="N332" t="s">
        <v>59</v>
      </c>
      <c r="O332">
        <v>4.0999999999999996</v>
      </c>
      <c r="P332">
        <f>VLOOKUP(Table2[[#This Row],[Product_ID]],Table1[#All],8,TRUE)</f>
        <v>0</v>
      </c>
    </row>
    <row r="333" spans="1:16" x14ac:dyDescent="0.3">
      <c r="A333" t="s">
        <v>872</v>
      </c>
      <c r="B333" s="5" t="s">
        <v>672</v>
      </c>
      <c r="C333" s="3" t="str">
        <f t="shared" si="5"/>
        <v>14-09-2024</v>
      </c>
      <c r="D333" t="s">
        <v>51</v>
      </c>
      <c r="E333" t="s">
        <v>582</v>
      </c>
      <c r="F333" t="s">
        <v>64</v>
      </c>
      <c r="G333" t="s">
        <v>53</v>
      </c>
      <c r="H333" t="s">
        <v>20</v>
      </c>
      <c r="I333">
        <v>2</v>
      </c>
      <c r="J333">
        <v>4766</v>
      </c>
      <c r="K333" s="7">
        <v>0.2</v>
      </c>
      <c r="L333" t="s">
        <v>38</v>
      </c>
      <c r="M333" t="s">
        <v>22</v>
      </c>
      <c r="N333" t="s">
        <v>23</v>
      </c>
      <c r="P333">
        <f>VLOOKUP(Table2[[#This Row],[Product_ID]],Table1[#All],8,TRUE)</f>
        <v>900</v>
      </c>
    </row>
    <row r="334" spans="1:16" x14ac:dyDescent="0.3">
      <c r="A334" t="s">
        <v>873</v>
      </c>
      <c r="B334" s="5" t="s">
        <v>874</v>
      </c>
      <c r="C334" s="3" t="str">
        <f t="shared" si="5"/>
        <v>20-04-2024</v>
      </c>
      <c r="D334" t="s">
        <v>131</v>
      </c>
      <c r="E334" t="s">
        <v>128</v>
      </c>
      <c r="F334" t="s">
        <v>57</v>
      </c>
      <c r="G334" t="s">
        <v>37</v>
      </c>
      <c r="H334" t="s">
        <v>30</v>
      </c>
      <c r="I334">
        <v>2</v>
      </c>
      <c r="J334">
        <v>7418</v>
      </c>
      <c r="K334" s="7">
        <v>0</v>
      </c>
      <c r="L334" t="s">
        <v>58</v>
      </c>
      <c r="M334" t="s">
        <v>22</v>
      </c>
      <c r="N334" t="s">
        <v>59</v>
      </c>
      <c r="P334">
        <f>VLOOKUP(Table2[[#This Row],[Product_ID]],Table1[#All],8,TRUE)</f>
        <v>500</v>
      </c>
    </row>
    <row r="335" spans="1:16" x14ac:dyDescent="0.3">
      <c r="A335" t="s">
        <v>875</v>
      </c>
      <c r="B335" s="5" t="s">
        <v>876</v>
      </c>
      <c r="C335" s="3" t="str">
        <f t="shared" si="5"/>
        <v>23-01-2023</v>
      </c>
      <c r="D335" t="s">
        <v>84</v>
      </c>
      <c r="E335" t="s">
        <v>569</v>
      </c>
      <c r="F335" t="s">
        <v>43</v>
      </c>
      <c r="G335" t="s">
        <v>29</v>
      </c>
      <c r="H335" t="s">
        <v>30</v>
      </c>
      <c r="I335">
        <v>4</v>
      </c>
      <c r="J335">
        <v>7697</v>
      </c>
      <c r="K335" s="7">
        <v>0</v>
      </c>
      <c r="L335" t="s">
        <v>38</v>
      </c>
      <c r="M335" t="s">
        <v>22</v>
      </c>
      <c r="N335" t="s">
        <v>32</v>
      </c>
      <c r="P335">
        <f>VLOOKUP(Table2[[#This Row],[Product_ID]],Table1[#All],8,TRUE)</f>
        <v>1500</v>
      </c>
    </row>
    <row r="336" spans="1:16" x14ac:dyDescent="0.3">
      <c r="A336" t="s">
        <v>877</v>
      </c>
      <c r="B336" s="5" t="s">
        <v>878</v>
      </c>
      <c r="C336" s="3" t="str">
        <f t="shared" si="5"/>
        <v>24-08-2023</v>
      </c>
      <c r="D336" t="s">
        <v>46</v>
      </c>
      <c r="E336" t="s">
        <v>612</v>
      </c>
      <c r="F336" t="s">
        <v>98</v>
      </c>
      <c r="G336" t="s">
        <v>29</v>
      </c>
      <c r="H336" t="s">
        <v>30</v>
      </c>
      <c r="I336">
        <v>2</v>
      </c>
      <c r="J336">
        <v>4958</v>
      </c>
      <c r="K336" s="7">
        <v>0.2</v>
      </c>
      <c r="L336" t="s">
        <v>38</v>
      </c>
      <c r="M336" t="s">
        <v>39</v>
      </c>
      <c r="N336" t="s">
        <v>59</v>
      </c>
      <c r="P336">
        <f>VLOOKUP(Table2[[#This Row],[Product_ID]],Table1[#All],8,TRUE)</f>
        <v>1200</v>
      </c>
    </row>
    <row r="337" spans="1:16" x14ac:dyDescent="0.3">
      <c r="A337" t="s">
        <v>65</v>
      </c>
      <c r="B337" s="5" t="s">
        <v>879</v>
      </c>
      <c r="C337" s="3" t="str">
        <f t="shared" si="5"/>
        <v>25-12-2023</v>
      </c>
      <c r="D337" t="s">
        <v>114</v>
      </c>
      <c r="E337" t="s">
        <v>880</v>
      </c>
      <c r="F337" t="s">
        <v>57</v>
      </c>
      <c r="G337" t="s">
        <v>37</v>
      </c>
      <c r="H337" t="s">
        <v>99</v>
      </c>
      <c r="I337">
        <v>3</v>
      </c>
      <c r="J337">
        <v>4491</v>
      </c>
      <c r="K337" s="7">
        <v>0.05</v>
      </c>
      <c r="L337" t="s">
        <v>58</v>
      </c>
      <c r="M337" t="s">
        <v>22</v>
      </c>
      <c r="N337" t="s">
        <v>23</v>
      </c>
      <c r="P337">
        <f>VLOOKUP(Table2[[#This Row],[Product_ID]],Table1[#All],8,TRUE)</f>
        <v>1200</v>
      </c>
    </row>
    <row r="338" spans="1:16" x14ac:dyDescent="0.3">
      <c r="A338" t="s">
        <v>881</v>
      </c>
      <c r="B338" s="5" t="s">
        <v>882</v>
      </c>
      <c r="C338" s="3" t="str">
        <f t="shared" si="5"/>
        <v>01-09-2024</v>
      </c>
      <c r="D338" t="s">
        <v>67</v>
      </c>
      <c r="E338" t="s">
        <v>883</v>
      </c>
      <c r="F338" t="s">
        <v>43</v>
      </c>
      <c r="G338" t="s">
        <v>29</v>
      </c>
      <c r="H338" t="s">
        <v>99</v>
      </c>
      <c r="I338">
        <v>5</v>
      </c>
      <c r="J338">
        <v>3928</v>
      </c>
      <c r="K338" s="7">
        <v>0.2</v>
      </c>
      <c r="L338" t="s">
        <v>21</v>
      </c>
      <c r="M338" t="s">
        <v>39</v>
      </c>
      <c r="N338" t="s">
        <v>23</v>
      </c>
      <c r="P338">
        <f>VLOOKUP(Table2[[#This Row],[Product_ID]],Table1[#All],8,TRUE)</f>
        <v>500</v>
      </c>
    </row>
    <row r="339" spans="1:16" x14ac:dyDescent="0.3">
      <c r="A339" t="s">
        <v>884</v>
      </c>
      <c r="B339" s="5" t="s">
        <v>885</v>
      </c>
      <c r="C339" s="3" t="str">
        <f t="shared" si="5"/>
        <v>31-08-2023</v>
      </c>
      <c r="D339" t="s">
        <v>35</v>
      </c>
      <c r="E339" t="s">
        <v>886</v>
      </c>
      <c r="F339" t="s">
        <v>18</v>
      </c>
      <c r="G339" t="s">
        <v>19</v>
      </c>
      <c r="H339" t="s">
        <v>30</v>
      </c>
      <c r="I339">
        <v>3</v>
      </c>
      <c r="J339">
        <v>2188</v>
      </c>
      <c r="K339" s="7">
        <v>0.15</v>
      </c>
      <c r="L339" t="s">
        <v>38</v>
      </c>
      <c r="M339" t="s">
        <v>39</v>
      </c>
      <c r="N339" t="s">
        <v>48</v>
      </c>
      <c r="O339">
        <v>3.9</v>
      </c>
      <c r="P339">
        <f>VLOOKUP(Table2[[#This Row],[Product_ID]],Table1[#All],8,TRUE)</f>
        <v>1500</v>
      </c>
    </row>
    <row r="340" spans="1:16" x14ac:dyDescent="0.3">
      <c r="A340" t="s">
        <v>887</v>
      </c>
      <c r="B340" s="5" t="s">
        <v>888</v>
      </c>
      <c r="C340" s="3" t="str">
        <f t="shared" si="5"/>
        <v>05-10-2023</v>
      </c>
      <c r="D340" t="s">
        <v>71</v>
      </c>
      <c r="E340" t="s">
        <v>240</v>
      </c>
      <c r="F340" t="s">
        <v>98</v>
      </c>
      <c r="G340" t="s">
        <v>29</v>
      </c>
      <c r="H340" t="s">
        <v>20</v>
      </c>
      <c r="I340">
        <v>1</v>
      </c>
      <c r="J340">
        <v>5213</v>
      </c>
      <c r="K340" s="7">
        <v>0.2</v>
      </c>
      <c r="L340" t="s">
        <v>21</v>
      </c>
      <c r="M340" t="s">
        <v>22</v>
      </c>
      <c r="N340" t="s">
        <v>32</v>
      </c>
      <c r="O340">
        <v>4.0999999999999996</v>
      </c>
      <c r="P340">
        <f>VLOOKUP(Table2[[#This Row],[Product_ID]],Table1[#All],8,TRUE)</f>
        <v>500</v>
      </c>
    </row>
    <row r="341" spans="1:16" x14ac:dyDescent="0.3">
      <c r="A341" t="s">
        <v>889</v>
      </c>
      <c r="B341" s="5" t="s">
        <v>890</v>
      </c>
      <c r="C341" s="3" t="str">
        <f t="shared" si="5"/>
        <v>14-04-2024</v>
      </c>
      <c r="D341" t="s">
        <v>51</v>
      </c>
      <c r="E341" t="s">
        <v>331</v>
      </c>
      <c r="F341" t="s">
        <v>98</v>
      </c>
      <c r="G341" t="s">
        <v>53</v>
      </c>
      <c r="H341" t="s">
        <v>77</v>
      </c>
      <c r="I341">
        <v>3</v>
      </c>
      <c r="J341">
        <v>3154</v>
      </c>
      <c r="K341" s="7">
        <v>0.05</v>
      </c>
      <c r="L341" t="s">
        <v>38</v>
      </c>
      <c r="M341" t="s">
        <v>22</v>
      </c>
      <c r="N341" t="s">
        <v>23</v>
      </c>
      <c r="O341">
        <v>4</v>
      </c>
      <c r="P341">
        <f>VLOOKUP(Table2[[#This Row],[Product_ID]],Table1[#All],8,TRUE)</f>
        <v>900</v>
      </c>
    </row>
    <row r="342" spans="1:16" x14ac:dyDescent="0.3">
      <c r="A342" t="s">
        <v>891</v>
      </c>
      <c r="B342" s="5" t="s">
        <v>892</v>
      </c>
      <c r="C342" s="3" t="str">
        <f t="shared" si="5"/>
        <v>22-03-2023</v>
      </c>
      <c r="D342" t="s">
        <v>62</v>
      </c>
      <c r="E342" t="s">
        <v>417</v>
      </c>
      <c r="F342" t="s">
        <v>64</v>
      </c>
      <c r="G342" t="s">
        <v>19</v>
      </c>
      <c r="H342" t="s">
        <v>77</v>
      </c>
      <c r="I342">
        <v>1</v>
      </c>
      <c r="J342">
        <v>2087</v>
      </c>
      <c r="K342" s="7">
        <v>0.15</v>
      </c>
      <c r="L342" t="s">
        <v>58</v>
      </c>
      <c r="M342" t="s">
        <v>22</v>
      </c>
      <c r="N342" t="s">
        <v>23</v>
      </c>
      <c r="P342">
        <f>VLOOKUP(Table2[[#This Row],[Product_ID]],Table1[#All],8,TRUE)</f>
        <v>1500</v>
      </c>
    </row>
    <row r="343" spans="1:16" x14ac:dyDescent="0.3">
      <c r="A343" t="s">
        <v>893</v>
      </c>
      <c r="B343" s="5" t="s">
        <v>894</v>
      </c>
      <c r="C343" s="3" t="str">
        <f t="shared" si="5"/>
        <v>21-02-2023</v>
      </c>
      <c r="D343" t="s">
        <v>67</v>
      </c>
      <c r="E343" t="s">
        <v>187</v>
      </c>
      <c r="F343" t="s">
        <v>98</v>
      </c>
      <c r="G343" t="s">
        <v>19</v>
      </c>
      <c r="H343" t="s">
        <v>30</v>
      </c>
      <c r="I343">
        <v>1</v>
      </c>
      <c r="J343">
        <v>4566</v>
      </c>
      <c r="K343" s="7">
        <v>0.05</v>
      </c>
      <c r="L343" t="s">
        <v>21</v>
      </c>
      <c r="M343" t="s">
        <v>22</v>
      </c>
      <c r="N343" t="s">
        <v>23</v>
      </c>
      <c r="P343">
        <f>VLOOKUP(Table2[[#This Row],[Product_ID]],Table1[#All],8,TRUE)</f>
        <v>500</v>
      </c>
    </row>
    <row r="344" spans="1:16" x14ac:dyDescent="0.3">
      <c r="A344" t="s">
        <v>895</v>
      </c>
      <c r="B344" s="5" t="s">
        <v>896</v>
      </c>
      <c r="C344" s="3" t="str">
        <f t="shared" si="5"/>
        <v>20-08-2024</v>
      </c>
      <c r="D344" t="s">
        <v>96</v>
      </c>
      <c r="E344" t="s">
        <v>512</v>
      </c>
      <c r="F344" t="s">
        <v>18</v>
      </c>
      <c r="G344" t="s">
        <v>37</v>
      </c>
      <c r="H344" t="s">
        <v>30</v>
      </c>
      <c r="I344">
        <v>3</v>
      </c>
      <c r="J344">
        <v>5205</v>
      </c>
      <c r="K344" s="7">
        <v>0.15</v>
      </c>
      <c r="L344" t="s">
        <v>21</v>
      </c>
      <c r="M344" t="s">
        <v>39</v>
      </c>
      <c r="N344" t="s">
        <v>59</v>
      </c>
      <c r="O344">
        <v>3.3</v>
      </c>
      <c r="P344">
        <f>VLOOKUP(Table2[[#This Row],[Product_ID]],Table1[#All],8,TRUE)</f>
        <v>500</v>
      </c>
    </row>
    <row r="345" spans="1:16" x14ac:dyDescent="0.3">
      <c r="A345" t="s">
        <v>897</v>
      </c>
      <c r="B345" s="5" t="s">
        <v>898</v>
      </c>
      <c r="C345" s="3" t="str">
        <f t="shared" si="5"/>
        <v>07-10-2023</v>
      </c>
      <c r="D345" t="s">
        <v>91</v>
      </c>
      <c r="E345" t="s">
        <v>899</v>
      </c>
      <c r="F345" t="s">
        <v>73</v>
      </c>
      <c r="G345" t="s">
        <v>53</v>
      </c>
      <c r="H345" t="s">
        <v>20</v>
      </c>
      <c r="I345">
        <v>3</v>
      </c>
      <c r="J345">
        <v>1049</v>
      </c>
      <c r="K345" s="7">
        <v>0.2</v>
      </c>
      <c r="L345" t="s">
        <v>31</v>
      </c>
      <c r="M345" t="s">
        <v>39</v>
      </c>
      <c r="N345" t="s">
        <v>48</v>
      </c>
      <c r="O345">
        <v>4.2</v>
      </c>
      <c r="P345">
        <f>VLOOKUP(Table2[[#This Row],[Product_ID]],Table1[#All],8,TRUE)</f>
        <v>500</v>
      </c>
    </row>
    <row r="346" spans="1:16" x14ac:dyDescent="0.3">
      <c r="A346" t="s">
        <v>900</v>
      </c>
      <c r="B346" s="5" t="s">
        <v>901</v>
      </c>
      <c r="C346" s="3" t="str">
        <f t="shared" si="5"/>
        <v>28-05-2023</v>
      </c>
      <c r="D346" t="s">
        <v>84</v>
      </c>
      <c r="E346" t="s">
        <v>452</v>
      </c>
      <c r="F346" t="s">
        <v>64</v>
      </c>
      <c r="G346" t="s">
        <v>29</v>
      </c>
      <c r="H346" t="s">
        <v>30</v>
      </c>
      <c r="I346">
        <v>3</v>
      </c>
      <c r="J346">
        <v>5208</v>
      </c>
      <c r="K346" s="7">
        <v>0</v>
      </c>
      <c r="L346" t="s">
        <v>21</v>
      </c>
      <c r="M346" t="s">
        <v>39</v>
      </c>
      <c r="N346" t="s">
        <v>59</v>
      </c>
      <c r="P346">
        <f>VLOOKUP(Table2[[#This Row],[Product_ID]],Table1[#All],8,TRUE)</f>
        <v>1200</v>
      </c>
    </row>
    <row r="347" spans="1:16" x14ac:dyDescent="0.3">
      <c r="A347" t="s">
        <v>902</v>
      </c>
      <c r="B347" s="5" t="s">
        <v>617</v>
      </c>
      <c r="C347" s="3" t="str">
        <f t="shared" si="5"/>
        <v>13-01-2023</v>
      </c>
      <c r="D347" t="s">
        <v>80</v>
      </c>
      <c r="E347" t="s">
        <v>903</v>
      </c>
      <c r="F347" t="s">
        <v>18</v>
      </c>
      <c r="G347" t="s">
        <v>53</v>
      </c>
      <c r="H347" t="s">
        <v>99</v>
      </c>
      <c r="I347">
        <v>4</v>
      </c>
      <c r="J347">
        <v>9922</v>
      </c>
      <c r="K347" s="7">
        <v>0.15</v>
      </c>
      <c r="L347" t="s">
        <v>38</v>
      </c>
      <c r="M347" t="s">
        <v>39</v>
      </c>
      <c r="N347" t="s">
        <v>59</v>
      </c>
      <c r="P347">
        <f>VLOOKUP(Table2[[#This Row],[Product_ID]],Table1[#All],8,TRUE)</f>
        <v>1500</v>
      </c>
    </row>
    <row r="348" spans="1:16" x14ac:dyDescent="0.3">
      <c r="A348" t="s">
        <v>904</v>
      </c>
      <c r="B348" s="5" t="s">
        <v>905</v>
      </c>
      <c r="C348" s="3" t="str">
        <f t="shared" si="5"/>
        <v>16-04-2023</v>
      </c>
      <c r="D348" t="s">
        <v>46</v>
      </c>
      <c r="E348" t="s">
        <v>348</v>
      </c>
      <c r="F348" t="s">
        <v>43</v>
      </c>
      <c r="G348" t="s">
        <v>53</v>
      </c>
      <c r="H348" t="s">
        <v>30</v>
      </c>
      <c r="I348">
        <v>4</v>
      </c>
      <c r="J348">
        <v>1745</v>
      </c>
      <c r="K348" s="7">
        <v>0.2</v>
      </c>
      <c r="L348" t="s">
        <v>38</v>
      </c>
      <c r="M348" t="s">
        <v>22</v>
      </c>
      <c r="N348" t="s">
        <v>48</v>
      </c>
      <c r="O348">
        <v>4.4000000000000004</v>
      </c>
      <c r="P348">
        <f>VLOOKUP(Table2[[#This Row],[Product_ID]],Table1[#All],8,TRUE)</f>
        <v>900</v>
      </c>
    </row>
    <row r="349" spans="1:16" x14ac:dyDescent="0.3">
      <c r="A349" t="s">
        <v>906</v>
      </c>
      <c r="B349" s="5" t="s">
        <v>907</v>
      </c>
      <c r="C349" s="3" t="str">
        <f t="shared" si="5"/>
        <v>28-08-2024</v>
      </c>
      <c r="D349" t="s">
        <v>96</v>
      </c>
      <c r="E349" t="s">
        <v>612</v>
      </c>
      <c r="F349" t="s">
        <v>18</v>
      </c>
      <c r="G349" t="s">
        <v>29</v>
      </c>
      <c r="H349" t="s">
        <v>99</v>
      </c>
      <c r="I349">
        <v>5</v>
      </c>
      <c r="J349">
        <v>6671</v>
      </c>
      <c r="K349" s="7">
        <v>0.2</v>
      </c>
      <c r="L349" t="s">
        <v>58</v>
      </c>
      <c r="M349" t="s">
        <v>39</v>
      </c>
      <c r="N349" t="s">
        <v>23</v>
      </c>
      <c r="P349">
        <f>VLOOKUP(Table2[[#This Row],[Product_ID]],Table1[#All],8,TRUE)</f>
        <v>1200</v>
      </c>
    </row>
    <row r="350" spans="1:16" x14ac:dyDescent="0.3">
      <c r="A350" t="s">
        <v>760</v>
      </c>
      <c r="B350" s="5" t="s">
        <v>908</v>
      </c>
      <c r="C350" s="3" t="str">
        <f t="shared" si="5"/>
        <v>29-05-2023</v>
      </c>
      <c r="D350" t="s">
        <v>51</v>
      </c>
      <c r="E350" t="s">
        <v>909</v>
      </c>
      <c r="F350" t="s">
        <v>18</v>
      </c>
      <c r="G350" t="s">
        <v>37</v>
      </c>
      <c r="H350" t="s">
        <v>99</v>
      </c>
      <c r="I350">
        <v>2</v>
      </c>
      <c r="J350">
        <v>4228</v>
      </c>
      <c r="K350" s="7">
        <v>0.2</v>
      </c>
      <c r="L350" t="s">
        <v>38</v>
      </c>
      <c r="M350" t="s">
        <v>39</v>
      </c>
      <c r="N350" t="s">
        <v>48</v>
      </c>
      <c r="P350">
        <f>VLOOKUP(Table2[[#This Row],[Product_ID]],Table1[#All],8,TRUE)</f>
        <v>1200</v>
      </c>
    </row>
    <row r="351" spans="1:16" x14ac:dyDescent="0.3">
      <c r="A351" t="s">
        <v>910</v>
      </c>
      <c r="B351" s="5" t="s">
        <v>911</v>
      </c>
      <c r="C351" s="3" t="str">
        <f t="shared" si="5"/>
        <v>03-01-2023</v>
      </c>
      <c r="D351" t="s">
        <v>127</v>
      </c>
      <c r="E351" t="s">
        <v>440</v>
      </c>
      <c r="F351" t="s">
        <v>43</v>
      </c>
      <c r="G351" t="s">
        <v>19</v>
      </c>
      <c r="H351" t="s">
        <v>30</v>
      </c>
      <c r="I351">
        <v>4</v>
      </c>
      <c r="J351">
        <v>2278</v>
      </c>
      <c r="K351" s="7">
        <v>0.05</v>
      </c>
      <c r="L351" t="s">
        <v>21</v>
      </c>
      <c r="M351" t="s">
        <v>22</v>
      </c>
      <c r="N351" t="s">
        <v>23</v>
      </c>
      <c r="O351">
        <v>4.0999999999999996</v>
      </c>
      <c r="P351">
        <f>VLOOKUP(Table2[[#This Row],[Product_ID]],Table1[#All],8,TRUE)</f>
        <v>700</v>
      </c>
    </row>
    <row r="352" spans="1:16" x14ac:dyDescent="0.3">
      <c r="A352" t="s">
        <v>912</v>
      </c>
      <c r="B352" s="5" t="s">
        <v>913</v>
      </c>
      <c r="C352" s="3" t="str">
        <f t="shared" si="5"/>
        <v>10-01-2023</v>
      </c>
      <c r="D352" t="s">
        <v>67</v>
      </c>
      <c r="E352" t="s">
        <v>914</v>
      </c>
      <c r="F352" t="s">
        <v>28</v>
      </c>
      <c r="G352" t="s">
        <v>53</v>
      </c>
      <c r="H352" t="s">
        <v>99</v>
      </c>
      <c r="I352">
        <v>3</v>
      </c>
      <c r="J352">
        <v>6939</v>
      </c>
      <c r="K352" s="7">
        <v>0.15</v>
      </c>
      <c r="L352" t="s">
        <v>21</v>
      </c>
      <c r="M352" t="s">
        <v>39</v>
      </c>
      <c r="N352" t="s">
        <v>48</v>
      </c>
      <c r="P352">
        <f>VLOOKUP(Table2[[#This Row],[Product_ID]],Table1[#All],8,TRUE)</f>
        <v>700</v>
      </c>
    </row>
    <row r="353" spans="1:16" x14ac:dyDescent="0.3">
      <c r="A353" t="s">
        <v>915</v>
      </c>
      <c r="B353" s="5" t="s">
        <v>916</v>
      </c>
      <c r="C353" s="3" t="str">
        <f t="shared" si="5"/>
        <v>24-02-2024</v>
      </c>
      <c r="D353" t="s">
        <v>96</v>
      </c>
      <c r="E353" t="s">
        <v>917</v>
      </c>
      <c r="F353" t="s">
        <v>57</v>
      </c>
      <c r="G353" t="s">
        <v>19</v>
      </c>
      <c r="H353" t="s">
        <v>77</v>
      </c>
      <c r="I353">
        <v>5</v>
      </c>
      <c r="J353">
        <v>2086</v>
      </c>
      <c r="K353" s="7">
        <v>0</v>
      </c>
      <c r="L353" t="s">
        <v>38</v>
      </c>
      <c r="M353" t="s">
        <v>22</v>
      </c>
      <c r="N353" t="s">
        <v>23</v>
      </c>
      <c r="P353">
        <f>VLOOKUP(Table2[[#This Row],[Product_ID]],Table1[#All],8,TRUE)</f>
        <v>900</v>
      </c>
    </row>
    <row r="354" spans="1:16" x14ac:dyDescent="0.3">
      <c r="A354" t="s">
        <v>822</v>
      </c>
      <c r="B354" s="5" t="s">
        <v>456</v>
      </c>
      <c r="C354" s="3" t="str">
        <f t="shared" si="5"/>
        <v>04-06-2023</v>
      </c>
      <c r="D354" t="s">
        <v>51</v>
      </c>
      <c r="E354" t="s">
        <v>918</v>
      </c>
      <c r="F354" t="s">
        <v>18</v>
      </c>
      <c r="G354" t="s">
        <v>29</v>
      </c>
      <c r="H354" t="s">
        <v>99</v>
      </c>
      <c r="I354">
        <v>5</v>
      </c>
      <c r="J354">
        <v>2914</v>
      </c>
      <c r="K354" s="7">
        <v>0.15</v>
      </c>
      <c r="L354" t="s">
        <v>31</v>
      </c>
      <c r="M354" t="s">
        <v>39</v>
      </c>
      <c r="N354" t="s">
        <v>23</v>
      </c>
      <c r="P354">
        <f>VLOOKUP(Table2[[#This Row],[Product_ID]],Table1[#All],8,TRUE)</f>
        <v>0</v>
      </c>
    </row>
    <row r="355" spans="1:16" x14ac:dyDescent="0.3">
      <c r="A355" t="s">
        <v>919</v>
      </c>
      <c r="B355" s="5" t="s">
        <v>773</v>
      </c>
      <c r="C355" s="3" t="str">
        <f t="shared" si="5"/>
        <v>29-07-2023</v>
      </c>
      <c r="D355" t="s">
        <v>80</v>
      </c>
      <c r="E355" t="s">
        <v>886</v>
      </c>
      <c r="F355" t="s">
        <v>43</v>
      </c>
      <c r="G355" t="s">
        <v>37</v>
      </c>
      <c r="H355" t="s">
        <v>20</v>
      </c>
      <c r="I355">
        <v>5</v>
      </c>
      <c r="J355">
        <v>3150</v>
      </c>
      <c r="K355" s="7">
        <v>0.05</v>
      </c>
      <c r="L355" t="s">
        <v>38</v>
      </c>
      <c r="M355" t="s">
        <v>22</v>
      </c>
      <c r="N355" t="s">
        <v>48</v>
      </c>
      <c r="O355">
        <v>3.4</v>
      </c>
      <c r="P355">
        <f>VLOOKUP(Table2[[#This Row],[Product_ID]],Table1[#All],8,TRUE)</f>
        <v>1500</v>
      </c>
    </row>
    <row r="356" spans="1:16" x14ac:dyDescent="0.3">
      <c r="A356" t="s">
        <v>920</v>
      </c>
      <c r="B356" s="5" t="s">
        <v>921</v>
      </c>
      <c r="C356" s="3" t="str">
        <f t="shared" si="5"/>
        <v>16-06-2023</v>
      </c>
      <c r="D356" t="s">
        <v>46</v>
      </c>
      <c r="E356" t="s">
        <v>500</v>
      </c>
      <c r="F356" t="s">
        <v>43</v>
      </c>
      <c r="G356" t="s">
        <v>19</v>
      </c>
      <c r="H356" t="s">
        <v>99</v>
      </c>
      <c r="I356">
        <v>5</v>
      </c>
      <c r="J356">
        <v>8001</v>
      </c>
      <c r="K356" s="7">
        <v>0</v>
      </c>
      <c r="L356" t="s">
        <v>58</v>
      </c>
      <c r="M356" t="s">
        <v>39</v>
      </c>
      <c r="N356" t="s">
        <v>32</v>
      </c>
      <c r="P356">
        <f>VLOOKUP(Table2[[#This Row],[Product_ID]],Table1[#All],8,TRUE)</f>
        <v>1200</v>
      </c>
    </row>
    <row r="357" spans="1:16" x14ac:dyDescent="0.3">
      <c r="A357" t="s">
        <v>922</v>
      </c>
      <c r="B357" s="5" t="s">
        <v>923</v>
      </c>
      <c r="C357" s="3" t="str">
        <f t="shared" si="5"/>
        <v>02-04-2024</v>
      </c>
      <c r="D357" t="s">
        <v>71</v>
      </c>
      <c r="E357" t="s">
        <v>924</v>
      </c>
      <c r="F357" t="s">
        <v>73</v>
      </c>
      <c r="G357" t="s">
        <v>19</v>
      </c>
      <c r="H357" t="s">
        <v>20</v>
      </c>
      <c r="I357">
        <v>2</v>
      </c>
      <c r="J357">
        <v>6153</v>
      </c>
      <c r="K357" s="7">
        <v>0.2</v>
      </c>
      <c r="L357" t="s">
        <v>58</v>
      </c>
      <c r="M357" t="s">
        <v>39</v>
      </c>
      <c r="N357" t="s">
        <v>32</v>
      </c>
      <c r="P357">
        <f>VLOOKUP(Table2[[#This Row],[Product_ID]],Table1[#All],8,TRUE)</f>
        <v>1500</v>
      </c>
    </row>
    <row r="358" spans="1:16" x14ac:dyDescent="0.3">
      <c r="A358" t="s">
        <v>925</v>
      </c>
      <c r="B358" s="5" t="s">
        <v>926</v>
      </c>
      <c r="C358" s="3" t="str">
        <f t="shared" si="5"/>
        <v>27-09-2023</v>
      </c>
      <c r="D358" t="s">
        <v>84</v>
      </c>
      <c r="E358" t="s">
        <v>250</v>
      </c>
      <c r="F358" t="s">
        <v>64</v>
      </c>
      <c r="G358" t="s">
        <v>29</v>
      </c>
      <c r="H358" t="s">
        <v>30</v>
      </c>
      <c r="I358">
        <v>1</v>
      </c>
      <c r="J358">
        <v>7503</v>
      </c>
      <c r="K358" s="7">
        <v>0.05</v>
      </c>
      <c r="L358" t="s">
        <v>58</v>
      </c>
      <c r="M358" t="s">
        <v>39</v>
      </c>
      <c r="N358" t="s">
        <v>48</v>
      </c>
      <c r="O358">
        <v>3.1</v>
      </c>
      <c r="P358">
        <f>VLOOKUP(Table2[[#This Row],[Product_ID]],Table1[#All],8,TRUE)</f>
        <v>1200</v>
      </c>
    </row>
    <row r="359" spans="1:16" x14ac:dyDescent="0.3">
      <c r="A359" t="s">
        <v>927</v>
      </c>
      <c r="B359" s="5" t="s">
        <v>698</v>
      </c>
      <c r="C359" s="3" t="str">
        <f t="shared" si="5"/>
        <v>16-07-2024</v>
      </c>
      <c r="D359" t="s">
        <v>84</v>
      </c>
      <c r="E359" t="s">
        <v>851</v>
      </c>
      <c r="F359" t="s">
        <v>43</v>
      </c>
      <c r="G359" t="s">
        <v>19</v>
      </c>
      <c r="H359" t="s">
        <v>99</v>
      </c>
      <c r="I359">
        <v>3</v>
      </c>
      <c r="J359">
        <v>9828</v>
      </c>
      <c r="K359" s="7">
        <v>0.1</v>
      </c>
      <c r="L359" t="s">
        <v>58</v>
      </c>
      <c r="M359" t="s">
        <v>39</v>
      </c>
      <c r="N359" t="s">
        <v>48</v>
      </c>
      <c r="O359">
        <v>3.4</v>
      </c>
      <c r="P359">
        <f>VLOOKUP(Table2[[#This Row],[Product_ID]],Table1[#All],8,TRUE)</f>
        <v>700</v>
      </c>
    </row>
    <row r="360" spans="1:16" x14ac:dyDescent="0.3">
      <c r="A360" t="s">
        <v>928</v>
      </c>
      <c r="B360" s="5" t="s">
        <v>929</v>
      </c>
      <c r="C360" s="3" t="str">
        <f t="shared" si="5"/>
        <v>06-09-2023</v>
      </c>
      <c r="D360" t="s">
        <v>16</v>
      </c>
      <c r="E360" t="s">
        <v>232</v>
      </c>
      <c r="F360" t="s">
        <v>43</v>
      </c>
      <c r="G360" t="s">
        <v>29</v>
      </c>
      <c r="H360" t="s">
        <v>77</v>
      </c>
      <c r="I360">
        <v>1</v>
      </c>
      <c r="J360">
        <v>3671</v>
      </c>
      <c r="K360" s="7">
        <v>0.05</v>
      </c>
      <c r="L360" t="s">
        <v>31</v>
      </c>
      <c r="M360" t="s">
        <v>22</v>
      </c>
      <c r="N360" t="s">
        <v>32</v>
      </c>
      <c r="O360">
        <v>3.8</v>
      </c>
      <c r="P360">
        <f>VLOOKUP(Table2[[#This Row],[Product_ID]],Table1[#All],8,TRUE)</f>
        <v>0</v>
      </c>
    </row>
    <row r="361" spans="1:16" x14ac:dyDescent="0.3">
      <c r="A361" t="s">
        <v>930</v>
      </c>
      <c r="B361" s="5" t="s">
        <v>931</v>
      </c>
      <c r="C361" s="3" t="str">
        <f t="shared" si="5"/>
        <v>18-11-2024</v>
      </c>
      <c r="D361" t="s">
        <v>46</v>
      </c>
      <c r="E361" t="s">
        <v>198</v>
      </c>
      <c r="F361" t="s">
        <v>28</v>
      </c>
      <c r="G361" t="s">
        <v>29</v>
      </c>
      <c r="H361" t="s">
        <v>20</v>
      </c>
      <c r="I361">
        <v>2</v>
      </c>
      <c r="J361">
        <v>8537</v>
      </c>
      <c r="K361" s="7">
        <v>0</v>
      </c>
      <c r="L361" t="s">
        <v>31</v>
      </c>
      <c r="M361" t="s">
        <v>39</v>
      </c>
      <c r="N361" t="s">
        <v>32</v>
      </c>
      <c r="P361">
        <f>VLOOKUP(Table2[[#This Row],[Product_ID]],Table1[#All],8,TRUE)</f>
        <v>0</v>
      </c>
    </row>
    <row r="362" spans="1:16" x14ac:dyDescent="0.3">
      <c r="A362" t="s">
        <v>932</v>
      </c>
      <c r="B362" s="5" t="s">
        <v>933</v>
      </c>
      <c r="C362" s="3" t="str">
        <f t="shared" si="5"/>
        <v>25-01-2023</v>
      </c>
      <c r="D362" t="s">
        <v>114</v>
      </c>
      <c r="E362" t="s">
        <v>36</v>
      </c>
      <c r="F362" t="s">
        <v>64</v>
      </c>
      <c r="G362" t="s">
        <v>37</v>
      </c>
      <c r="H362" t="s">
        <v>99</v>
      </c>
      <c r="I362">
        <v>2</v>
      </c>
      <c r="J362">
        <v>5838</v>
      </c>
      <c r="K362" s="7">
        <v>0.15</v>
      </c>
      <c r="L362" t="s">
        <v>21</v>
      </c>
      <c r="M362" t="s">
        <v>39</v>
      </c>
      <c r="N362" t="s">
        <v>32</v>
      </c>
      <c r="O362">
        <v>3.5</v>
      </c>
      <c r="P362">
        <f>VLOOKUP(Table2[[#This Row],[Product_ID]],Table1[#All],8,TRUE)</f>
        <v>1500</v>
      </c>
    </row>
    <row r="363" spans="1:16" x14ac:dyDescent="0.3">
      <c r="A363" t="s">
        <v>934</v>
      </c>
      <c r="B363" s="5" t="s">
        <v>935</v>
      </c>
      <c r="C363" s="3" t="str">
        <f t="shared" si="5"/>
        <v>20-07-2024</v>
      </c>
      <c r="D363" t="s">
        <v>26</v>
      </c>
      <c r="E363" t="s">
        <v>936</v>
      </c>
      <c r="F363" t="s">
        <v>57</v>
      </c>
      <c r="G363" t="s">
        <v>37</v>
      </c>
      <c r="H363" t="s">
        <v>20</v>
      </c>
      <c r="I363">
        <v>2</v>
      </c>
      <c r="J363">
        <v>6740</v>
      </c>
      <c r="K363" s="7">
        <v>0.2</v>
      </c>
      <c r="L363" t="s">
        <v>58</v>
      </c>
      <c r="M363" t="s">
        <v>22</v>
      </c>
      <c r="N363" t="s">
        <v>32</v>
      </c>
      <c r="P363">
        <f>VLOOKUP(Table2[[#This Row],[Product_ID]],Table1[#All],8,TRUE)</f>
        <v>1200</v>
      </c>
    </row>
    <row r="364" spans="1:16" x14ac:dyDescent="0.3">
      <c r="A364" t="s">
        <v>937</v>
      </c>
      <c r="B364" s="5" t="s">
        <v>938</v>
      </c>
      <c r="C364" s="3" t="str">
        <f t="shared" si="5"/>
        <v>01-08-2023</v>
      </c>
      <c r="D364" t="s">
        <v>46</v>
      </c>
      <c r="E364" t="s">
        <v>603</v>
      </c>
      <c r="F364" t="s">
        <v>18</v>
      </c>
      <c r="G364" t="s">
        <v>53</v>
      </c>
      <c r="H364" t="s">
        <v>99</v>
      </c>
      <c r="I364">
        <v>2</v>
      </c>
      <c r="J364">
        <v>9212</v>
      </c>
      <c r="K364" s="7">
        <v>0.15</v>
      </c>
      <c r="L364" t="s">
        <v>21</v>
      </c>
      <c r="M364" t="s">
        <v>22</v>
      </c>
      <c r="N364" t="s">
        <v>23</v>
      </c>
      <c r="O364">
        <v>3.3</v>
      </c>
      <c r="P364">
        <f>VLOOKUP(Table2[[#This Row],[Product_ID]],Table1[#All],8,TRUE)</f>
        <v>0</v>
      </c>
    </row>
    <row r="365" spans="1:16" x14ac:dyDescent="0.3">
      <c r="A365" t="s">
        <v>939</v>
      </c>
      <c r="B365" s="5" t="s">
        <v>940</v>
      </c>
      <c r="C365" s="3" t="str">
        <f t="shared" si="5"/>
        <v>29-03-2024</v>
      </c>
      <c r="D365" t="s">
        <v>46</v>
      </c>
      <c r="E365" t="s">
        <v>128</v>
      </c>
      <c r="F365" t="s">
        <v>28</v>
      </c>
      <c r="G365" t="s">
        <v>29</v>
      </c>
      <c r="H365" t="s">
        <v>99</v>
      </c>
      <c r="I365">
        <v>2</v>
      </c>
      <c r="J365">
        <v>2101</v>
      </c>
      <c r="K365" s="7">
        <v>0.05</v>
      </c>
      <c r="L365" t="s">
        <v>58</v>
      </c>
      <c r="M365" t="s">
        <v>22</v>
      </c>
      <c r="N365" t="s">
        <v>48</v>
      </c>
      <c r="P365">
        <f>VLOOKUP(Table2[[#This Row],[Product_ID]],Table1[#All],8,TRUE)</f>
        <v>500</v>
      </c>
    </row>
    <row r="366" spans="1:16" x14ac:dyDescent="0.3">
      <c r="A366" t="s">
        <v>941</v>
      </c>
      <c r="B366" s="5" t="s">
        <v>942</v>
      </c>
      <c r="C366" s="3" t="str">
        <f t="shared" si="5"/>
        <v>21-03-2024</v>
      </c>
      <c r="D366" t="s">
        <v>16</v>
      </c>
      <c r="E366" t="s">
        <v>943</v>
      </c>
      <c r="F366" t="s">
        <v>73</v>
      </c>
      <c r="G366" t="s">
        <v>37</v>
      </c>
      <c r="H366" t="s">
        <v>30</v>
      </c>
      <c r="I366">
        <v>2</v>
      </c>
      <c r="J366">
        <v>7908</v>
      </c>
      <c r="K366" s="7">
        <v>0.05</v>
      </c>
      <c r="L366" t="s">
        <v>21</v>
      </c>
      <c r="M366" t="s">
        <v>22</v>
      </c>
      <c r="N366" t="s">
        <v>48</v>
      </c>
      <c r="O366">
        <v>4.9000000000000004</v>
      </c>
      <c r="P366">
        <f>VLOOKUP(Table2[[#This Row],[Product_ID]],Table1[#All],8,TRUE)</f>
        <v>0</v>
      </c>
    </row>
    <row r="367" spans="1:16" x14ac:dyDescent="0.3">
      <c r="A367" t="s">
        <v>944</v>
      </c>
      <c r="B367" s="5" t="s">
        <v>945</v>
      </c>
      <c r="C367" s="3" t="str">
        <f t="shared" si="5"/>
        <v>09-12-2024</v>
      </c>
      <c r="D367" t="s">
        <v>16</v>
      </c>
      <c r="E367" t="s">
        <v>946</v>
      </c>
      <c r="F367" t="s">
        <v>57</v>
      </c>
      <c r="G367" t="s">
        <v>19</v>
      </c>
      <c r="H367" t="s">
        <v>30</v>
      </c>
      <c r="I367">
        <v>2</v>
      </c>
      <c r="J367">
        <v>6117</v>
      </c>
      <c r="K367" s="7">
        <v>0.05</v>
      </c>
      <c r="L367" t="s">
        <v>31</v>
      </c>
      <c r="M367" t="s">
        <v>22</v>
      </c>
      <c r="N367" t="s">
        <v>59</v>
      </c>
      <c r="O367">
        <v>4.5999999999999996</v>
      </c>
      <c r="P367">
        <f>VLOOKUP(Table2[[#This Row],[Product_ID]],Table1[#All],8,TRUE)</f>
        <v>900</v>
      </c>
    </row>
    <row r="368" spans="1:16" x14ac:dyDescent="0.3">
      <c r="A368" t="s">
        <v>947</v>
      </c>
      <c r="B368" s="5" t="s">
        <v>948</v>
      </c>
      <c r="C368" s="3" t="str">
        <f t="shared" si="5"/>
        <v>25-09-2023</v>
      </c>
      <c r="D368" t="s">
        <v>91</v>
      </c>
      <c r="E368" t="s">
        <v>946</v>
      </c>
      <c r="F368" t="s">
        <v>73</v>
      </c>
      <c r="G368" t="s">
        <v>19</v>
      </c>
      <c r="H368" t="s">
        <v>30</v>
      </c>
      <c r="I368">
        <v>3</v>
      </c>
      <c r="J368">
        <v>7168</v>
      </c>
      <c r="K368" s="7">
        <v>0.2</v>
      </c>
      <c r="L368" t="s">
        <v>58</v>
      </c>
      <c r="M368" t="s">
        <v>39</v>
      </c>
      <c r="N368" t="s">
        <v>23</v>
      </c>
      <c r="P368">
        <f>VLOOKUP(Table2[[#This Row],[Product_ID]],Table1[#All],8,TRUE)</f>
        <v>900</v>
      </c>
    </row>
    <row r="369" spans="1:16" x14ac:dyDescent="0.3">
      <c r="A369" t="s">
        <v>949</v>
      </c>
      <c r="B369" s="5" t="s">
        <v>950</v>
      </c>
      <c r="C369" s="3" t="str">
        <f t="shared" si="5"/>
        <v>12-08-2024</v>
      </c>
      <c r="D369" t="s">
        <v>71</v>
      </c>
      <c r="E369" t="s">
        <v>398</v>
      </c>
      <c r="F369" t="s">
        <v>73</v>
      </c>
      <c r="G369" t="s">
        <v>37</v>
      </c>
      <c r="H369" t="s">
        <v>30</v>
      </c>
      <c r="I369">
        <v>2</v>
      </c>
      <c r="J369">
        <v>5155</v>
      </c>
      <c r="K369" s="7">
        <v>0.05</v>
      </c>
      <c r="L369" t="s">
        <v>31</v>
      </c>
      <c r="M369" t="s">
        <v>39</v>
      </c>
      <c r="N369" t="s">
        <v>32</v>
      </c>
      <c r="O369">
        <v>3.1</v>
      </c>
      <c r="P369">
        <f>VLOOKUP(Table2[[#This Row],[Product_ID]],Table1[#All],8,TRUE)</f>
        <v>700</v>
      </c>
    </row>
    <row r="370" spans="1:16" x14ac:dyDescent="0.3">
      <c r="A370" t="s">
        <v>951</v>
      </c>
      <c r="B370" s="5" t="s">
        <v>952</v>
      </c>
      <c r="C370" s="3" t="str">
        <f t="shared" si="5"/>
        <v>22-10-2023</v>
      </c>
      <c r="D370" t="s">
        <v>131</v>
      </c>
      <c r="E370" t="s">
        <v>880</v>
      </c>
      <c r="F370" t="s">
        <v>18</v>
      </c>
      <c r="G370" t="s">
        <v>29</v>
      </c>
      <c r="H370" t="s">
        <v>30</v>
      </c>
      <c r="I370">
        <v>3</v>
      </c>
      <c r="J370">
        <v>3594</v>
      </c>
      <c r="K370" s="7">
        <v>0.1</v>
      </c>
      <c r="L370" t="s">
        <v>21</v>
      </c>
      <c r="M370" t="s">
        <v>22</v>
      </c>
      <c r="N370" t="s">
        <v>23</v>
      </c>
      <c r="O370">
        <v>4.4000000000000004</v>
      </c>
      <c r="P370">
        <f>VLOOKUP(Table2[[#This Row],[Product_ID]],Table1[#All],8,TRUE)</f>
        <v>1200</v>
      </c>
    </row>
    <row r="371" spans="1:16" x14ac:dyDescent="0.3">
      <c r="A371" t="s">
        <v>953</v>
      </c>
      <c r="B371" s="5" t="s">
        <v>954</v>
      </c>
      <c r="C371" s="3" t="str">
        <f t="shared" si="5"/>
        <v>21-04-2024</v>
      </c>
      <c r="D371" t="s">
        <v>84</v>
      </c>
      <c r="E371" t="s">
        <v>918</v>
      </c>
      <c r="F371" t="s">
        <v>57</v>
      </c>
      <c r="G371" t="s">
        <v>29</v>
      </c>
      <c r="H371" t="s">
        <v>77</v>
      </c>
      <c r="I371">
        <v>3</v>
      </c>
      <c r="J371">
        <v>4218</v>
      </c>
      <c r="K371" s="7">
        <v>0.05</v>
      </c>
      <c r="L371" t="s">
        <v>58</v>
      </c>
      <c r="M371" t="s">
        <v>39</v>
      </c>
      <c r="N371" t="s">
        <v>32</v>
      </c>
      <c r="O371">
        <v>4.3</v>
      </c>
      <c r="P371">
        <f>VLOOKUP(Table2[[#This Row],[Product_ID]],Table1[#All],8,TRUE)</f>
        <v>0</v>
      </c>
    </row>
    <row r="372" spans="1:16" x14ac:dyDescent="0.3">
      <c r="A372" t="s">
        <v>477</v>
      </c>
      <c r="B372" s="5" t="s">
        <v>955</v>
      </c>
      <c r="C372" s="3" t="str">
        <f t="shared" si="5"/>
        <v>07-06-2023</v>
      </c>
      <c r="D372" t="s">
        <v>26</v>
      </c>
      <c r="E372" t="s">
        <v>348</v>
      </c>
      <c r="F372" t="s">
        <v>64</v>
      </c>
      <c r="G372" t="s">
        <v>29</v>
      </c>
      <c r="H372" t="s">
        <v>20</v>
      </c>
      <c r="I372">
        <v>3</v>
      </c>
      <c r="J372">
        <v>9831</v>
      </c>
      <c r="K372" s="7">
        <v>0</v>
      </c>
      <c r="L372" t="s">
        <v>21</v>
      </c>
      <c r="M372" t="s">
        <v>39</v>
      </c>
      <c r="N372" t="s">
        <v>32</v>
      </c>
      <c r="O372">
        <v>4.9000000000000004</v>
      </c>
      <c r="P372">
        <f>VLOOKUP(Table2[[#This Row],[Product_ID]],Table1[#All],8,TRUE)</f>
        <v>900</v>
      </c>
    </row>
    <row r="373" spans="1:16" x14ac:dyDescent="0.3">
      <c r="A373" t="s">
        <v>956</v>
      </c>
      <c r="B373" s="5" t="s">
        <v>957</v>
      </c>
      <c r="C373" s="3" t="str">
        <f t="shared" si="5"/>
        <v>26-02-2023</v>
      </c>
      <c r="D373" t="s">
        <v>80</v>
      </c>
      <c r="E373" t="s">
        <v>958</v>
      </c>
      <c r="F373" t="s">
        <v>64</v>
      </c>
      <c r="G373" t="s">
        <v>37</v>
      </c>
      <c r="H373" t="s">
        <v>30</v>
      </c>
      <c r="I373">
        <v>4</v>
      </c>
      <c r="J373">
        <v>7084</v>
      </c>
      <c r="K373" s="7">
        <v>0.2</v>
      </c>
      <c r="L373" t="s">
        <v>21</v>
      </c>
      <c r="M373" t="s">
        <v>39</v>
      </c>
      <c r="N373" t="s">
        <v>59</v>
      </c>
      <c r="P373">
        <f>VLOOKUP(Table2[[#This Row],[Product_ID]],Table1[#All],8,TRUE)</f>
        <v>500</v>
      </c>
    </row>
    <row r="374" spans="1:16" x14ac:dyDescent="0.3">
      <c r="A374" t="s">
        <v>959</v>
      </c>
      <c r="B374" s="5" t="s">
        <v>960</v>
      </c>
      <c r="C374" s="3" t="str">
        <f t="shared" si="5"/>
        <v>10-05-2023</v>
      </c>
      <c r="D374" t="s">
        <v>114</v>
      </c>
      <c r="E374" t="s">
        <v>943</v>
      </c>
      <c r="F374" t="s">
        <v>18</v>
      </c>
      <c r="G374" t="s">
        <v>19</v>
      </c>
      <c r="H374" t="s">
        <v>20</v>
      </c>
      <c r="I374">
        <v>3</v>
      </c>
      <c r="J374">
        <v>4199</v>
      </c>
      <c r="K374" s="7">
        <v>0.15</v>
      </c>
      <c r="L374" t="s">
        <v>31</v>
      </c>
      <c r="M374" t="s">
        <v>39</v>
      </c>
      <c r="N374" t="s">
        <v>59</v>
      </c>
      <c r="P374">
        <f>VLOOKUP(Table2[[#This Row],[Product_ID]],Table1[#All],8,TRUE)</f>
        <v>0</v>
      </c>
    </row>
    <row r="375" spans="1:16" x14ac:dyDescent="0.3">
      <c r="A375" t="s">
        <v>961</v>
      </c>
      <c r="B375" s="5" t="s">
        <v>542</v>
      </c>
      <c r="C375" s="3" t="str">
        <f t="shared" si="5"/>
        <v>12-10-2023</v>
      </c>
      <c r="D375" t="s">
        <v>46</v>
      </c>
      <c r="E375" t="s">
        <v>400</v>
      </c>
      <c r="F375" t="s">
        <v>18</v>
      </c>
      <c r="G375" t="s">
        <v>19</v>
      </c>
      <c r="H375" t="s">
        <v>99</v>
      </c>
      <c r="I375">
        <v>4</v>
      </c>
      <c r="J375">
        <v>5488</v>
      </c>
      <c r="K375" s="7">
        <v>0</v>
      </c>
      <c r="L375" t="s">
        <v>31</v>
      </c>
      <c r="M375" t="s">
        <v>22</v>
      </c>
      <c r="N375" t="s">
        <v>59</v>
      </c>
      <c r="O375">
        <v>3.3</v>
      </c>
      <c r="P375">
        <f>VLOOKUP(Table2[[#This Row],[Product_ID]],Table1[#All],8,TRUE)</f>
        <v>700</v>
      </c>
    </row>
    <row r="376" spans="1:16" x14ac:dyDescent="0.3">
      <c r="A376" t="s">
        <v>962</v>
      </c>
      <c r="B376" s="5" t="s">
        <v>963</v>
      </c>
      <c r="C376" s="3" t="str">
        <f t="shared" si="5"/>
        <v>03-02-2023</v>
      </c>
      <c r="D376" t="s">
        <v>71</v>
      </c>
      <c r="E376" t="s">
        <v>964</v>
      </c>
      <c r="F376" t="s">
        <v>98</v>
      </c>
      <c r="G376" t="s">
        <v>37</v>
      </c>
      <c r="H376" t="s">
        <v>99</v>
      </c>
      <c r="I376">
        <v>4</v>
      </c>
      <c r="J376">
        <v>3201</v>
      </c>
      <c r="K376" s="7">
        <v>0.15</v>
      </c>
      <c r="L376" t="s">
        <v>58</v>
      </c>
      <c r="M376" t="s">
        <v>22</v>
      </c>
      <c r="N376" t="s">
        <v>23</v>
      </c>
      <c r="P376">
        <f>VLOOKUP(Table2[[#This Row],[Product_ID]],Table1[#All],8,TRUE)</f>
        <v>500</v>
      </c>
    </row>
    <row r="377" spans="1:16" x14ac:dyDescent="0.3">
      <c r="A377" t="s">
        <v>965</v>
      </c>
      <c r="B377" s="5" t="s">
        <v>966</v>
      </c>
      <c r="C377" s="3" t="str">
        <f t="shared" si="5"/>
        <v>21-09-2023</v>
      </c>
      <c r="D377" t="s">
        <v>62</v>
      </c>
      <c r="E377" t="s">
        <v>237</v>
      </c>
      <c r="F377" t="s">
        <v>57</v>
      </c>
      <c r="G377" t="s">
        <v>37</v>
      </c>
      <c r="H377" t="s">
        <v>77</v>
      </c>
      <c r="I377">
        <v>1</v>
      </c>
      <c r="J377">
        <v>6299</v>
      </c>
      <c r="K377" s="7">
        <v>0.15</v>
      </c>
      <c r="L377" t="s">
        <v>21</v>
      </c>
      <c r="M377" t="s">
        <v>39</v>
      </c>
      <c r="N377" t="s">
        <v>59</v>
      </c>
      <c r="O377">
        <v>4.2</v>
      </c>
      <c r="P377">
        <f>VLOOKUP(Table2[[#This Row],[Product_ID]],Table1[#All],8,TRUE)</f>
        <v>900</v>
      </c>
    </row>
    <row r="378" spans="1:16" x14ac:dyDescent="0.3">
      <c r="A378" t="s">
        <v>967</v>
      </c>
      <c r="B378" s="5" t="s">
        <v>968</v>
      </c>
      <c r="C378" s="3" t="str">
        <f t="shared" si="5"/>
        <v>10-04-2024</v>
      </c>
      <c r="D378" t="s">
        <v>91</v>
      </c>
      <c r="E378" t="s">
        <v>585</v>
      </c>
      <c r="F378" t="s">
        <v>73</v>
      </c>
      <c r="G378" t="s">
        <v>29</v>
      </c>
      <c r="H378" t="s">
        <v>77</v>
      </c>
      <c r="I378">
        <v>1</v>
      </c>
      <c r="J378">
        <v>1651</v>
      </c>
      <c r="K378" s="7">
        <v>0</v>
      </c>
      <c r="L378" t="s">
        <v>38</v>
      </c>
      <c r="M378" t="s">
        <v>39</v>
      </c>
      <c r="N378" t="s">
        <v>59</v>
      </c>
      <c r="O378">
        <v>3.2</v>
      </c>
      <c r="P378">
        <f>VLOOKUP(Table2[[#This Row],[Product_ID]],Table1[#All],8,TRUE)</f>
        <v>700</v>
      </c>
    </row>
    <row r="379" spans="1:16" x14ac:dyDescent="0.3">
      <c r="A379" t="s">
        <v>969</v>
      </c>
      <c r="B379" s="5" t="s">
        <v>970</v>
      </c>
      <c r="C379" s="3" t="str">
        <f t="shared" si="5"/>
        <v>31-01-2023</v>
      </c>
      <c r="D379" t="s">
        <v>127</v>
      </c>
      <c r="E379" t="s">
        <v>138</v>
      </c>
      <c r="F379" t="s">
        <v>73</v>
      </c>
      <c r="G379" t="s">
        <v>29</v>
      </c>
      <c r="H379" t="s">
        <v>30</v>
      </c>
      <c r="I379">
        <v>1</v>
      </c>
      <c r="J379">
        <v>7773</v>
      </c>
      <c r="K379" s="7">
        <v>0.2</v>
      </c>
      <c r="L379" t="s">
        <v>58</v>
      </c>
      <c r="M379" t="s">
        <v>22</v>
      </c>
      <c r="N379" t="s">
        <v>48</v>
      </c>
      <c r="O379">
        <v>4.9000000000000004</v>
      </c>
      <c r="P379">
        <f>VLOOKUP(Table2[[#This Row],[Product_ID]],Table1[#All],8,TRUE)</f>
        <v>1200</v>
      </c>
    </row>
    <row r="380" spans="1:16" x14ac:dyDescent="0.3">
      <c r="A380" t="s">
        <v>971</v>
      </c>
      <c r="B380" s="5" t="s">
        <v>972</v>
      </c>
      <c r="C380" s="3" t="str">
        <f t="shared" si="5"/>
        <v>19-05-2024</v>
      </c>
      <c r="D380" t="s">
        <v>26</v>
      </c>
      <c r="E380" t="s">
        <v>973</v>
      </c>
      <c r="F380" t="s">
        <v>28</v>
      </c>
      <c r="G380" t="s">
        <v>53</v>
      </c>
      <c r="H380" t="s">
        <v>30</v>
      </c>
      <c r="I380">
        <v>2</v>
      </c>
      <c r="J380">
        <v>8815</v>
      </c>
      <c r="K380" s="7">
        <v>0.1</v>
      </c>
      <c r="L380" t="s">
        <v>31</v>
      </c>
      <c r="M380" t="s">
        <v>22</v>
      </c>
      <c r="N380" t="s">
        <v>59</v>
      </c>
      <c r="P380">
        <f>VLOOKUP(Table2[[#This Row],[Product_ID]],Table1[#All],8,TRUE)</f>
        <v>700</v>
      </c>
    </row>
    <row r="381" spans="1:16" x14ac:dyDescent="0.3">
      <c r="A381" t="s">
        <v>974</v>
      </c>
      <c r="B381" s="5" t="s">
        <v>975</v>
      </c>
      <c r="C381" s="3" t="str">
        <f t="shared" si="5"/>
        <v>10-11-2024</v>
      </c>
      <c r="D381" t="s">
        <v>114</v>
      </c>
      <c r="E381" t="s">
        <v>976</v>
      </c>
      <c r="F381" t="s">
        <v>28</v>
      </c>
      <c r="G381" t="s">
        <v>53</v>
      </c>
      <c r="H381" t="s">
        <v>20</v>
      </c>
      <c r="I381">
        <v>3</v>
      </c>
      <c r="J381">
        <v>3266</v>
      </c>
      <c r="K381" s="7">
        <v>0.2</v>
      </c>
      <c r="L381" t="s">
        <v>38</v>
      </c>
      <c r="M381" t="s">
        <v>22</v>
      </c>
      <c r="N381" t="s">
        <v>59</v>
      </c>
      <c r="P381">
        <f>VLOOKUP(Table2[[#This Row],[Product_ID]],Table1[#All],8,TRUE)</f>
        <v>1200</v>
      </c>
    </row>
    <row r="382" spans="1:16" x14ac:dyDescent="0.3">
      <c r="A382" t="s">
        <v>867</v>
      </c>
      <c r="B382" s="5" t="s">
        <v>977</v>
      </c>
      <c r="C382" s="3" t="str">
        <f t="shared" si="5"/>
        <v>02-04-2024</v>
      </c>
      <c r="D382" t="s">
        <v>26</v>
      </c>
      <c r="E382" t="s">
        <v>856</v>
      </c>
      <c r="F382" t="s">
        <v>73</v>
      </c>
      <c r="G382" t="s">
        <v>37</v>
      </c>
      <c r="H382" t="s">
        <v>99</v>
      </c>
      <c r="I382">
        <v>1</v>
      </c>
      <c r="J382">
        <v>9510</v>
      </c>
      <c r="K382" s="7">
        <v>0.05</v>
      </c>
      <c r="L382" t="s">
        <v>31</v>
      </c>
      <c r="M382" t="s">
        <v>22</v>
      </c>
      <c r="N382" t="s">
        <v>48</v>
      </c>
      <c r="O382">
        <v>4.9000000000000004</v>
      </c>
      <c r="P382">
        <f>VLOOKUP(Table2[[#This Row],[Product_ID]],Table1[#All],8,TRUE)</f>
        <v>1500</v>
      </c>
    </row>
    <row r="383" spans="1:16" x14ac:dyDescent="0.3">
      <c r="A383" t="s">
        <v>978</v>
      </c>
      <c r="B383" s="5" t="s">
        <v>979</v>
      </c>
      <c r="C383" s="3" t="str">
        <f t="shared" si="5"/>
        <v>16-02-2023</v>
      </c>
      <c r="D383" t="s">
        <v>131</v>
      </c>
      <c r="E383" t="s">
        <v>72</v>
      </c>
      <c r="F383" t="s">
        <v>73</v>
      </c>
      <c r="G383" t="s">
        <v>29</v>
      </c>
      <c r="H383" t="s">
        <v>99</v>
      </c>
      <c r="I383">
        <v>4</v>
      </c>
      <c r="J383">
        <v>5462</v>
      </c>
      <c r="K383" s="7">
        <v>0.05</v>
      </c>
      <c r="L383" t="s">
        <v>31</v>
      </c>
      <c r="M383" t="s">
        <v>39</v>
      </c>
      <c r="N383" t="s">
        <v>23</v>
      </c>
      <c r="O383">
        <v>4.2</v>
      </c>
      <c r="P383">
        <f>VLOOKUP(Table2[[#This Row],[Product_ID]],Table1[#All],8,TRUE)</f>
        <v>0</v>
      </c>
    </row>
    <row r="384" spans="1:16" x14ac:dyDescent="0.3">
      <c r="A384" t="s">
        <v>86</v>
      </c>
      <c r="B384" s="5" t="s">
        <v>980</v>
      </c>
      <c r="C384" s="3" t="str">
        <f t="shared" si="5"/>
        <v>21-07-2023</v>
      </c>
      <c r="D384" t="s">
        <v>67</v>
      </c>
      <c r="E384" t="s">
        <v>384</v>
      </c>
      <c r="F384" t="s">
        <v>64</v>
      </c>
      <c r="G384" t="s">
        <v>29</v>
      </c>
      <c r="H384" t="s">
        <v>20</v>
      </c>
      <c r="I384">
        <v>2</v>
      </c>
      <c r="J384">
        <v>8655</v>
      </c>
      <c r="K384" s="7">
        <v>0.05</v>
      </c>
      <c r="L384" t="s">
        <v>38</v>
      </c>
      <c r="M384" t="s">
        <v>39</v>
      </c>
      <c r="N384" t="s">
        <v>48</v>
      </c>
      <c r="O384">
        <v>4.9000000000000004</v>
      </c>
      <c r="P384">
        <f>VLOOKUP(Table2[[#This Row],[Product_ID]],Table1[#All],8,TRUE)</f>
        <v>1500</v>
      </c>
    </row>
    <row r="385" spans="1:16" x14ac:dyDescent="0.3">
      <c r="A385" t="s">
        <v>981</v>
      </c>
      <c r="B385" s="5" t="s">
        <v>982</v>
      </c>
      <c r="C385" s="3" t="str">
        <f t="shared" si="5"/>
        <v>27-11-2023</v>
      </c>
      <c r="D385" t="s">
        <v>96</v>
      </c>
      <c r="E385" t="s">
        <v>983</v>
      </c>
      <c r="F385" t="s">
        <v>57</v>
      </c>
      <c r="G385" t="s">
        <v>19</v>
      </c>
      <c r="H385" t="s">
        <v>99</v>
      </c>
      <c r="I385">
        <v>4</v>
      </c>
      <c r="J385">
        <v>7677</v>
      </c>
      <c r="K385" s="7">
        <v>0.05</v>
      </c>
      <c r="L385" t="s">
        <v>21</v>
      </c>
      <c r="M385" t="s">
        <v>22</v>
      </c>
      <c r="N385" t="s">
        <v>59</v>
      </c>
      <c r="P385">
        <f>VLOOKUP(Table2[[#This Row],[Product_ID]],Table1[#All],8,TRUE)</f>
        <v>1200</v>
      </c>
    </row>
    <row r="386" spans="1:16" x14ac:dyDescent="0.3">
      <c r="A386" t="s">
        <v>984</v>
      </c>
      <c r="B386" s="5" t="s">
        <v>985</v>
      </c>
      <c r="C386" s="3" t="str">
        <f t="shared" ref="C386:C449" si="6">TEXT(B386,"dd-mm-yyyy")</f>
        <v>20-09-2023</v>
      </c>
      <c r="D386" t="s">
        <v>96</v>
      </c>
      <c r="E386" t="s">
        <v>778</v>
      </c>
      <c r="F386" t="s">
        <v>28</v>
      </c>
      <c r="G386" t="s">
        <v>37</v>
      </c>
      <c r="H386" t="s">
        <v>20</v>
      </c>
      <c r="I386">
        <v>5</v>
      </c>
      <c r="J386">
        <v>9764</v>
      </c>
      <c r="K386" s="7">
        <v>0.2</v>
      </c>
      <c r="L386" t="s">
        <v>38</v>
      </c>
      <c r="M386" t="s">
        <v>22</v>
      </c>
      <c r="N386" t="s">
        <v>59</v>
      </c>
      <c r="P386">
        <f>VLOOKUP(Table2[[#This Row],[Product_ID]],Table1[#All],8,TRUE)</f>
        <v>900</v>
      </c>
    </row>
    <row r="387" spans="1:16" x14ac:dyDescent="0.3">
      <c r="A387" t="s">
        <v>986</v>
      </c>
      <c r="B387" s="5" t="s">
        <v>344</v>
      </c>
      <c r="C387" s="3" t="str">
        <f t="shared" si="6"/>
        <v>04-02-2024</v>
      </c>
      <c r="D387" t="s">
        <v>26</v>
      </c>
      <c r="E387" t="s">
        <v>76</v>
      </c>
      <c r="F387" t="s">
        <v>18</v>
      </c>
      <c r="G387" t="s">
        <v>37</v>
      </c>
      <c r="H387" t="s">
        <v>30</v>
      </c>
      <c r="I387">
        <v>4</v>
      </c>
      <c r="J387">
        <v>5953</v>
      </c>
      <c r="K387" s="7">
        <v>0.2</v>
      </c>
      <c r="L387" t="s">
        <v>38</v>
      </c>
      <c r="M387" t="s">
        <v>39</v>
      </c>
      <c r="N387" t="s">
        <v>23</v>
      </c>
      <c r="O387">
        <v>4</v>
      </c>
      <c r="P387">
        <f>VLOOKUP(Table2[[#This Row],[Product_ID]],Table1[#All],8,TRUE)</f>
        <v>1500</v>
      </c>
    </row>
    <row r="388" spans="1:16" x14ac:dyDescent="0.3">
      <c r="A388" t="s">
        <v>987</v>
      </c>
      <c r="B388" s="5" t="s">
        <v>988</v>
      </c>
      <c r="C388" s="3" t="str">
        <f t="shared" si="6"/>
        <v>18-04-2024</v>
      </c>
      <c r="D388" t="s">
        <v>26</v>
      </c>
      <c r="E388" t="s">
        <v>325</v>
      </c>
      <c r="F388" t="s">
        <v>43</v>
      </c>
      <c r="G388" t="s">
        <v>29</v>
      </c>
      <c r="H388" t="s">
        <v>20</v>
      </c>
      <c r="I388">
        <v>4</v>
      </c>
      <c r="J388">
        <v>9277</v>
      </c>
      <c r="K388" s="7">
        <v>0.1</v>
      </c>
      <c r="L388" t="s">
        <v>21</v>
      </c>
      <c r="M388" t="s">
        <v>39</v>
      </c>
      <c r="N388" t="s">
        <v>59</v>
      </c>
      <c r="P388">
        <f>VLOOKUP(Table2[[#This Row],[Product_ID]],Table1[#All],8,TRUE)</f>
        <v>1200</v>
      </c>
    </row>
    <row r="389" spans="1:16" x14ac:dyDescent="0.3">
      <c r="A389" t="s">
        <v>989</v>
      </c>
      <c r="B389" s="5" t="s">
        <v>990</v>
      </c>
      <c r="C389" s="3" t="str">
        <f t="shared" si="6"/>
        <v>04-10-2024</v>
      </c>
      <c r="D389" t="s">
        <v>127</v>
      </c>
      <c r="E389" t="s">
        <v>819</v>
      </c>
      <c r="F389" t="s">
        <v>98</v>
      </c>
      <c r="G389" t="s">
        <v>29</v>
      </c>
      <c r="H389" t="s">
        <v>99</v>
      </c>
      <c r="I389">
        <v>5</v>
      </c>
      <c r="J389">
        <v>5269</v>
      </c>
      <c r="K389" s="7">
        <v>0.05</v>
      </c>
      <c r="L389" t="s">
        <v>38</v>
      </c>
      <c r="M389" t="s">
        <v>39</v>
      </c>
      <c r="N389" t="s">
        <v>48</v>
      </c>
      <c r="O389">
        <v>3.6</v>
      </c>
      <c r="P389">
        <f>VLOOKUP(Table2[[#This Row],[Product_ID]],Table1[#All],8,TRUE)</f>
        <v>0</v>
      </c>
    </row>
    <row r="390" spans="1:16" x14ac:dyDescent="0.3">
      <c r="A390" t="s">
        <v>910</v>
      </c>
      <c r="B390" s="5" t="s">
        <v>180</v>
      </c>
      <c r="C390" s="3" t="str">
        <f t="shared" si="6"/>
        <v>08-04-2024</v>
      </c>
      <c r="D390" t="s">
        <v>131</v>
      </c>
      <c r="E390" t="s">
        <v>991</v>
      </c>
      <c r="F390" t="s">
        <v>64</v>
      </c>
      <c r="G390" t="s">
        <v>19</v>
      </c>
      <c r="H390" t="s">
        <v>77</v>
      </c>
      <c r="I390">
        <v>5</v>
      </c>
      <c r="J390">
        <v>8457</v>
      </c>
      <c r="K390" s="7">
        <v>0.1</v>
      </c>
      <c r="L390" t="s">
        <v>58</v>
      </c>
      <c r="M390" t="s">
        <v>39</v>
      </c>
      <c r="N390" t="s">
        <v>32</v>
      </c>
      <c r="P390">
        <f>VLOOKUP(Table2[[#This Row],[Product_ID]],Table1[#All],8,TRUE)</f>
        <v>0</v>
      </c>
    </row>
    <row r="391" spans="1:16" x14ac:dyDescent="0.3">
      <c r="A391" t="s">
        <v>992</v>
      </c>
      <c r="B391" s="5" t="s">
        <v>344</v>
      </c>
      <c r="C391" s="3" t="str">
        <f t="shared" si="6"/>
        <v>04-02-2024</v>
      </c>
      <c r="D391" t="s">
        <v>26</v>
      </c>
      <c r="E391" t="s">
        <v>936</v>
      </c>
      <c r="F391" t="s">
        <v>18</v>
      </c>
      <c r="G391" t="s">
        <v>37</v>
      </c>
      <c r="H391" t="s">
        <v>77</v>
      </c>
      <c r="I391">
        <v>3</v>
      </c>
      <c r="J391">
        <v>5217</v>
      </c>
      <c r="K391" s="7">
        <v>0.15</v>
      </c>
      <c r="L391" t="s">
        <v>31</v>
      </c>
      <c r="M391" t="s">
        <v>22</v>
      </c>
      <c r="N391" t="s">
        <v>32</v>
      </c>
      <c r="O391">
        <v>4.8</v>
      </c>
      <c r="P391">
        <f>VLOOKUP(Table2[[#This Row],[Product_ID]],Table1[#All],8,TRUE)</f>
        <v>1200</v>
      </c>
    </row>
    <row r="392" spans="1:16" x14ac:dyDescent="0.3">
      <c r="A392" t="s">
        <v>993</v>
      </c>
      <c r="B392" s="5" t="s">
        <v>994</v>
      </c>
      <c r="C392" s="3" t="str">
        <f t="shared" si="6"/>
        <v>17-04-2024</v>
      </c>
      <c r="D392" t="s">
        <v>51</v>
      </c>
      <c r="E392" t="s">
        <v>273</v>
      </c>
      <c r="F392" t="s">
        <v>64</v>
      </c>
      <c r="G392" t="s">
        <v>19</v>
      </c>
      <c r="H392" t="s">
        <v>99</v>
      </c>
      <c r="I392">
        <v>2</v>
      </c>
      <c r="J392">
        <v>7357</v>
      </c>
      <c r="K392" s="7">
        <v>0.15</v>
      </c>
      <c r="L392" t="s">
        <v>21</v>
      </c>
      <c r="M392" t="s">
        <v>22</v>
      </c>
      <c r="N392" t="s">
        <v>32</v>
      </c>
      <c r="P392">
        <f>VLOOKUP(Table2[[#This Row],[Product_ID]],Table1[#All],8,TRUE)</f>
        <v>700</v>
      </c>
    </row>
    <row r="393" spans="1:16" x14ac:dyDescent="0.3">
      <c r="A393" t="s">
        <v>995</v>
      </c>
      <c r="B393" s="5" t="s">
        <v>272</v>
      </c>
      <c r="C393" s="3" t="str">
        <f t="shared" si="6"/>
        <v>18-12-2023</v>
      </c>
      <c r="D393" t="s">
        <v>91</v>
      </c>
      <c r="E393" t="s">
        <v>996</v>
      </c>
      <c r="F393" t="s">
        <v>18</v>
      </c>
      <c r="G393" t="s">
        <v>29</v>
      </c>
      <c r="H393" t="s">
        <v>99</v>
      </c>
      <c r="I393">
        <v>3</v>
      </c>
      <c r="J393">
        <v>4332</v>
      </c>
      <c r="K393" s="7">
        <v>0.15</v>
      </c>
      <c r="L393" t="s">
        <v>58</v>
      </c>
      <c r="M393" t="s">
        <v>22</v>
      </c>
      <c r="N393" t="s">
        <v>23</v>
      </c>
      <c r="P393">
        <f>VLOOKUP(Table2[[#This Row],[Product_ID]],Table1[#All],8,TRUE)</f>
        <v>1500</v>
      </c>
    </row>
    <row r="394" spans="1:16" x14ac:dyDescent="0.3">
      <c r="A394" t="s">
        <v>997</v>
      </c>
      <c r="B394" s="5" t="s">
        <v>998</v>
      </c>
      <c r="C394" s="3" t="str">
        <f t="shared" si="6"/>
        <v>15-08-2023</v>
      </c>
      <c r="D394" t="s">
        <v>131</v>
      </c>
      <c r="E394" t="s">
        <v>198</v>
      </c>
      <c r="F394" t="s">
        <v>18</v>
      </c>
      <c r="G394" t="s">
        <v>29</v>
      </c>
      <c r="H394" t="s">
        <v>20</v>
      </c>
      <c r="I394">
        <v>5</v>
      </c>
      <c r="J394">
        <v>1709</v>
      </c>
      <c r="K394" s="7">
        <v>0.05</v>
      </c>
      <c r="L394" t="s">
        <v>38</v>
      </c>
      <c r="M394" t="s">
        <v>39</v>
      </c>
      <c r="N394" t="s">
        <v>23</v>
      </c>
      <c r="O394">
        <v>4.5</v>
      </c>
      <c r="P394">
        <f>VLOOKUP(Table2[[#This Row],[Product_ID]],Table1[#All],8,TRUE)</f>
        <v>0</v>
      </c>
    </row>
    <row r="395" spans="1:16" x14ac:dyDescent="0.3">
      <c r="A395" t="s">
        <v>999</v>
      </c>
      <c r="B395" s="5" t="s">
        <v>1000</v>
      </c>
      <c r="C395" s="3" t="str">
        <f t="shared" si="6"/>
        <v>16-09-2023</v>
      </c>
      <c r="D395" t="s">
        <v>131</v>
      </c>
      <c r="E395" t="s">
        <v>1001</v>
      </c>
      <c r="F395" t="s">
        <v>18</v>
      </c>
      <c r="G395" t="s">
        <v>29</v>
      </c>
      <c r="H395" t="s">
        <v>30</v>
      </c>
      <c r="I395">
        <v>1</v>
      </c>
      <c r="J395">
        <v>6289</v>
      </c>
      <c r="K395" s="7">
        <v>0.1</v>
      </c>
      <c r="L395" t="s">
        <v>21</v>
      </c>
      <c r="M395" t="s">
        <v>39</v>
      </c>
      <c r="N395" t="s">
        <v>48</v>
      </c>
      <c r="O395">
        <v>4.5999999999999996</v>
      </c>
      <c r="P395">
        <f>VLOOKUP(Table2[[#This Row],[Product_ID]],Table1[#All],8,TRUE)</f>
        <v>1500</v>
      </c>
    </row>
    <row r="396" spans="1:16" x14ac:dyDescent="0.3">
      <c r="A396" t="s">
        <v>1002</v>
      </c>
      <c r="B396" s="5" t="s">
        <v>1003</v>
      </c>
      <c r="C396" s="3" t="str">
        <f t="shared" si="6"/>
        <v>27-08-2023</v>
      </c>
      <c r="D396" t="s">
        <v>16</v>
      </c>
      <c r="E396" t="s">
        <v>198</v>
      </c>
      <c r="F396" t="s">
        <v>43</v>
      </c>
      <c r="G396" t="s">
        <v>53</v>
      </c>
      <c r="H396" t="s">
        <v>20</v>
      </c>
      <c r="I396">
        <v>3</v>
      </c>
      <c r="J396">
        <v>9411</v>
      </c>
      <c r="K396" s="7">
        <v>0.2</v>
      </c>
      <c r="L396" t="s">
        <v>31</v>
      </c>
      <c r="M396" t="s">
        <v>22</v>
      </c>
      <c r="N396" t="s">
        <v>59</v>
      </c>
      <c r="O396">
        <v>3.8</v>
      </c>
      <c r="P396">
        <f>VLOOKUP(Table2[[#This Row],[Product_ID]],Table1[#All],8,TRUE)</f>
        <v>0</v>
      </c>
    </row>
    <row r="397" spans="1:16" x14ac:dyDescent="0.3">
      <c r="A397" t="s">
        <v>202</v>
      </c>
      <c r="B397" s="5" t="s">
        <v>1004</v>
      </c>
      <c r="C397" s="3" t="str">
        <f t="shared" si="6"/>
        <v>23-03-2024</v>
      </c>
      <c r="D397" t="s">
        <v>62</v>
      </c>
      <c r="E397" t="s">
        <v>124</v>
      </c>
      <c r="F397" t="s">
        <v>64</v>
      </c>
      <c r="G397" t="s">
        <v>53</v>
      </c>
      <c r="H397" t="s">
        <v>99</v>
      </c>
      <c r="I397">
        <v>2</v>
      </c>
      <c r="J397">
        <v>1108</v>
      </c>
      <c r="K397" s="7">
        <v>0.2</v>
      </c>
      <c r="L397" t="s">
        <v>21</v>
      </c>
      <c r="M397" t="s">
        <v>39</v>
      </c>
      <c r="N397" t="s">
        <v>32</v>
      </c>
      <c r="P397">
        <f>VLOOKUP(Table2[[#This Row],[Product_ID]],Table1[#All],8,TRUE)</f>
        <v>0</v>
      </c>
    </row>
    <row r="398" spans="1:16" x14ac:dyDescent="0.3">
      <c r="A398" t="s">
        <v>1005</v>
      </c>
      <c r="B398" s="5" t="s">
        <v>1006</v>
      </c>
      <c r="C398" s="3" t="str">
        <f t="shared" si="6"/>
        <v>24-05-2024</v>
      </c>
      <c r="D398" t="s">
        <v>67</v>
      </c>
      <c r="E398" t="s">
        <v>1007</v>
      </c>
      <c r="F398" t="s">
        <v>57</v>
      </c>
      <c r="G398" t="s">
        <v>19</v>
      </c>
      <c r="H398" t="s">
        <v>99</v>
      </c>
      <c r="I398">
        <v>3</v>
      </c>
      <c r="J398">
        <v>3975</v>
      </c>
      <c r="K398" s="7">
        <v>0.15</v>
      </c>
      <c r="L398" t="s">
        <v>38</v>
      </c>
      <c r="M398" t="s">
        <v>22</v>
      </c>
      <c r="N398" t="s">
        <v>23</v>
      </c>
      <c r="O398">
        <v>4</v>
      </c>
      <c r="P398">
        <f>VLOOKUP(Table2[[#This Row],[Product_ID]],Table1[#All],8,TRUE)</f>
        <v>1200</v>
      </c>
    </row>
    <row r="399" spans="1:16" x14ac:dyDescent="0.3">
      <c r="A399" t="s">
        <v>1008</v>
      </c>
      <c r="B399" s="5" t="s">
        <v>841</v>
      </c>
      <c r="C399" s="3" t="str">
        <f t="shared" si="6"/>
        <v>30-04-2024</v>
      </c>
      <c r="D399" t="s">
        <v>80</v>
      </c>
      <c r="E399" t="s">
        <v>1009</v>
      </c>
      <c r="F399" t="s">
        <v>64</v>
      </c>
      <c r="G399" t="s">
        <v>29</v>
      </c>
      <c r="H399" t="s">
        <v>30</v>
      </c>
      <c r="I399">
        <v>3</v>
      </c>
      <c r="J399">
        <v>1494</v>
      </c>
      <c r="K399" s="7">
        <v>0.05</v>
      </c>
      <c r="L399" t="s">
        <v>58</v>
      </c>
      <c r="M399" t="s">
        <v>22</v>
      </c>
      <c r="N399" t="s">
        <v>59</v>
      </c>
      <c r="O399">
        <v>4.5</v>
      </c>
      <c r="P399">
        <f>VLOOKUP(Table2[[#This Row],[Product_ID]],Table1[#All],8,TRUE)</f>
        <v>500</v>
      </c>
    </row>
    <row r="400" spans="1:16" x14ac:dyDescent="0.3">
      <c r="A400" t="s">
        <v>1010</v>
      </c>
      <c r="B400" s="5" t="s">
        <v>1011</v>
      </c>
      <c r="C400" s="3" t="str">
        <f t="shared" si="6"/>
        <v>13-05-2024</v>
      </c>
      <c r="D400" t="s">
        <v>131</v>
      </c>
      <c r="E400" t="s">
        <v>93</v>
      </c>
      <c r="F400" t="s">
        <v>64</v>
      </c>
      <c r="G400" t="s">
        <v>37</v>
      </c>
      <c r="H400" t="s">
        <v>20</v>
      </c>
      <c r="I400">
        <v>5</v>
      </c>
      <c r="J400">
        <v>8178</v>
      </c>
      <c r="K400" s="7">
        <v>0.2</v>
      </c>
      <c r="L400" t="s">
        <v>21</v>
      </c>
      <c r="M400" t="s">
        <v>39</v>
      </c>
      <c r="N400" t="s">
        <v>59</v>
      </c>
      <c r="O400">
        <v>4.9000000000000004</v>
      </c>
      <c r="P400">
        <f>VLOOKUP(Table2[[#This Row],[Product_ID]],Table1[#All],8,TRUE)</f>
        <v>700</v>
      </c>
    </row>
    <row r="401" spans="1:16" x14ac:dyDescent="0.3">
      <c r="A401" t="s">
        <v>1012</v>
      </c>
      <c r="B401" s="5" t="s">
        <v>1013</v>
      </c>
      <c r="C401" s="3" t="str">
        <f t="shared" si="6"/>
        <v>19-05-2024</v>
      </c>
      <c r="D401" t="s">
        <v>35</v>
      </c>
      <c r="E401" t="s">
        <v>724</v>
      </c>
      <c r="F401" t="s">
        <v>28</v>
      </c>
      <c r="G401" t="s">
        <v>53</v>
      </c>
      <c r="H401" t="s">
        <v>30</v>
      </c>
      <c r="I401">
        <v>1</v>
      </c>
      <c r="J401">
        <v>4393</v>
      </c>
      <c r="K401" s="7">
        <v>0.15</v>
      </c>
      <c r="L401" t="s">
        <v>58</v>
      </c>
      <c r="M401" t="s">
        <v>39</v>
      </c>
      <c r="N401" t="s">
        <v>48</v>
      </c>
      <c r="P401">
        <f>VLOOKUP(Table2[[#This Row],[Product_ID]],Table1[#All],8,TRUE)</f>
        <v>900</v>
      </c>
    </row>
    <row r="402" spans="1:16" x14ac:dyDescent="0.3">
      <c r="A402" t="s">
        <v>1014</v>
      </c>
      <c r="B402" s="5" t="s">
        <v>1015</v>
      </c>
      <c r="C402" s="3" t="str">
        <f t="shared" si="6"/>
        <v>05-12-2023</v>
      </c>
      <c r="D402" t="s">
        <v>96</v>
      </c>
      <c r="E402" t="s">
        <v>154</v>
      </c>
      <c r="F402" t="s">
        <v>57</v>
      </c>
      <c r="G402" t="s">
        <v>29</v>
      </c>
      <c r="H402" t="s">
        <v>30</v>
      </c>
      <c r="I402">
        <v>5</v>
      </c>
      <c r="J402">
        <v>4383</v>
      </c>
      <c r="K402" s="7">
        <v>0.1</v>
      </c>
      <c r="L402" t="s">
        <v>31</v>
      </c>
      <c r="M402" t="s">
        <v>39</v>
      </c>
      <c r="N402" t="s">
        <v>59</v>
      </c>
      <c r="P402">
        <f>VLOOKUP(Table2[[#This Row],[Product_ID]],Table1[#All],8,TRUE)</f>
        <v>900</v>
      </c>
    </row>
    <row r="403" spans="1:16" x14ac:dyDescent="0.3">
      <c r="A403" t="s">
        <v>1016</v>
      </c>
      <c r="B403" s="5" t="s">
        <v>1017</v>
      </c>
      <c r="C403" s="3" t="str">
        <f t="shared" si="6"/>
        <v>20-11-2023</v>
      </c>
      <c r="D403" t="s">
        <v>91</v>
      </c>
      <c r="E403" t="s">
        <v>445</v>
      </c>
      <c r="F403" t="s">
        <v>57</v>
      </c>
      <c r="G403" t="s">
        <v>53</v>
      </c>
      <c r="H403" t="s">
        <v>77</v>
      </c>
      <c r="I403">
        <v>5</v>
      </c>
      <c r="J403">
        <v>2995</v>
      </c>
      <c r="K403" s="7">
        <v>0.2</v>
      </c>
      <c r="L403" t="s">
        <v>21</v>
      </c>
      <c r="M403" t="s">
        <v>39</v>
      </c>
      <c r="N403" t="s">
        <v>32</v>
      </c>
      <c r="O403">
        <v>4.9000000000000004</v>
      </c>
      <c r="P403">
        <f>VLOOKUP(Table2[[#This Row],[Product_ID]],Table1[#All],8,TRUE)</f>
        <v>1500</v>
      </c>
    </row>
    <row r="404" spans="1:16" x14ac:dyDescent="0.3">
      <c r="A404" t="s">
        <v>1018</v>
      </c>
      <c r="B404" s="5" t="s">
        <v>1019</v>
      </c>
      <c r="C404" s="3" t="str">
        <f t="shared" si="6"/>
        <v>06-08-2023</v>
      </c>
      <c r="D404" t="s">
        <v>46</v>
      </c>
      <c r="E404" t="s">
        <v>674</v>
      </c>
      <c r="F404" t="s">
        <v>43</v>
      </c>
      <c r="G404" t="s">
        <v>37</v>
      </c>
      <c r="H404" t="s">
        <v>30</v>
      </c>
      <c r="I404">
        <v>3</v>
      </c>
      <c r="J404">
        <v>3758</v>
      </c>
      <c r="K404" s="7">
        <v>0.2</v>
      </c>
      <c r="L404" t="s">
        <v>31</v>
      </c>
      <c r="M404" t="s">
        <v>39</v>
      </c>
      <c r="N404" t="s">
        <v>48</v>
      </c>
      <c r="P404">
        <f>VLOOKUP(Table2[[#This Row],[Product_ID]],Table1[#All],8,TRUE)</f>
        <v>1200</v>
      </c>
    </row>
    <row r="405" spans="1:16" x14ac:dyDescent="0.3">
      <c r="A405" t="s">
        <v>1020</v>
      </c>
      <c r="B405" s="5" t="s">
        <v>1021</v>
      </c>
      <c r="C405" s="3" t="str">
        <f t="shared" si="6"/>
        <v>26-12-2023</v>
      </c>
      <c r="D405" t="s">
        <v>71</v>
      </c>
      <c r="E405" t="s">
        <v>425</v>
      </c>
      <c r="F405" t="s">
        <v>57</v>
      </c>
      <c r="G405" t="s">
        <v>53</v>
      </c>
      <c r="H405" t="s">
        <v>77</v>
      </c>
      <c r="I405">
        <v>2</v>
      </c>
      <c r="J405">
        <v>5917</v>
      </c>
      <c r="K405" s="7">
        <v>0.2</v>
      </c>
      <c r="L405" t="s">
        <v>38</v>
      </c>
      <c r="M405" t="s">
        <v>22</v>
      </c>
      <c r="N405" t="s">
        <v>59</v>
      </c>
      <c r="P405">
        <f>VLOOKUP(Table2[[#This Row],[Product_ID]],Table1[#All],8,TRUE)</f>
        <v>1500</v>
      </c>
    </row>
    <row r="406" spans="1:16" x14ac:dyDescent="0.3">
      <c r="A406" t="s">
        <v>1022</v>
      </c>
      <c r="B406" s="5" t="s">
        <v>1023</v>
      </c>
      <c r="C406" s="3" t="str">
        <f t="shared" si="6"/>
        <v>18-08-2023</v>
      </c>
      <c r="D406" t="s">
        <v>131</v>
      </c>
      <c r="E406" t="s">
        <v>1024</v>
      </c>
      <c r="F406" t="s">
        <v>73</v>
      </c>
      <c r="G406" t="s">
        <v>53</v>
      </c>
      <c r="H406" t="s">
        <v>77</v>
      </c>
      <c r="I406">
        <v>5</v>
      </c>
      <c r="J406">
        <v>9454</v>
      </c>
      <c r="K406" s="7">
        <v>0.2</v>
      </c>
      <c r="L406" t="s">
        <v>21</v>
      </c>
      <c r="M406" t="s">
        <v>22</v>
      </c>
      <c r="N406" t="s">
        <v>23</v>
      </c>
      <c r="O406">
        <v>3.8</v>
      </c>
      <c r="P406">
        <f>VLOOKUP(Table2[[#This Row],[Product_ID]],Table1[#All],8,TRUE)</f>
        <v>500</v>
      </c>
    </row>
    <row r="407" spans="1:16" x14ac:dyDescent="0.3">
      <c r="A407" t="s">
        <v>1025</v>
      </c>
      <c r="B407" s="5" t="s">
        <v>1026</v>
      </c>
      <c r="C407" s="3" t="str">
        <f t="shared" si="6"/>
        <v>25-07-2024</v>
      </c>
      <c r="D407" t="s">
        <v>26</v>
      </c>
      <c r="E407" t="s">
        <v>1027</v>
      </c>
      <c r="F407" t="s">
        <v>64</v>
      </c>
      <c r="G407" t="s">
        <v>19</v>
      </c>
      <c r="H407" t="s">
        <v>20</v>
      </c>
      <c r="I407">
        <v>1</v>
      </c>
      <c r="J407">
        <v>5234</v>
      </c>
      <c r="K407" s="7">
        <v>0.2</v>
      </c>
      <c r="L407" t="s">
        <v>31</v>
      </c>
      <c r="M407" t="s">
        <v>22</v>
      </c>
      <c r="N407" t="s">
        <v>59</v>
      </c>
      <c r="P407">
        <f>VLOOKUP(Table2[[#This Row],[Product_ID]],Table1[#All],8,TRUE)</f>
        <v>1500</v>
      </c>
    </row>
    <row r="408" spans="1:16" x14ac:dyDescent="0.3">
      <c r="A408" t="s">
        <v>1028</v>
      </c>
      <c r="B408" s="5" t="s">
        <v>1029</v>
      </c>
      <c r="C408" s="3" t="str">
        <f t="shared" si="6"/>
        <v>03-11-2024</v>
      </c>
      <c r="D408" t="s">
        <v>80</v>
      </c>
      <c r="E408" t="s">
        <v>550</v>
      </c>
      <c r="F408" t="s">
        <v>43</v>
      </c>
      <c r="G408" t="s">
        <v>53</v>
      </c>
      <c r="H408" t="s">
        <v>99</v>
      </c>
      <c r="I408">
        <v>4</v>
      </c>
      <c r="J408">
        <v>3882</v>
      </c>
      <c r="K408" s="7">
        <v>0.05</v>
      </c>
      <c r="L408" t="s">
        <v>31</v>
      </c>
      <c r="M408" t="s">
        <v>39</v>
      </c>
      <c r="N408" t="s">
        <v>32</v>
      </c>
      <c r="O408">
        <v>3.5</v>
      </c>
      <c r="P408">
        <f>VLOOKUP(Table2[[#This Row],[Product_ID]],Table1[#All],8,TRUE)</f>
        <v>700</v>
      </c>
    </row>
    <row r="409" spans="1:16" x14ac:dyDescent="0.3">
      <c r="A409" t="s">
        <v>1030</v>
      </c>
      <c r="B409" s="5" t="s">
        <v>1031</v>
      </c>
      <c r="C409" s="3" t="str">
        <f t="shared" si="6"/>
        <v>30-11-2024</v>
      </c>
      <c r="D409" t="s">
        <v>67</v>
      </c>
      <c r="E409" t="s">
        <v>914</v>
      </c>
      <c r="F409" t="s">
        <v>43</v>
      </c>
      <c r="G409" t="s">
        <v>29</v>
      </c>
      <c r="H409" t="s">
        <v>77</v>
      </c>
      <c r="I409">
        <v>3</v>
      </c>
      <c r="J409">
        <v>4917</v>
      </c>
      <c r="K409" s="7">
        <v>0.2</v>
      </c>
      <c r="L409" t="s">
        <v>21</v>
      </c>
      <c r="M409" t="s">
        <v>22</v>
      </c>
      <c r="N409" t="s">
        <v>23</v>
      </c>
      <c r="O409">
        <v>3.2</v>
      </c>
      <c r="P409">
        <f>VLOOKUP(Table2[[#This Row],[Product_ID]],Table1[#All],8,TRUE)</f>
        <v>700</v>
      </c>
    </row>
    <row r="410" spans="1:16" x14ac:dyDescent="0.3">
      <c r="A410" t="s">
        <v>1032</v>
      </c>
      <c r="B410" s="5" t="s">
        <v>1033</v>
      </c>
      <c r="C410" s="3" t="str">
        <f t="shared" si="6"/>
        <v>12-08-2024</v>
      </c>
      <c r="D410" t="s">
        <v>71</v>
      </c>
      <c r="E410" t="s">
        <v>883</v>
      </c>
      <c r="F410" t="s">
        <v>28</v>
      </c>
      <c r="G410" t="s">
        <v>53</v>
      </c>
      <c r="H410" t="s">
        <v>20</v>
      </c>
      <c r="I410">
        <v>4</v>
      </c>
      <c r="J410">
        <v>3746</v>
      </c>
      <c r="K410" s="7">
        <v>0.2</v>
      </c>
      <c r="L410" t="s">
        <v>31</v>
      </c>
      <c r="M410" t="s">
        <v>22</v>
      </c>
      <c r="N410" t="s">
        <v>32</v>
      </c>
      <c r="P410">
        <f>VLOOKUP(Table2[[#This Row],[Product_ID]],Table1[#All],8,TRUE)</f>
        <v>500</v>
      </c>
    </row>
    <row r="411" spans="1:16" x14ac:dyDescent="0.3">
      <c r="A411" t="s">
        <v>1034</v>
      </c>
      <c r="B411" s="5" t="s">
        <v>1035</v>
      </c>
      <c r="C411" s="3" t="str">
        <f t="shared" si="6"/>
        <v>16-08-2023</v>
      </c>
      <c r="D411" t="s">
        <v>80</v>
      </c>
      <c r="E411" t="s">
        <v>1036</v>
      </c>
      <c r="F411" t="s">
        <v>43</v>
      </c>
      <c r="G411" t="s">
        <v>29</v>
      </c>
      <c r="H411" t="s">
        <v>30</v>
      </c>
      <c r="I411">
        <v>5</v>
      </c>
      <c r="J411">
        <v>7258</v>
      </c>
      <c r="K411" s="7">
        <v>0</v>
      </c>
      <c r="L411" t="s">
        <v>21</v>
      </c>
      <c r="M411" t="s">
        <v>39</v>
      </c>
      <c r="N411" t="s">
        <v>23</v>
      </c>
      <c r="O411">
        <v>4.7</v>
      </c>
      <c r="P411">
        <f>VLOOKUP(Table2[[#This Row],[Product_ID]],Table1[#All],8,TRUE)</f>
        <v>700</v>
      </c>
    </row>
    <row r="412" spans="1:16" x14ac:dyDescent="0.3">
      <c r="A412" t="s">
        <v>1037</v>
      </c>
      <c r="B412" s="5" t="s">
        <v>1038</v>
      </c>
      <c r="C412" s="3" t="str">
        <f t="shared" si="6"/>
        <v>13-10-2023</v>
      </c>
      <c r="D412" t="s">
        <v>26</v>
      </c>
      <c r="E412" t="s">
        <v>996</v>
      </c>
      <c r="F412" t="s">
        <v>18</v>
      </c>
      <c r="G412" t="s">
        <v>37</v>
      </c>
      <c r="H412" t="s">
        <v>20</v>
      </c>
      <c r="I412">
        <v>1</v>
      </c>
      <c r="J412">
        <v>7024</v>
      </c>
      <c r="K412" s="7">
        <v>0.05</v>
      </c>
      <c r="L412" t="s">
        <v>38</v>
      </c>
      <c r="M412" t="s">
        <v>39</v>
      </c>
      <c r="N412" t="s">
        <v>48</v>
      </c>
      <c r="O412">
        <v>4.7</v>
      </c>
      <c r="P412">
        <f>VLOOKUP(Table2[[#This Row],[Product_ID]],Table1[#All],8,TRUE)</f>
        <v>1500</v>
      </c>
    </row>
    <row r="413" spans="1:16" x14ac:dyDescent="0.3">
      <c r="A413" t="s">
        <v>1039</v>
      </c>
      <c r="B413" s="5" t="s">
        <v>1040</v>
      </c>
      <c r="C413" s="3" t="str">
        <f t="shared" si="6"/>
        <v>19-07-2023</v>
      </c>
      <c r="D413" t="s">
        <v>71</v>
      </c>
      <c r="E413" t="s">
        <v>97</v>
      </c>
      <c r="F413" t="s">
        <v>28</v>
      </c>
      <c r="G413" t="s">
        <v>53</v>
      </c>
      <c r="H413" t="s">
        <v>20</v>
      </c>
      <c r="I413">
        <v>3</v>
      </c>
      <c r="J413">
        <v>4030</v>
      </c>
      <c r="K413" s="7">
        <v>0.15</v>
      </c>
      <c r="L413" t="s">
        <v>38</v>
      </c>
      <c r="M413" t="s">
        <v>39</v>
      </c>
      <c r="N413" t="s">
        <v>23</v>
      </c>
      <c r="P413">
        <f>VLOOKUP(Table2[[#This Row],[Product_ID]],Table1[#All],8,TRUE)</f>
        <v>500</v>
      </c>
    </row>
    <row r="414" spans="1:16" x14ac:dyDescent="0.3">
      <c r="A414" t="s">
        <v>1041</v>
      </c>
      <c r="B414" s="5" t="s">
        <v>1042</v>
      </c>
      <c r="C414" s="3" t="str">
        <f t="shared" si="6"/>
        <v>26-10-2024</v>
      </c>
      <c r="D414" t="s">
        <v>62</v>
      </c>
      <c r="E414" t="s">
        <v>1043</v>
      </c>
      <c r="F414" t="s">
        <v>28</v>
      </c>
      <c r="G414" t="s">
        <v>19</v>
      </c>
      <c r="H414" t="s">
        <v>20</v>
      </c>
      <c r="I414">
        <v>5</v>
      </c>
      <c r="J414">
        <v>7143</v>
      </c>
      <c r="K414" s="7">
        <v>0</v>
      </c>
      <c r="L414" t="s">
        <v>21</v>
      </c>
      <c r="M414" t="s">
        <v>39</v>
      </c>
      <c r="N414" t="s">
        <v>23</v>
      </c>
      <c r="O414">
        <v>4.9000000000000004</v>
      </c>
      <c r="P414">
        <f>VLOOKUP(Table2[[#This Row],[Product_ID]],Table1[#All],8,TRUE)</f>
        <v>1500</v>
      </c>
    </row>
    <row r="415" spans="1:16" x14ac:dyDescent="0.3">
      <c r="A415" t="s">
        <v>1044</v>
      </c>
      <c r="B415" s="5" t="s">
        <v>1045</v>
      </c>
      <c r="C415" s="3" t="str">
        <f t="shared" si="6"/>
        <v>03-12-2024</v>
      </c>
      <c r="D415" t="s">
        <v>127</v>
      </c>
      <c r="E415" t="s">
        <v>253</v>
      </c>
      <c r="F415" t="s">
        <v>18</v>
      </c>
      <c r="G415" t="s">
        <v>29</v>
      </c>
      <c r="H415" t="s">
        <v>99</v>
      </c>
      <c r="I415">
        <v>5</v>
      </c>
      <c r="J415">
        <v>8177</v>
      </c>
      <c r="K415" s="7">
        <v>0.05</v>
      </c>
      <c r="L415" t="s">
        <v>38</v>
      </c>
      <c r="M415" t="s">
        <v>22</v>
      </c>
      <c r="N415" t="s">
        <v>32</v>
      </c>
      <c r="P415">
        <f>VLOOKUP(Table2[[#This Row],[Product_ID]],Table1[#All],8,TRUE)</f>
        <v>0</v>
      </c>
    </row>
    <row r="416" spans="1:16" x14ac:dyDescent="0.3">
      <c r="A416" t="s">
        <v>1046</v>
      </c>
      <c r="B416" s="5" t="s">
        <v>1047</v>
      </c>
      <c r="C416" s="3" t="str">
        <f t="shared" si="6"/>
        <v>20-09-2024</v>
      </c>
      <c r="D416" t="s">
        <v>84</v>
      </c>
      <c r="E416" t="s">
        <v>263</v>
      </c>
      <c r="F416" t="s">
        <v>57</v>
      </c>
      <c r="G416" t="s">
        <v>19</v>
      </c>
      <c r="H416" t="s">
        <v>77</v>
      </c>
      <c r="I416">
        <v>1</v>
      </c>
      <c r="J416">
        <v>5479</v>
      </c>
      <c r="K416" s="7">
        <v>0.05</v>
      </c>
      <c r="L416" t="s">
        <v>21</v>
      </c>
      <c r="M416" t="s">
        <v>39</v>
      </c>
      <c r="N416" t="s">
        <v>32</v>
      </c>
      <c r="P416">
        <f>VLOOKUP(Table2[[#This Row],[Product_ID]],Table1[#All],8,TRUE)</f>
        <v>1500</v>
      </c>
    </row>
    <row r="417" spans="1:16" x14ac:dyDescent="0.3">
      <c r="A417" t="s">
        <v>1048</v>
      </c>
      <c r="B417" s="5" t="s">
        <v>1049</v>
      </c>
      <c r="C417" s="3" t="str">
        <f t="shared" si="6"/>
        <v>19-04-2023</v>
      </c>
      <c r="D417" t="s">
        <v>80</v>
      </c>
      <c r="E417" t="s">
        <v>1050</v>
      </c>
      <c r="F417" t="s">
        <v>57</v>
      </c>
      <c r="G417" t="s">
        <v>29</v>
      </c>
      <c r="H417" t="s">
        <v>20</v>
      </c>
      <c r="I417">
        <v>5</v>
      </c>
      <c r="J417">
        <v>5177</v>
      </c>
      <c r="K417" s="7">
        <v>0</v>
      </c>
      <c r="L417" t="s">
        <v>58</v>
      </c>
      <c r="M417" t="s">
        <v>39</v>
      </c>
      <c r="N417" t="s">
        <v>59</v>
      </c>
      <c r="P417">
        <f>VLOOKUP(Table2[[#This Row],[Product_ID]],Table1[#All],8,TRUE)</f>
        <v>0</v>
      </c>
    </row>
    <row r="418" spans="1:16" x14ac:dyDescent="0.3">
      <c r="A418" t="s">
        <v>1051</v>
      </c>
      <c r="B418" s="5" t="s">
        <v>1052</v>
      </c>
      <c r="C418" s="3" t="str">
        <f t="shared" si="6"/>
        <v>03-03-2024</v>
      </c>
      <c r="D418" t="s">
        <v>35</v>
      </c>
      <c r="E418" t="s">
        <v>1053</v>
      </c>
      <c r="F418" t="s">
        <v>73</v>
      </c>
      <c r="G418" t="s">
        <v>19</v>
      </c>
      <c r="H418" t="s">
        <v>30</v>
      </c>
      <c r="I418">
        <v>3</v>
      </c>
      <c r="J418">
        <v>2706</v>
      </c>
      <c r="K418" s="7">
        <v>0.15</v>
      </c>
      <c r="L418" t="s">
        <v>21</v>
      </c>
      <c r="M418" t="s">
        <v>22</v>
      </c>
      <c r="N418" t="s">
        <v>59</v>
      </c>
      <c r="O418">
        <v>3.9</v>
      </c>
      <c r="P418">
        <f>VLOOKUP(Table2[[#This Row],[Product_ID]],Table1[#All],8,TRUE)</f>
        <v>0</v>
      </c>
    </row>
    <row r="419" spans="1:16" x14ac:dyDescent="0.3">
      <c r="A419" t="s">
        <v>1054</v>
      </c>
      <c r="B419" s="5" t="s">
        <v>1055</v>
      </c>
      <c r="C419" s="3" t="str">
        <f t="shared" si="6"/>
        <v>23-04-2024</v>
      </c>
      <c r="D419" t="s">
        <v>67</v>
      </c>
      <c r="E419" t="s">
        <v>76</v>
      </c>
      <c r="F419" t="s">
        <v>43</v>
      </c>
      <c r="G419" t="s">
        <v>53</v>
      </c>
      <c r="H419" t="s">
        <v>30</v>
      </c>
      <c r="I419">
        <v>3</v>
      </c>
      <c r="J419">
        <v>4001</v>
      </c>
      <c r="K419" s="7">
        <v>0.2</v>
      </c>
      <c r="L419" t="s">
        <v>31</v>
      </c>
      <c r="M419" t="s">
        <v>39</v>
      </c>
      <c r="N419" t="s">
        <v>32</v>
      </c>
      <c r="P419">
        <f>VLOOKUP(Table2[[#This Row],[Product_ID]],Table1[#All],8,TRUE)</f>
        <v>1500</v>
      </c>
    </row>
    <row r="420" spans="1:16" x14ac:dyDescent="0.3">
      <c r="A420" t="s">
        <v>1056</v>
      </c>
      <c r="B420" s="5" t="s">
        <v>75</v>
      </c>
      <c r="C420" s="3" t="str">
        <f t="shared" si="6"/>
        <v>30-01-2024</v>
      </c>
      <c r="D420" t="s">
        <v>51</v>
      </c>
      <c r="E420" t="s">
        <v>157</v>
      </c>
      <c r="F420" t="s">
        <v>28</v>
      </c>
      <c r="G420" t="s">
        <v>37</v>
      </c>
      <c r="H420" t="s">
        <v>20</v>
      </c>
      <c r="I420">
        <v>3</v>
      </c>
      <c r="J420">
        <v>8627</v>
      </c>
      <c r="K420" s="7">
        <v>0.15</v>
      </c>
      <c r="L420" t="s">
        <v>58</v>
      </c>
      <c r="M420" t="s">
        <v>22</v>
      </c>
      <c r="N420" t="s">
        <v>59</v>
      </c>
      <c r="O420">
        <v>3.7</v>
      </c>
      <c r="P420">
        <f>VLOOKUP(Table2[[#This Row],[Product_ID]],Table1[#All],8,TRUE)</f>
        <v>900</v>
      </c>
    </row>
    <row r="421" spans="1:16" x14ac:dyDescent="0.3">
      <c r="A421" t="s">
        <v>1057</v>
      </c>
      <c r="B421" s="5" t="s">
        <v>1058</v>
      </c>
      <c r="C421" s="3" t="str">
        <f t="shared" si="6"/>
        <v>21-07-2023</v>
      </c>
      <c r="D421" t="s">
        <v>91</v>
      </c>
      <c r="E421" t="s">
        <v>869</v>
      </c>
      <c r="F421" t="s">
        <v>98</v>
      </c>
      <c r="G421" t="s">
        <v>53</v>
      </c>
      <c r="H421" t="s">
        <v>20</v>
      </c>
      <c r="I421">
        <v>5</v>
      </c>
      <c r="J421">
        <v>1069</v>
      </c>
      <c r="K421" s="7">
        <v>0.05</v>
      </c>
      <c r="L421" t="s">
        <v>58</v>
      </c>
      <c r="M421" t="s">
        <v>39</v>
      </c>
      <c r="N421" t="s">
        <v>32</v>
      </c>
      <c r="P421">
        <f>VLOOKUP(Table2[[#This Row],[Product_ID]],Table1[#All],8,TRUE)</f>
        <v>900</v>
      </c>
    </row>
    <row r="422" spans="1:16" x14ac:dyDescent="0.3">
      <c r="A422" t="s">
        <v>1059</v>
      </c>
      <c r="B422" s="5" t="s">
        <v>1047</v>
      </c>
      <c r="C422" s="3" t="str">
        <f t="shared" si="6"/>
        <v>20-09-2024</v>
      </c>
      <c r="D422" t="s">
        <v>127</v>
      </c>
      <c r="E422" t="s">
        <v>946</v>
      </c>
      <c r="F422" t="s">
        <v>73</v>
      </c>
      <c r="G422" t="s">
        <v>19</v>
      </c>
      <c r="H422" t="s">
        <v>77</v>
      </c>
      <c r="I422">
        <v>1</v>
      </c>
      <c r="J422">
        <v>6261</v>
      </c>
      <c r="K422" s="7">
        <v>0.15</v>
      </c>
      <c r="L422" t="s">
        <v>58</v>
      </c>
      <c r="M422" t="s">
        <v>39</v>
      </c>
      <c r="N422" t="s">
        <v>59</v>
      </c>
      <c r="P422">
        <f>VLOOKUP(Table2[[#This Row],[Product_ID]],Table1[#All],8,TRUE)</f>
        <v>900</v>
      </c>
    </row>
    <row r="423" spans="1:16" x14ac:dyDescent="0.3">
      <c r="A423" t="s">
        <v>1060</v>
      </c>
      <c r="B423" s="5" t="s">
        <v>1061</v>
      </c>
      <c r="C423" s="3" t="str">
        <f t="shared" si="6"/>
        <v>16-01-2023</v>
      </c>
      <c r="D423" t="s">
        <v>91</v>
      </c>
      <c r="E423" t="s">
        <v>603</v>
      </c>
      <c r="F423" t="s">
        <v>43</v>
      </c>
      <c r="G423" t="s">
        <v>53</v>
      </c>
      <c r="H423" t="s">
        <v>30</v>
      </c>
      <c r="I423">
        <v>5</v>
      </c>
      <c r="J423">
        <v>6749</v>
      </c>
      <c r="K423" s="7">
        <v>0.05</v>
      </c>
      <c r="L423" t="s">
        <v>58</v>
      </c>
      <c r="M423" t="s">
        <v>39</v>
      </c>
      <c r="N423" t="s">
        <v>59</v>
      </c>
      <c r="O423">
        <v>3.8</v>
      </c>
      <c r="P423">
        <f>VLOOKUP(Table2[[#This Row],[Product_ID]],Table1[#All],8,TRUE)</f>
        <v>0</v>
      </c>
    </row>
    <row r="424" spans="1:16" x14ac:dyDescent="0.3">
      <c r="A424" t="s">
        <v>1062</v>
      </c>
      <c r="B424" s="5" t="s">
        <v>1063</v>
      </c>
      <c r="C424" s="3" t="str">
        <f t="shared" si="6"/>
        <v>28-07-2024</v>
      </c>
      <c r="D424" t="s">
        <v>91</v>
      </c>
      <c r="E424" t="s">
        <v>640</v>
      </c>
      <c r="F424" t="s">
        <v>98</v>
      </c>
      <c r="G424" t="s">
        <v>19</v>
      </c>
      <c r="H424" t="s">
        <v>20</v>
      </c>
      <c r="I424">
        <v>5</v>
      </c>
      <c r="J424">
        <v>8952</v>
      </c>
      <c r="K424" s="7">
        <v>0.2</v>
      </c>
      <c r="L424" t="s">
        <v>58</v>
      </c>
      <c r="M424" t="s">
        <v>39</v>
      </c>
      <c r="N424" t="s">
        <v>23</v>
      </c>
      <c r="P424">
        <f>VLOOKUP(Table2[[#This Row],[Product_ID]],Table1[#All],8,TRUE)</f>
        <v>900</v>
      </c>
    </row>
    <row r="425" spans="1:16" x14ac:dyDescent="0.3">
      <c r="A425" t="s">
        <v>1064</v>
      </c>
      <c r="B425" s="5" t="s">
        <v>1065</v>
      </c>
      <c r="C425" s="3" t="str">
        <f t="shared" si="6"/>
        <v>23-05-2023</v>
      </c>
      <c r="D425" t="s">
        <v>62</v>
      </c>
      <c r="E425" t="s">
        <v>1066</v>
      </c>
      <c r="F425" t="s">
        <v>28</v>
      </c>
      <c r="G425" t="s">
        <v>29</v>
      </c>
      <c r="H425" t="s">
        <v>99</v>
      </c>
      <c r="I425">
        <v>4</v>
      </c>
      <c r="J425">
        <v>9325</v>
      </c>
      <c r="K425" s="7">
        <v>0.05</v>
      </c>
      <c r="L425" t="s">
        <v>38</v>
      </c>
      <c r="M425" t="s">
        <v>22</v>
      </c>
      <c r="N425" t="s">
        <v>59</v>
      </c>
      <c r="P425">
        <f>VLOOKUP(Table2[[#This Row],[Product_ID]],Table1[#All],8,TRUE)</f>
        <v>700</v>
      </c>
    </row>
    <row r="426" spans="1:16" x14ac:dyDescent="0.3">
      <c r="A426" t="s">
        <v>1067</v>
      </c>
      <c r="B426" s="5" t="s">
        <v>1068</v>
      </c>
      <c r="C426" s="3" t="str">
        <f t="shared" si="6"/>
        <v>21-06-2023</v>
      </c>
      <c r="D426" t="s">
        <v>127</v>
      </c>
      <c r="E426" t="s">
        <v>348</v>
      </c>
      <c r="F426" t="s">
        <v>98</v>
      </c>
      <c r="G426" t="s">
        <v>19</v>
      </c>
      <c r="H426" t="s">
        <v>20</v>
      </c>
      <c r="I426">
        <v>1</v>
      </c>
      <c r="J426">
        <v>2247</v>
      </c>
      <c r="K426" s="7">
        <v>0.05</v>
      </c>
      <c r="L426" t="s">
        <v>21</v>
      </c>
      <c r="M426" t="s">
        <v>22</v>
      </c>
      <c r="N426" t="s">
        <v>23</v>
      </c>
      <c r="O426">
        <v>4.8</v>
      </c>
      <c r="P426">
        <f>VLOOKUP(Table2[[#This Row],[Product_ID]],Table1[#All],8,TRUE)</f>
        <v>900</v>
      </c>
    </row>
    <row r="427" spans="1:16" x14ac:dyDescent="0.3">
      <c r="A427" t="s">
        <v>1069</v>
      </c>
      <c r="B427" s="5" t="s">
        <v>1070</v>
      </c>
      <c r="C427" s="3" t="str">
        <f t="shared" si="6"/>
        <v>09-07-2024</v>
      </c>
      <c r="D427" t="s">
        <v>62</v>
      </c>
      <c r="E427" t="s">
        <v>357</v>
      </c>
      <c r="F427" t="s">
        <v>73</v>
      </c>
      <c r="G427" t="s">
        <v>37</v>
      </c>
      <c r="H427" t="s">
        <v>30</v>
      </c>
      <c r="I427">
        <v>4</v>
      </c>
      <c r="J427">
        <v>6645</v>
      </c>
      <c r="K427" s="7">
        <v>0.2</v>
      </c>
      <c r="L427" t="s">
        <v>31</v>
      </c>
      <c r="M427" t="s">
        <v>39</v>
      </c>
      <c r="N427" t="s">
        <v>23</v>
      </c>
      <c r="O427">
        <v>3.2</v>
      </c>
      <c r="P427">
        <f>VLOOKUP(Table2[[#This Row],[Product_ID]],Table1[#All],8,TRUE)</f>
        <v>1200</v>
      </c>
    </row>
    <row r="428" spans="1:16" x14ac:dyDescent="0.3">
      <c r="A428" t="s">
        <v>947</v>
      </c>
      <c r="B428" s="5" t="s">
        <v>1071</v>
      </c>
      <c r="C428" s="3" t="str">
        <f t="shared" si="6"/>
        <v>30-05-2023</v>
      </c>
      <c r="D428" t="s">
        <v>71</v>
      </c>
      <c r="E428" t="s">
        <v>1072</v>
      </c>
      <c r="F428" t="s">
        <v>64</v>
      </c>
      <c r="G428" t="s">
        <v>19</v>
      </c>
      <c r="H428" t="s">
        <v>30</v>
      </c>
      <c r="I428">
        <v>3</v>
      </c>
      <c r="J428">
        <v>8245</v>
      </c>
      <c r="K428" s="7">
        <v>0.2</v>
      </c>
      <c r="L428" t="s">
        <v>38</v>
      </c>
      <c r="M428" t="s">
        <v>39</v>
      </c>
      <c r="N428" t="s">
        <v>23</v>
      </c>
      <c r="O428">
        <v>3.5</v>
      </c>
      <c r="P428">
        <f>VLOOKUP(Table2[[#This Row],[Product_ID]],Table1[#All],8,TRUE)</f>
        <v>0</v>
      </c>
    </row>
    <row r="429" spans="1:16" x14ac:dyDescent="0.3">
      <c r="A429" t="s">
        <v>1073</v>
      </c>
      <c r="B429" s="5" t="s">
        <v>1074</v>
      </c>
      <c r="C429" s="3" t="str">
        <f t="shared" si="6"/>
        <v>16-09-2024</v>
      </c>
      <c r="D429" t="s">
        <v>91</v>
      </c>
      <c r="E429" t="s">
        <v>81</v>
      </c>
      <c r="F429" t="s">
        <v>43</v>
      </c>
      <c r="G429" t="s">
        <v>29</v>
      </c>
      <c r="H429" t="s">
        <v>20</v>
      </c>
      <c r="I429">
        <v>3</v>
      </c>
      <c r="J429">
        <v>8146</v>
      </c>
      <c r="K429" s="7">
        <v>0.05</v>
      </c>
      <c r="L429" t="s">
        <v>21</v>
      </c>
      <c r="M429" t="s">
        <v>22</v>
      </c>
      <c r="N429" t="s">
        <v>59</v>
      </c>
      <c r="P429">
        <f>VLOOKUP(Table2[[#This Row],[Product_ID]],Table1[#All],8,TRUE)</f>
        <v>1200</v>
      </c>
    </row>
    <row r="430" spans="1:16" x14ac:dyDescent="0.3">
      <c r="A430" t="s">
        <v>264</v>
      </c>
      <c r="B430" s="5" t="s">
        <v>1075</v>
      </c>
      <c r="C430" s="3" t="str">
        <f t="shared" si="6"/>
        <v>19-07-2024</v>
      </c>
      <c r="D430" t="s">
        <v>26</v>
      </c>
      <c r="E430" t="s">
        <v>405</v>
      </c>
      <c r="F430" t="s">
        <v>98</v>
      </c>
      <c r="G430" t="s">
        <v>37</v>
      </c>
      <c r="H430" t="s">
        <v>77</v>
      </c>
      <c r="I430">
        <v>2</v>
      </c>
      <c r="J430">
        <v>1741</v>
      </c>
      <c r="K430" s="7">
        <v>0.1</v>
      </c>
      <c r="L430" t="s">
        <v>31</v>
      </c>
      <c r="M430" t="s">
        <v>22</v>
      </c>
      <c r="N430" t="s">
        <v>23</v>
      </c>
      <c r="P430">
        <f>VLOOKUP(Table2[[#This Row],[Product_ID]],Table1[#All],8,TRUE)</f>
        <v>1200</v>
      </c>
    </row>
    <row r="431" spans="1:16" x14ac:dyDescent="0.3">
      <c r="A431" t="s">
        <v>1076</v>
      </c>
      <c r="B431" s="5" t="s">
        <v>1077</v>
      </c>
      <c r="C431" s="3" t="str">
        <f t="shared" si="6"/>
        <v>16-08-2024</v>
      </c>
      <c r="D431" t="s">
        <v>62</v>
      </c>
      <c r="E431" t="s">
        <v>47</v>
      </c>
      <c r="F431" t="s">
        <v>64</v>
      </c>
      <c r="G431" t="s">
        <v>37</v>
      </c>
      <c r="H431" t="s">
        <v>20</v>
      </c>
      <c r="I431">
        <v>2</v>
      </c>
      <c r="J431">
        <v>3222</v>
      </c>
      <c r="K431" s="7">
        <v>0.1</v>
      </c>
      <c r="L431" t="s">
        <v>58</v>
      </c>
      <c r="M431" t="s">
        <v>22</v>
      </c>
      <c r="N431" t="s">
        <v>23</v>
      </c>
      <c r="O431">
        <v>3</v>
      </c>
      <c r="P431">
        <f>VLOOKUP(Table2[[#This Row],[Product_ID]],Table1[#All],8,TRUE)</f>
        <v>700</v>
      </c>
    </row>
    <row r="432" spans="1:16" x14ac:dyDescent="0.3">
      <c r="A432" t="s">
        <v>1078</v>
      </c>
      <c r="B432" s="5" t="s">
        <v>1079</v>
      </c>
      <c r="C432" s="3" t="str">
        <f t="shared" si="6"/>
        <v>02-12-2023</v>
      </c>
      <c r="D432" t="s">
        <v>16</v>
      </c>
      <c r="E432" t="s">
        <v>585</v>
      </c>
      <c r="F432" t="s">
        <v>28</v>
      </c>
      <c r="G432" t="s">
        <v>37</v>
      </c>
      <c r="H432" t="s">
        <v>30</v>
      </c>
      <c r="I432">
        <v>3</v>
      </c>
      <c r="J432">
        <v>5146</v>
      </c>
      <c r="K432" s="7">
        <v>0.15</v>
      </c>
      <c r="L432" t="s">
        <v>31</v>
      </c>
      <c r="M432" t="s">
        <v>39</v>
      </c>
      <c r="N432" t="s">
        <v>59</v>
      </c>
      <c r="P432">
        <f>VLOOKUP(Table2[[#This Row],[Product_ID]],Table1[#All],8,TRUE)</f>
        <v>700</v>
      </c>
    </row>
    <row r="433" spans="1:16" x14ac:dyDescent="0.3">
      <c r="A433" t="s">
        <v>1080</v>
      </c>
      <c r="B433" s="5" t="s">
        <v>1081</v>
      </c>
      <c r="C433" s="3" t="str">
        <f t="shared" si="6"/>
        <v>07-01-2023</v>
      </c>
      <c r="D433" t="s">
        <v>114</v>
      </c>
      <c r="E433" t="s">
        <v>240</v>
      </c>
      <c r="F433" t="s">
        <v>73</v>
      </c>
      <c r="G433" t="s">
        <v>19</v>
      </c>
      <c r="H433" t="s">
        <v>77</v>
      </c>
      <c r="I433">
        <v>1</v>
      </c>
      <c r="J433">
        <v>5896</v>
      </c>
      <c r="K433" s="7">
        <v>0.1</v>
      </c>
      <c r="L433" t="s">
        <v>31</v>
      </c>
      <c r="M433" t="s">
        <v>22</v>
      </c>
      <c r="N433" t="s">
        <v>32</v>
      </c>
      <c r="O433">
        <v>3.2</v>
      </c>
      <c r="P433">
        <f>VLOOKUP(Table2[[#This Row],[Product_ID]],Table1[#All],8,TRUE)</f>
        <v>500</v>
      </c>
    </row>
    <row r="434" spans="1:16" x14ac:dyDescent="0.3">
      <c r="A434" t="s">
        <v>1082</v>
      </c>
      <c r="B434" s="5" t="s">
        <v>1083</v>
      </c>
      <c r="C434" s="3" t="str">
        <f t="shared" si="6"/>
        <v>01-05-2023</v>
      </c>
      <c r="D434" t="s">
        <v>16</v>
      </c>
      <c r="E434" t="s">
        <v>1084</v>
      </c>
      <c r="F434" t="s">
        <v>57</v>
      </c>
      <c r="G434" t="s">
        <v>37</v>
      </c>
      <c r="H434" t="s">
        <v>99</v>
      </c>
      <c r="I434">
        <v>5</v>
      </c>
      <c r="J434">
        <v>9212</v>
      </c>
      <c r="K434" s="7">
        <v>0</v>
      </c>
      <c r="L434" t="s">
        <v>21</v>
      </c>
      <c r="M434" t="s">
        <v>39</v>
      </c>
      <c r="N434" t="s">
        <v>59</v>
      </c>
      <c r="O434">
        <v>4.9000000000000004</v>
      </c>
      <c r="P434">
        <f>VLOOKUP(Table2[[#This Row],[Product_ID]],Table1[#All],8,TRUE)</f>
        <v>0</v>
      </c>
    </row>
    <row r="435" spans="1:16" x14ac:dyDescent="0.3">
      <c r="A435" t="s">
        <v>1085</v>
      </c>
      <c r="B435" s="5" t="s">
        <v>1086</v>
      </c>
      <c r="C435" s="3" t="str">
        <f t="shared" si="6"/>
        <v>29-03-2023</v>
      </c>
      <c r="D435" t="s">
        <v>91</v>
      </c>
      <c r="E435" t="s">
        <v>232</v>
      </c>
      <c r="F435" t="s">
        <v>73</v>
      </c>
      <c r="G435" t="s">
        <v>19</v>
      </c>
      <c r="H435" t="s">
        <v>30</v>
      </c>
      <c r="I435">
        <v>5</v>
      </c>
      <c r="J435">
        <v>6630</v>
      </c>
      <c r="K435" s="7">
        <v>0</v>
      </c>
      <c r="L435" t="s">
        <v>21</v>
      </c>
      <c r="M435" t="s">
        <v>22</v>
      </c>
      <c r="N435" t="s">
        <v>48</v>
      </c>
      <c r="O435">
        <v>4.7</v>
      </c>
      <c r="P435">
        <f>VLOOKUP(Table2[[#This Row],[Product_ID]],Table1[#All],8,TRUE)</f>
        <v>0</v>
      </c>
    </row>
    <row r="436" spans="1:16" x14ac:dyDescent="0.3">
      <c r="A436" t="s">
        <v>94</v>
      </c>
      <c r="B436" s="5" t="s">
        <v>481</v>
      </c>
      <c r="C436" s="3" t="str">
        <f t="shared" si="6"/>
        <v>01-01-2023</v>
      </c>
      <c r="D436" t="s">
        <v>84</v>
      </c>
      <c r="E436" t="s">
        <v>936</v>
      </c>
      <c r="F436" t="s">
        <v>28</v>
      </c>
      <c r="G436" t="s">
        <v>19</v>
      </c>
      <c r="H436" t="s">
        <v>77</v>
      </c>
      <c r="I436">
        <v>1</v>
      </c>
      <c r="J436">
        <v>9076</v>
      </c>
      <c r="K436" s="7">
        <v>0</v>
      </c>
      <c r="L436" t="s">
        <v>58</v>
      </c>
      <c r="M436" t="s">
        <v>39</v>
      </c>
      <c r="N436" t="s">
        <v>32</v>
      </c>
      <c r="O436">
        <v>3.9</v>
      </c>
      <c r="P436">
        <f>VLOOKUP(Table2[[#This Row],[Product_ID]],Table1[#All],8,TRUE)</f>
        <v>1200</v>
      </c>
    </row>
    <row r="437" spans="1:16" x14ac:dyDescent="0.3">
      <c r="A437" t="s">
        <v>1087</v>
      </c>
      <c r="B437" s="5" t="s">
        <v>823</v>
      </c>
      <c r="C437" s="3" t="str">
        <f t="shared" si="6"/>
        <v>12-08-2024</v>
      </c>
      <c r="D437" t="s">
        <v>114</v>
      </c>
      <c r="E437" t="s">
        <v>924</v>
      </c>
      <c r="F437" t="s">
        <v>64</v>
      </c>
      <c r="G437" t="s">
        <v>29</v>
      </c>
      <c r="H437" t="s">
        <v>77</v>
      </c>
      <c r="I437">
        <v>4</v>
      </c>
      <c r="J437">
        <v>1387</v>
      </c>
      <c r="K437" s="7">
        <v>0.1</v>
      </c>
      <c r="L437" t="s">
        <v>38</v>
      </c>
      <c r="M437" t="s">
        <v>22</v>
      </c>
      <c r="N437" t="s">
        <v>59</v>
      </c>
      <c r="P437">
        <f>VLOOKUP(Table2[[#This Row],[Product_ID]],Table1[#All],8,TRUE)</f>
        <v>1500</v>
      </c>
    </row>
    <row r="438" spans="1:16" x14ac:dyDescent="0.3">
      <c r="A438" t="s">
        <v>1088</v>
      </c>
      <c r="B438" s="5" t="s">
        <v>1089</v>
      </c>
      <c r="C438" s="3" t="str">
        <f t="shared" si="6"/>
        <v>08-03-2024</v>
      </c>
      <c r="D438" t="s">
        <v>80</v>
      </c>
      <c r="E438" t="s">
        <v>154</v>
      </c>
      <c r="F438" t="s">
        <v>28</v>
      </c>
      <c r="G438" t="s">
        <v>53</v>
      </c>
      <c r="H438" t="s">
        <v>77</v>
      </c>
      <c r="I438">
        <v>2</v>
      </c>
      <c r="J438">
        <v>7954</v>
      </c>
      <c r="K438" s="7">
        <v>0</v>
      </c>
      <c r="L438" t="s">
        <v>31</v>
      </c>
      <c r="M438" t="s">
        <v>22</v>
      </c>
      <c r="N438" t="s">
        <v>48</v>
      </c>
      <c r="O438">
        <v>4.3</v>
      </c>
      <c r="P438">
        <f>VLOOKUP(Table2[[#This Row],[Product_ID]],Table1[#All],8,TRUE)</f>
        <v>900</v>
      </c>
    </row>
    <row r="439" spans="1:16" x14ac:dyDescent="0.3">
      <c r="A439" t="s">
        <v>1090</v>
      </c>
      <c r="B439" s="5" t="s">
        <v>1091</v>
      </c>
      <c r="C439" s="3" t="str">
        <f t="shared" si="6"/>
        <v>17-02-2023</v>
      </c>
      <c r="D439" t="s">
        <v>46</v>
      </c>
      <c r="E439" t="s">
        <v>903</v>
      </c>
      <c r="F439" t="s">
        <v>57</v>
      </c>
      <c r="G439" t="s">
        <v>53</v>
      </c>
      <c r="H439" t="s">
        <v>20</v>
      </c>
      <c r="I439">
        <v>2</v>
      </c>
      <c r="J439">
        <v>7912</v>
      </c>
      <c r="K439" s="7">
        <v>0.1</v>
      </c>
      <c r="L439" t="s">
        <v>31</v>
      </c>
      <c r="M439" t="s">
        <v>39</v>
      </c>
      <c r="N439" t="s">
        <v>48</v>
      </c>
      <c r="O439">
        <v>4.5999999999999996</v>
      </c>
      <c r="P439">
        <f>VLOOKUP(Table2[[#This Row],[Product_ID]],Table1[#All],8,TRUE)</f>
        <v>1500</v>
      </c>
    </row>
    <row r="440" spans="1:16" x14ac:dyDescent="0.3">
      <c r="A440" t="s">
        <v>1092</v>
      </c>
      <c r="B440" s="5" t="s">
        <v>1093</v>
      </c>
      <c r="C440" s="3" t="str">
        <f t="shared" si="6"/>
        <v>01-02-2023</v>
      </c>
      <c r="D440" t="s">
        <v>96</v>
      </c>
      <c r="E440" t="s">
        <v>609</v>
      </c>
      <c r="F440" t="s">
        <v>64</v>
      </c>
      <c r="G440" t="s">
        <v>53</v>
      </c>
      <c r="H440" t="s">
        <v>99</v>
      </c>
      <c r="I440">
        <v>5</v>
      </c>
      <c r="J440">
        <v>3948</v>
      </c>
      <c r="K440" s="7">
        <v>0</v>
      </c>
      <c r="L440" t="s">
        <v>58</v>
      </c>
      <c r="M440" t="s">
        <v>39</v>
      </c>
      <c r="N440" t="s">
        <v>48</v>
      </c>
      <c r="O440">
        <v>4.3</v>
      </c>
      <c r="P440">
        <f>VLOOKUP(Table2[[#This Row],[Product_ID]],Table1[#All],8,TRUE)</f>
        <v>0</v>
      </c>
    </row>
    <row r="441" spans="1:16" x14ac:dyDescent="0.3">
      <c r="A441" t="s">
        <v>1094</v>
      </c>
      <c r="B441" s="5" t="s">
        <v>634</v>
      </c>
      <c r="C441" s="3" t="str">
        <f t="shared" si="6"/>
        <v>16-10-2024</v>
      </c>
      <c r="D441" t="s">
        <v>62</v>
      </c>
      <c r="E441" t="s">
        <v>758</v>
      </c>
      <c r="F441" t="s">
        <v>57</v>
      </c>
      <c r="G441" t="s">
        <v>37</v>
      </c>
      <c r="H441" t="s">
        <v>77</v>
      </c>
      <c r="I441">
        <v>2</v>
      </c>
      <c r="J441">
        <v>9019</v>
      </c>
      <c r="K441" s="7">
        <v>0.05</v>
      </c>
      <c r="L441" t="s">
        <v>21</v>
      </c>
      <c r="M441" t="s">
        <v>39</v>
      </c>
      <c r="N441" t="s">
        <v>23</v>
      </c>
      <c r="O441">
        <v>4.8</v>
      </c>
      <c r="P441">
        <f>VLOOKUP(Table2[[#This Row],[Product_ID]],Table1[#All],8,TRUE)</f>
        <v>1500</v>
      </c>
    </row>
    <row r="442" spans="1:16" x14ac:dyDescent="0.3">
      <c r="A442" t="s">
        <v>1095</v>
      </c>
      <c r="B442" s="5" t="s">
        <v>1096</v>
      </c>
      <c r="C442" s="3" t="str">
        <f t="shared" si="6"/>
        <v>10-11-2024</v>
      </c>
      <c r="D442" t="s">
        <v>67</v>
      </c>
      <c r="E442" t="s">
        <v>1097</v>
      </c>
      <c r="F442" t="s">
        <v>98</v>
      </c>
      <c r="G442" t="s">
        <v>29</v>
      </c>
      <c r="H442" t="s">
        <v>20</v>
      </c>
      <c r="I442">
        <v>2</v>
      </c>
      <c r="J442">
        <v>2001</v>
      </c>
      <c r="K442" s="7">
        <v>0.2</v>
      </c>
      <c r="L442" t="s">
        <v>31</v>
      </c>
      <c r="M442" t="s">
        <v>22</v>
      </c>
      <c r="N442" t="s">
        <v>32</v>
      </c>
      <c r="O442">
        <v>4.9000000000000004</v>
      </c>
      <c r="P442">
        <f>VLOOKUP(Table2[[#This Row],[Product_ID]],Table1[#All],8,TRUE)</f>
        <v>1500</v>
      </c>
    </row>
    <row r="443" spans="1:16" x14ac:dyDescent="0.3">
      <c r="A443" t="s">
        <v>675</v>
      </c>
      <c r="B443" s="5" t="s">
        <v>1098</v>
      </c>
      <c r="C443" s="3" t="str">
        <f t="shared" si="6"/>
        <v>30-12-2024</v>
      </c>
      <c r="D443" t="s">
        <v>91</v>
      </c>
      <c r="E443" t="s">
        <v>1099</v>
      </c>
      <c r="F443" t="s">
        <v>18</v>
      </c>
      <c r="G443" t="s">
        <v>53</v>
      </c>
      <c r="H443" t="s">
        <v>20</v>
      </c>
      <c r="I443">
        <v>5</v>
      </c>
      <c r="J443">
        <v>6082</v>
      </c>
      <c r="K443" s="7">
        <v>0.2</v>
      </c>
      <c r="L443" t="s">
        <v>21</v>
      </c>
      <c r="M443" t="s">
        <v>39</v>
      </c>
      <c r="N443" t="s">
        <v>48</v>
      </c>
      <c r="O443">
        <v>4.5999999999999996</v>
      </c>
      <c r="P443">
        <f>VLOOKUP(Table2[[#This Row],[Product_ID]],Table1[#All],8,TRUE)</f>
        <v>0</v>
      </c>
    </row>
    <row r="444" spans="1:16" x14ac:dyDescent="0.3">
      <c r="A444" t="s">
        <v>1008</v>
      </c>
      <c r="B444" s="5" t="s">
        <v>1100</v>
      </c>
      <c r="C444" s="3" t="str">
        <f t="shared" si="6"/>
        <v>06-06-2024</v>
      </c>
      <c r="D444" t="s">
        <v>35</v>
      </c>
      <c r="E444" t="s">
        <v>1101</v>
      </c>
      <c r="F444" t="s">
        <v>18</v>
      </c>
      <c r="G444" t="s">
        <v>29</v>
      </c>
      <c r="H444" t="s">
        <v>20</v>
      </c>
      <c r="I444">
        <v>3</v>
      </c>
      <c r="J444">
        <v>8396</v>
      </c>
      <c r="K444" s="7">
        <v>0.05</v>
      </c>
      <c r="L444" t="s">
        <v>21</v>
      </c>
      <c r="M444" t="s">
        <v>22</v>
      </c>
      <c r="N444" t="s">
        <v>32</v>
      </c>
      <c r="P444">
        <f>VLOOKUP(Table2[[#This Row],[Product_ID]],Table1[#All],8,TRUE)</f>
        <v>0</v>
      </c>
    </row>
    <row r="445" spans="1:16" x14ac:dyDescent="0.3">
      <c r="A445" t="s">
        <v>1102</v>
      </c>
      <c r="B445" s="5" t="s">
        <v>1103</v>
      </c>
      <c r="C445" s="3" t="str">
        <f t="shared" si="6"/>
        <v>01-09-2023</v>
      </c>
      <c r="D445" t="s">
        <v>80</v>
      </c>
      <c r="E445" t="s">
        <v>973</v>
      </c>
      <c r="F445" t="s">
        <v>57</v>
      </c>
      <c r="G445" t="s">
        <v>37</v>
      </c>
      <c r="H445" t="s">
        <v>99</v>
      </c>
      <c r="I445">
        <v>1</v>
      </c>
      <c r="J445">
        <v>5507</v>
      </c>
      <c r="K445" s="7">
        <v>0.15</v>
      </c>
      <c r="L445" t="s">
        <v>31</v>
      </c>
      <c r="M445" t="s">
        <v>39</v>
      </c>
      <c r="N445" t="s">
        <v>59</v>
      </c>
      <c r="O445">
        <v>3.3</v>
      </c>
      <c r="P445">
        <f>VLOOKUP(Table2[[#This Row],[Product_ID]],Table1[#All],8,TRUE)</f>
        <v>700</v>
      </c>
    </row>
    <row r="446" spans="1:16" x14ac:dyDescent="0.3">
      <c r="A446" t="s">
        <v>1104</v>
      </c>
      <c r="B446" s="5" t="s">
        <v>1105</v>
      </c>
      <c r="C446" s="3" t="str">
        <f t="shared" si="6"/>
        <v>23-09-2024</v>
      </c>
      <c r="D446" t="s">
        <v>84</v>
      </c>
      <c r="E446" t="s">
        <v>63</v>
      </c>
      <c r="F446" t="s">
        <v>18</v>
      </c>
      <c r="G446" t="s">
        <v>19</v>
      </c>
      <c r="H446" t="s">
        <v>99</v>
      </c>
      <c r="I446">
        <v>4</v>
      </c>
      <c r="J446">
        <v>3204</v>
      </c>
      <c r="K446" s="7">
        <v>0.05</v>
      </c>
      <c r="L446" t="s">
        <v>38</v>
      </c>
      <c r="M446" t="s">
        <v>22</v>
      </c>
      <c r="N446" t="s">
        <v>23</v>
      </c>
      <c r="P446">
        <f>VLOOKUP(Table2[[#This Row],[Product_ID]],Table1[#All],8,TRUE)</f>
        <v>500</v>
      </c>
    </row>
    <row r="447" spans="1:16" x14ac:dyDescent="0.3">
      <c r="A447" t="s">
        <v>1106</v>
      </c>
      <c r="B447" s="5" t="s">
        <v>1107</v>
      </c>
      <c r="C447" s="3" t="str">
        <f t="shared" si="6"/>
        <v>03-01-2023</v>
      </c>
      <c r="D447" t="s">
        <v>67</v>
      </c>
      <c r="E447" t="s">
        <v>1108</v>
      </c>
      <c r="F447" t="s">
        <v>28</v>
      </c>
      <c r="G447" t="s">
        <v>37</v>
      </c>
      <c r="H447" t="s">
        <v>77</v>
      </c>
      <c r="I447">
        <v>4</v>
      </c>
      <c r="J447">
        <v>4144</v>
      </c>
      <c r="K447" s="7">
        <v>0.2</v>
      </c>
      <c r="L447" t="s">
        <v>21</v>
      </c>
      <c r="M447" t="s">
        <v>22</v>
      </c>
      <c r="N447" t="s">
        <v>59</v>
      </c>
      <c r="O447">
        <v>4</v>
      </c>
      <c r="P447">
        <f>VLOOKUP(Table2[[#This Row],[Product_ID]],Table1[#All],8,TRUE)</f>
        <v>700</v>
      </c>
    </row>
    <row r="448" spans="1:16" x14ac:dyDescent="0.3">
      <c r="A448" t="s">
        <v>1109</v>
      </c>
      <c r="B448" s="5" t="s">
        <v>1021</v>
      </c>
      <c r="C448" s="3" t="str">
        <f t="shared" si="6"/>
        <v>26-12-2023</v>
      </c>
      <c r="D448" t="s">
        <v>96</v>
      </c>
      <c r="E448" t="s">
        <v>1110</v>
      </c>
      <c r="F448" t="s">
        <v>18</v>
      </c>
      <c r="G448" t="s">
        <v>19</v>
      </c>
      <c r="H448" t="s">
        <v>20</v>
      </c>
      <c r="I448">
        <v>3</v>
      </c>
      <c r="J448">
        <v>2476</v>
      </c>
      <c r="K448" s="7">
        <v>0.15</v>
      </c>
      <c r="L448" t="s">
        <v>58</v>
      </c>
      <c r="M448" t="s">
        <v>22</v>
      </c>
      <c r="N448" t="s">
        <v>48</v>
      </c>
      <c r="P448">
        <f>VLOOKUP(Table2[[#This Row],[Product_ID]],Table1[#All],8,TRUE)</f>
        <v>900</v>
      </c>
    </row>
    <row r="449" spans="1:16" x14ac:dyDescent="0.3">
      <c r="A449" t="s">
        <v>1111</v>
      </c>
      <c r="B449" s="5" t="s">
        <v>1112</v>
      </c>
      <c r="C449" s="3" t="str">
        <f t="shared" si="6"/>
        <v>12-02-2023</v>
      </c>
      <c r="D449" t="s">
        <v>67</v>
      </c>
      <c r="E449" t="s">
        <v>609</v>
      </c>
      <c r="F449" t="s">
        <v>73</v>
      </c>
      <c r="G449" t="s">
        <v>37</v>
      </c>
      <c r="H449" t="s">
        <v>77</v>
      </c>
      <c r="I449">
        <v>3</v>
      </c>
      <c r="J449">
        <v>7799</v>
      </c>
      <c r="K449" s="7">
        <v>0.2</v>
      </c>
      <c r="L449" t="s">
        <v>38</v>
      </c>
      <c r="M449" t="s">
        <v>22</v>
      </c>
      <c r="N449" t="s">
        <v>32</v>
      </c>
      <c r="O449">
        <v>4.5</v>
      </c>
      <c r="P449">
        <f>VLOOKUP(Table2[[#This Row],[Product_ID]],Table1[#All],8,TRUE)</f>
        <v>0</v>
      </c>
    </row>
    <row r="450" spans="1:16" x14ac:dyDescent="0.3">
      <c r="A450" t="s">
        <v>1113</v>
      </c>
      <c r="B450" s="5" t="s">
        <v>828</v>
      </c>
      <c r="C450" s="3" t="str">
        <f t="shared" ref="C450:C513" si="7">TEXT(B450,"dd-mm-yyyy")</f>
        <v>12-10-2024</v>
      </c>
      <c r="D450" t="s">
        <v>51</v>
      </c>
      <c r="E450" t="s">
        <v>668</v>
      </c>
      <c r="F450" t="s">
        <v>57</v>
      </c>
      <c r="G450" t="s">
        <v>19</v>
      </c>
      <c r="H450" t="s">
        <v>20</v>
      </c>
      <c r="I450">
        <v>3</v>
      </c>
      <c r="J450">
        <v>4574</v>
      </c>
      <c r="K450" s="7">
        <v>0.2</v>
      </c>
      <c r="L450" t="s">
        <v>38</v>
      </c>
      <c r="M450" t="s">
        <v>39</v>
      </c>
      <c r="N450" t="s">
        <v>23</v>
      </c>
      <c r="P450">
        <f>VLOOKUP(Table2[[#This Row],[Product_ID]],Table1[#All],8,TRUE)</f>
        <v>0</v>
      </c>
    </row>
    <row r="451" spans="1:16" x14ac:dyDescent="0.3">
      <c r="A451" t="s">
        <v>1114</v>
      </c>
      <c r="B451" s="5" t="s">
        <v>370</v>
      </c>
      <c r="C451" s="3" t="str">
        <f t="shared" si="7"/>
        <v>06-09-2024</v>
      </c>
      <c r="D451" t="s">
        <v>114</v>
      </c>
      <c r="E451" t="s">
        <v>690</v>
      </c>
      <c r="F451" t="s">
        <v>57</v>
      </c>
      <c r="G451" t="s">
        <v>37</v>
      </c>
      <c r="H451" t="s">
        <v>77</v>
      </c>
      <c r="I451">
        <v>1</v>
      </c>
      <c r="J451">
        <v>1829</v>
      </c>
      <c r="K451" s="7">
        <v>0</v>
      </c>
      <c r="L451" t="s">
        <v>38</v>
      </c>
      <c r="M451" t="s">
        <v>22</v>
      </c>
      <c r="N451" t="s">
        <v>48</v>
      </c>
      <c r="O451">
        <v>4</v>
      </c>
      <c r="P451">
        <f>VLOOKUP(Table2[[#This Row],[Product_ID]],Table1[#All],8,TRUE)</f>
        <v>0</v>
      </c>
    </row>
    <row r="452" spans="1:16" x14ac:dyDescent="0.3">
      <c r="A452" t="s">
        <v>1115</v>
      </c>
      <c r="B452" s="5" t="s">
        <v>1116</v>
      </c>
      <c r="C452" s="3" t="str">
        <f t="shared" si="7"/>
        <v>02-12-2023</v>
      </c>
      <c r="D452" t="s">
        <v>62</v>
      </c>
      <c r="E452" t="s">
        <v>991</v>
      </c>
      <c r="F452" t="s">
        <v>43</v>
      </c>
      <c r="G452" t="s">
        <v>19</v>
      </c>
      <c r="H452" t="s">
        <v>20</v>
      </c>
      <c r="I452">
        <v>5</v>
      </c>
      <c r="J452">
        <v>2789</v>
      </c>
      <c r="K452" s="7">
        <v>0.1</v>
      </c>
      <c r="L452" t="s">
        <v>31</v>
      </c>
      <c r="M452" t="s">
        <v>39</v>
      </c>
      <c r="N452" t="s">
        <v>59</v>
      </c>
      <c r="P452">
        <f>VLOOKUP(Table2[[#This Row],[Product_ID]],Table1[#All],8,TRUE)</f>
        <v>0</v>
      </c>
    </row>
    <row r="453" spans="1:16" x14ac:dyDescent="0.3">
      <c r="A453" t="s">
        <v>1117</v>
      </c>
      <c r="B453" s="5" t="s">
        <v>1118</v>
      </c>
      <c r="C453" s="3" t="str">
        <f t="shared" si="7"/>
        <v>07-05-2023</v>
      </c>
      <c r="D453" t="s">
        <v>16</v>
      </c>
      <c r="E453" t="s">
        <v>172</v>
      </c>
      <c r="F453" t="s">
        <v>98</v>
      </c>
      <c r="G453" t="s">
        <v>37</v>
      </c>
      <c r="H453" t="s">
        <v>99</v>
      </c>
      <c r="I453">
        <v>5</v>
      </c>
      <c r="J453">
        <v>6945</v>
      </c>
      <c r="K453" s="7">
        <v>0</v>
      </c>
      <c r="L453" t="s">
        <v>31</v>
      </c>
      <c r="M453" t="s">
        <v>22</v>
      </c>
      <c r="N453" t="s">
        <v>23</v>
      </c>
      <c r="P453">
        <f>VLOOKUP(Table2[[#This Row],[Product_ID]],Table1[#All],8,TRUE)</f>
        <v>1200</v>
      </c>
    </row>
    <row r="454" spans="1:16" x14ac:dyDescent="0.3">
      <c r="A454" t="s">
        <v>1119</v>
      </c>
      <c r="B454" s="5" t="s">
        <v>1120</v>
      </c>
      <c r="C454" s="3" t="str">
        <f t="shared" si="7"/>
        <v>14-12-2024</v>
      </c>
      <c r="D454" t="s">
        <v>51</v>
      </c>
      <c r="E454" t="s">
        <v>1121</v>
      </c>
      <c r="F454" t="s">
        <v>98</v>
      </c>
      <c r="G454" t="s">
        <v>29</v>
      </c>
      <c r="H454" t="s">
        <v>20</v>
      </c>
      <c r="I454">
        <v>5</v>
      </c>
      <c r="J454">
        <v>4119</v>
      </c>
      <c r="K454" s="7">
        <v>0.05</v>
      </c>
      <c r="L454" t="s">
        <v>58</v>
      </c>
      <c r="M454" t="s">
        <v>39</v>
      </c>
      <c r="N454" t="s">
        <v>59</v>
      </c>
      <c r="O454">
        <v>3.9</v>
      </c>
      <c r="P454">
        <f>VLOOKUP(Table2[[#This Row],[Product_ID]],Table1[#All],8,TRUE)</f>
        <v>1500</v>
      </c>
    </row>
    <row r="455" spans="1:16" x14ac:dyDescent="0.3">
      <c r="A455" t="s">
        <v>1122</v>
      </c>
      <c r="B455" s="5" t="s">
        <v>1123</v>
      </c>
      <c r="C455" s="3" t="str">
        <f t="shared" si="7"/>
        <v>03-07-2024</v>
      </c>
      <c r="D455" t="s">
        <v>67</v>
      </c>
      <c r="E455" t="s">
        <v>1124</v>
      </c>
      <c r="F455" t="s">
        <v>18</v>
      </c>
      <c r="G455" t="s">
        <v>19</v>
      </c>
      <c r="H455" t="s">
        <v>20</v>
      </c>
      <c r="I455">
        <v>4</v>
      </c>
      <c r="J455">
        <v>4093</v>
      </c>
      <c r="K455" s="7">
        <v>0.05</v>
      </c>
      <c r="L455" t="s">
        <v>58</v>
      </c>
      <c r="M455" t="s">
        <v>39</v>
      </c>
      <c r="N455" t="s">
        <v>48</v>
      </c>
      <c r="P455">
        <f>VLOOKUP(Table2[[#This Row],[Product_ID]],Table1[#All],8,TRUE)</f>
        <v>700</v>
      </c>
    </row>
    <row r="456" spans="1:16" x14ac:dyDescent="0.3">
      <c r="A456" t="s">
        <v>1125</v>
      </c>
      <c r="B456" s="5" t="s">
        <v>1126</v>
      </c>
      <c r="C456" s="3" t="str">
        <f t="shared" si="7"/>
        <v>25-07-2023</v>
      </c>
      <c r="D456" t="s">
        <v>16</v>
      </c>
      <c r="E456" t="s">
        <v>560</v>
      </c>
      <c r="F456" t="s">
        <v>73</v>
      </c>
      <c r="G456" t="s">
        <v>53</v>
      </c>
      <c r="H456" t="s">
        <v>30</v>
      </c>
      <c r="I456">
        <v>4</v>
      </c>
      <c r="J456">
        <v>5008</v>
      </c>
      <c r="K456" s="7">
        <v>0.1</v>
      </c>
      <c r="L456" t="s">
        <v>31</v>
      </c>
      <c r="M456" t="s">
        <v>39</v>
      </c>
      <c r="N456" t="s">
        <v>48</v>
      </c>
      <c r="O456">
        <v>3.4</v>
      </c>
      <c r="P456">
        <f>VLOOKUP(Table2[[#This Row],[Product_ID]],Table1[#All],8,TRUE)</f>
        <v>500</v>
      </c>
    </row>
    <row r="457" spans="1:16" x14ac:dyDescent="0.3">
      <c r="A457" t="s">
        <v>1078</v>
      </c>
      <c r="B457" s="5" t="s">
        <v>1127</v>
      </c>
      <c r="C457" s="3" t="str">
        <f t="shared" si="7"/>
        <v>08-12-2024</v>
      </c>
      <c r="D457" t="s">
        <v>96</v>
      </c>
      <c r="E457" t="s">
        <v>1009</v>
      </c>
      <c r="F457" t="s">
        <v>43</v>
      </c>
      <c r="G457" t="s">
        <v>53</v>
      </c>
      <c r="H457" t="s">
        <v>77</v>
      </c>
      <c r="I457">
        <v>2</v>
      </c>
      <c r="J457">
        <v>8342</v>
      </c>
      <c r="K457" s="7">
        <v>0</v>
      </c>
      <c r="L457" t="s">
        <v>31</v>
      </c>
      <c r="M457" t="s">
        <v>22</v>
      </c>
      <c r="N457" t="s">
        <v>59</v>
      </c>
      <c r="P457">
        <f>VLOOKUP(Table2[[#This Row],[Product_ID]],Table1[#All],8,TRUE)</f>
        <v>500</v>
      </c>
    </row>
    <row r="458" spans="1:16" x14ac:dyDescent="0.3">
      <c r="A458" t="s">
        <v>1128</v>
      </c>
      <c r="B458" s="5" t="s">
        <v>549</v>
      </c>
      <c r="C458" s="3" t="str">
        <f t="shared" si="7"/>
        <v>06-11-2024</v>
      </c>
      <c r="D458" t="s">
        <v>114</v>
      </c>
      <c r="E458" t="s">
        <v>1129</v>
      </c>
      <c r="F458" t="s">
        <v>64</v>
      </c>
      <c r="G458" t="s">
        <v>37</v>
      </c>
      <c r="H458" t="s">
        <v>20</v>
      </c>
      <c r="I458">
        <v>3</v>
      </c>
      <c r="J458">
        <v>1756</v>
      </c>
      <c r="K458" s="7">
        <v>0</v>
      </c>
      <c r="L458" t="s">
        <v>38</v>
      </c>
      <c r="M458" t="s">
        <v>22</v>
      </c>
      <c r="N458" t="s">
        <v>48</v>
      </c>
      <c r="P458">
        <f>VLOOKUP(Table2[[#This Row],[Product_ID]],Table1[#All],8,TRUE)</f>
        <v>1500</v>
      </c>
    </row>
    <row r="459" spans="1:16" x14ac:dyDescent="0.3">
      <c r="A459" t="s">
        <v>1130</v>
      </c>
      <c r="B459" s="5" t="s">
        <v>1131</v>
      </c>
      <c r="C459" s="3" t="str">
        <f t="shared" si="7"/>
        <v>30-11-2024</v>
      </c>
      <c r="D459" t="s">
        <v>80</v>
      </c>
      <c r="E459" t="s">
        <v>263</v>
      </c>
      <c r="F459" t="s">
        <v>28</v>
      </c>
      <c r="G459" t="s">
        <v>29</v>
      </c>
      <c r="H459" t="s">
        <v>77</v>
      </c>
      <c r="I459">
        <v>3</v>
      </c>
      <c r="J459">
        <v>3365</v>
      </c>
      <c r="K459" s="7">
        <v>0.15</v>
      </c>
      <c r="L459" t="s">
        <v>31</v>
      </c>
      <c r="M459" t="s">
        <v>22</v>
      </c>
      <c r="N459" t="s">
        <v>48</v>
      </c>
      <c r="P459">
        <f>VLOOKUP(Table2[[#This Row],[Product_ID]],Table1[#All],8,TRUE)</f>
        <v>1500</v>
      </c>
    </row>
    <row r="460" spans="1:16" x14ac:dyDescent="0.3">
      <c r="A460" t="s">
        <v>1132</v>
      </c>
      <c r="B460" s="5" t="s">
        <v>1133</v>
      </c>
      <c r="C460" s="3" t="str">
        <f t="shared" si="7"/>
        <v>22-03-2024</v>
      </c>
      <c r="D460" t="s">
        <v>46</v>
      </c>
      <c r="E460" t="s">
        <v>716</v>
      </c>
      <c r="F460" t="s">
        <v>98</v>
      </c>
      <c r="G460" t="s">
        <v>29</v>
      </c>
      <c r="H460" t="s">
        <v>99</v>
      </c>
      <c r="I460">
        <v>4</v>
      </c>
      <c r="J460">
        <v>4765</v>
      </c>
      <c r="K460" s="7">
        <v>0</v>
      </c>
      <c r="L460" t="s">
        <v>38</v>
      </c>
      <c r="M460" t="s">
        <v>22</v>
      </c>
      <c r="N460" t="s">
        <v>59</v>
      </c>
      <c r="P460">
        <f>VLOOKUP(Table2[[#This Row],[Product_ID]],Table1[#All],8,TRUE)</f>
        <v>700</v>
      </c>
    </row>
    <row r="461" spans="1:16" x14ac:dyDescent="0.3">
      <c r="A461" t="s">
        <v>1134</v>
      </c>
      <c r="B461" s="5" t="s">
        <v>908</v>
      </c>
      <c r="C461" s="3" t="str">
        <f t="shared" si="7"/>
        <v>29-05-2023</v>
      </c>
      <c r="D461" t="s">
        <v>127</v>
      </c>
      <c r="E461" t="s">
        <v>198</v>
      </c>
      <c r="F461" t="s">
        <v>43</v>
      </c>
      <c r="G461" t="s">
        <v>29</v>
      </c>
      <c r="H461" t="s">
        <v>99</v>
      </c>
      <c r="I461">
        <v>3</v>
      </c>
      <c r="J461">
        <v>1277</v>
      </c>
      <c r="K461" s="7">
        <v>0.1</v>
      </c>
      <c r="L461" t="s">
        <v>58</v>
      </c>
      <c r="M461" t="s">
        <v>22</v>
      </c>
      <c r="N461" t="s">
        <v>23</v>
      </c>
      <c r="O461">
        <v>4.0999999999999996</v>
      </c>
      <c r="P461">
        <f>VLOOKUP(Table2[[#This Row],[Product_ID]],Table1[#All],8,TRUE)</f>
        <v>0</v>
      </c>
    </row>
    <row r="462" spans="1:16" x14ac:dyDescent="0.3">
      <c r="A462" t="s">
        <v>1135</v>
      </c>
      <c r="B462" s="5" t="s">
        <v>1136</v>
      </c>
      <c r="C462" s="3" t="str">
        <f t="shared" si="7"/>
        <v>14-07-2023</v>
      </c>
      <c r="D462" t="s">
        <v>80</v>
      </c>
      <c r="E462" t="s">
        <v>42</v>
      </c>
      <c r="F462" t="s">
        <v>73</v>
      </c>
      <c r="G462" t="s">
        <v>53</v>
      </c>
      <c r="H462" t="s">
        <v>99</v>
      </c>
      <c r="I462">
        <v>5</v>
      </c>
      <c r="J462">
        <v>5433</v>
      </c>
      <c r="K462" s="7">
        <v>0.05</v>
      </c>
      <c r="L462" t="s">
        <v>31</v>
      </c>
      <c r="M462" t="s">
        <v>22</v>
      </c>
      <c r="N462" t="s">
        <v>23</v>
      </c>
      <c r="P462">
        <f>VLOOKUP(Table2[[#This Row],[Product_ID]],Table1[#All],8,TRUE)</f>
        <v>900</v>
      </c>
    </row>
    <row r="463" spans="1:16" x14ac:dyDescent="0.3">
      <c r="A463" t="s">
        <v>1137</v>
      </c>
      <c r="B463" s="5" t="s">
        <v>1138</v>
      </c>
      <c r="C463" s="3" t="str">
        <f t="shared" si="7"/>
        <v>23-11-2024</v>
      </c>
      <c r="D463" t="s">
        <v>46</v>
      </c>
      <c r="E463" t="s">
        <v>582</v>
      </c>
      <c r="F463" t="s">
        <v>28</v>
      </c>
      <c r="G463" t="s">
        <v>37</v>
      </c>
      <c r="H463" t="s">
        <v>20</v>
      </c>
      <c r="I463">
        <v>4</v>
      </c>
      <c r="J463">
        <v>7106</v>
      </c>
      <c r="K463" s="7">
        <v>0.1</v>
      </c>
      <c r="L463" t="s">
        <v>21</v>
      </c>
      <c r="M463" t="s">
        <v>39</v>
      </c>
      <c r="N463" t="s">
        <v>32</v>
      </c>
      <c r="P463">
        <f>VLOOKUP(Table2[[#This Row],[Product_ID]],Table1[#All],8,TRUE)</f>
        <v>900</v>
      </c>
    </row>
    <row r="464" spans="1:16" x14ac:dyDescent="0.3">
      <c r="A464" t="s">
        <v>1139</v>
      </c>
      <c r="B464" s="5" t="s">
        <v>1140</v>
      </c>
      <c r="C464" s="3" t="str">
        <f t="shared" si="7"/>
        <v>28-02-2023</v>
      </c>
      <c r="D464" t="s">
        <v>46</v>
      </c>
      <c r="E464" t="s">
        <v>635</v>
      </c>
      <c r="F464" t="s">
        <v>57</v>
      </c>
      <c r="G464" t="s">
        <v>53</v>
      </c>
      <c r="H464" t="s">
        <v>30</v>
      </c>
      <c r="I464">
        <v>3</v>
      </c>
      <c r="J464">
        <v>3427</v>
      </c>
      <c r="K464" s="7">
        <v>0.2</v>
      </c>
      <c r="L464" t="s">
        <v>58</v>
      </c>
      <c r="M464" t="s">
        <v>39</v>
      </c>
      <c r="N464" t="s">
        <v>59</v>
      </c>
      <c r="P464">
        <f>VLOOKUP(Table2[[#This Row],[Product_ID]],Table1[#All],8,TRUE)</f>
        <v>900</v>
      </c>
    </row>
    <row r="465" spans="1:16" x14ac:dyDescent="0.3">
      <c r="A465" t="s">
        <v>1141</v>
      </c>
      <c r="B465" s="5" t="s">
        <v>1142</v>
      </c>
      <c r="C465" s="3" t="str">
        <f t="shared" si="7"/>
        <v>26-11-2024</v>
      </c>
      <c r="D465" t="s">
        <v>96</v>
      </c>
      <c r="E465" t="s">
        <v>991</v>
      </c>
      <c r="F465" t="s">
        <v>43</v>
      </c>
      <c r="G465" t="s">
        <v>37</v>
      </c>
      <c r="H465" t="s">
        <v>20</v>
      </c>
      <c r="I465">
        <v>3</v>
      </c>
      <c r="J465">
        <v>6515</v>
      </c>
      <c r="K465" s="7">
        <v>0.1</v>
      </c>
      <c r="L465" t="s">
        <v>31</v>
      </c>
      <c r="M465" t="s">
        <v>22</v>
      </c>
      <c r="N465" t="s">
        <v>23</v>
      </c>
      <c r="O465">
        <v>3.9</v>
      </c>
      <c r="P465">
        <f>VLOOKUP(Table2[[#This Row],[Product_ID]],Table1[#All],8,TRUE)</f>
        <v>0</v>
      </c>
    </row>
    <row r="466" spans="1:16" x14ac:dyDescent="0.3">
      <c r="A466" t="s">
        <v>1143</v>
      </c>
      <c r="B466" s="5" t="s">
        <v>1144</v>
      </c>
      <c r="C466" s="3" t="str">
        <f t="shared" si="7"/>
        <v>10-10-2024</v>
      </c>
      <c r="D466" t="s">
        <v>127</v>
      </c>
      <c r="E466" t="s">
        <v>640</v>
      </c>
      <c r="F466" t="s">
        <v>43</v>
      </c>
      <c r="G466" t="s">
        <v>37</v>
      </c>
      <c r="H466" t="s">
        <v>77</v>
      </c>
      <c r="I466">
        <v>5</v>
      </c>
      <c r="J466">
        <v>5145</v>
      </c>
      <c r="K466" s="7">
        <v>0.05</v>
      </c>
      <c r="L466" t="s">
        <v>38</v>
      </c>
      <c r="M466" t="s">
        <v>39</v>
      </c>
      <c r="N466" t="s">
        <v>23</v>
      </c>
      <c r="O466">
        <v>4.5</v>
      </c>
      <c r="P466">
        <f>VLOOKUP(Table2[[#This Row],[Product_ID]],Table1[#All],8,TRUE)</f>
        <v>900</v>
      </c>
    </row>
    <row r="467" spans="1:16" x14ac:dyDescent="0.3">
      <c r="A467" t="s">
        <v>1145</v>
      </c>
      <c r="B467" s="5" t="s">
        <v>1146</v>
      </c>
      <c r="C467" s="3" t="str">
        <f t="shared" si="7"/>
        <v>09-10-2023</v>
      </c>
      <c r="D467" t="s">
        <v>71</v>
      </c>
      <c r="E467" t="s">
        <v>629</v>
      </c>
      <c r="F467" t="s">
        <v>18</v>
      </c>
      <c r="G467" t="s">
        <v>37</v>
      </c>
      <c r="H467" t="s">
        <v>20</v>
      </c>
      <c r="I467">
        <v>2</v>
      </c>
      <c r="J467">
        <v>9008</v>
      </c>
      <c r="K467" s="7">
        <v>0.2</v>
      </c>
      <c r="L467" t="s">
        <v>58</v>
      </c>
      <c r="M467" t="s">
        <v>22</v>
      </c>
      <c r="N467" t="s">
        <v>23</v>
      </c>
      <c r="O467">
        <v>3.2</v>
      </c>
      <c r="P467">
        <f>VLOOKUP(Table2[[#This Row],[Product_ID]],Table1[#All],8,TRUE)</f>
        <v>900</v>
      </c>
    </row>
    <row r="468" spans="1:16" x14ac:dyDescent="0.3">
      <c r="A468" t="s">
        <v>809</v>
      </c>
      <c r="B468" s="5" t="s">
        <v>1147</v>
      </c>
      <c r="C468" s="3" t="str">
        <f t="shared" si="7"/>
        <v>13-05-2023</v>
      </c>
      <c r="D468" t="s">
        <v>127</v>
      </c>
      <c r="E468" t="s">
        <v>1148</v>
      </c>
      <c r="F468" t="s">
        <v>57</v>
      </c>
      <c r="G468" t="s">
        <v>29</v>
      </c>
      <c r="H468" t="s">
        <v>20</v>
      </c>
      <c r="I468">
        <v>1</v>
      </c>
      <c r="J468">
        <v>4442</v>
      </c>
      <c r="K468" s="7">
        <v>0.2</v>
      </c>
      <c r="L468" t="s">
        <v>31</v>
      </c>
      <c r="M468" t="s">
        <v>39</v>
      </c>
      <c r="N468" t="s">
        <v>59</v>
      </c>
      <c r="P468">
        <f>VLOOKUP(Table2[[#This Row],[Product_ID]],Table1[#All],8,TRUE)</f>
        <v>700</v>
      </c>
    </row>
    <row r="469" spans="1:16" x14ac:dyDescent="0.3">
      <c r="A469" t="s">
        <v>1149</v>
      </c>
      <c r="B469" s="5" t="s">
        <v>1150</v>
      </c>
      <c r="C469" s="3" t="str">
        <f t="shared" si="7"/>
        <v>16-03-2024</v>
      </c>
      <c r="D469" t="s">
        <v>62</v>
      </c>
      <c r="E469" t="s">
        <v>1151</v>
      </c>
      <c r="F469" t="s">
        <v>28</v>
      </c>
      <c r="G469" t="s">
        <v>19</v>
      </c>
      <c r="H469" t="s">
        <v>99</v>
      </c>
      <c r="I469">
        <v>5</v>
      </c>
      <c r="J469">
        <v>6564</v>
      </c>
      <c r="K469" s="7">
        <v>0.1</v>
      </c>
      <c r="L469" t="s">
        <v>31</v>
      </c>
      <c r="M469" t="s">
        <v>39</v>
      </c>
      <c r="N469" t="s">
        <v>23</v>
      </c>
      <c r="O469">
        <v>4.4000000000000004</v>
      </c>
      <c r="P469">
        <f>VLOOKUP(Table2[[#This Row],[Product_ID]],Table1[#All],8,TRUE)</f>
        <v>700</v>
      </c>
    </row>
    <row r="470" spans="1:16" x14ac:dyDescent="0.3">
      <c r="A470" t="s">
        <v>1152</v>
      </c>
      <c r="B470" s="5" t="s">
        <v>1153</v>
      </c>
      <c r="C470" s="3" t="str">
        <f t="shared" si="7"/>
        <v>28-01-2023</v>
      </c>
      <c r="D470" t="s">
        <v>26</v>
      </c>
      <c r="E470" t="s">
        <v>1027</v>
      </c>
      <c r="F470" t="s">
        <v>73</v>
      </c>
      <c r="G470" t="s">
        <v>19</v>
      </c>
      <c r="H470" t="s">
        <v>20</v>
      </c>
      <c r="I470">
        <v>1</v>
      </c>
      <c r="J470">
        <v>6761</v>
      </c>
      <c r="K470" s="7">
        <v>0.05</v>
      </c>
      <c r="L470" t="s">
        <v>38</v>
      </c>
      <c r="M470" t="s">
        <v>39</v>
      </c>
      <c r="N470" t="s">
        <v>32</v>
      </c>
      <c r="O470">
        <v>5</v>
      </c>
      <c r="P470">
        <f>VLOOKUP(Table2[[#This Row],[Product_ID]],Table1[#All],8,TRUE)</f>
        <v>1500</v>
      </c>
    </row>
    <row r="471" spans="1:16" x14ac:dyDescent="0.3">
      <c r="A471" t="s">
        <v>1154</v>
      </c>
      <c r="B471" s="5" t="s">
        <v>1155</v>
      </c>
      <c r="C471" s="3" t="str">
        <f t="shared" si="7"/>
        <v>27-05-2024</v>
      </c>
      <c r="D471" t="s">
        <v>51</v>
      </c>
      <c r="E471" t="s">
        <v>1101</v>
      </c>
      <c r="F471" t="s">
        <v>43</v>
      </c>
      <c r="G471" t="s">
        <v>37</v>
      </c>
      <c r="H471" t="s">
        <v>77</v>
      </c>
      <c r="I471">
        <v>2</v>
      </c>
      <c r="J471">
        <v>3447</v>
      </c>
      <c r="K471" s="7">
        <v>0</v>
      </c>
      <c r="L471" t="s">
        <v>38</v>
      </c>
      <c r="M471" t="s">
        <v>39</v>
      </c>
      <c r="N471" t="s">
        <v>48</v>
      </c>
      <c r="O471">
        <v>3.3</v>
      </c>
      <c r="P471">
        <f>VLOOKUP(Table2[[#This Row],[Product_ID]],Table1[#All],8,TRUE)</f>
        <v>0</v>
      </c>
    </row>
    <row r="472" spans="1:16" x14ac:dyDescent="0.3">
      <c r="A472" t="s">
        <v>1156</v>
      </c>
      <c r="B472" s="5" t="s">
        <v>1157</v>
      </c>
      <c r="C472" s="3" t="str">
        <f t="shared" si="7"/>
        <v>29-10-2023</v>
      </c>
      <c r="D472" t="s">
        <v>80</v>
      </c>
      <c r="E472" t="s">
        <v>909</v>
      </c>
      <c r="F472" t="s">
        <v>57</v>
      </c>
      <c r="G472" t="s">
        <v>29</v>
      </c>
      <c r="H472" t="s">
        <v>77</v>
      </c>
      <c r="I472">
        <v>3</v>
      </c>
      <c r="J472">
        <v>8650</v>
      </c>
      <c r="K472" s="7">
        <v>0.15</v>
      </c>
      <c r="L472" t="s">
        <v>31</v>
      </c>
      <c r="M472" t="s">
        <v>39</v>
      </c>
      <c r="N472" t="s">
        <v>59</v>
      </c>
      <c r="O472">
        <v>4.7</v>
      </c>
      <c r="P472">
        <f>VLOOKUP(Table2[[#This Row],[Product_ID]],Table1[#All],8,TRUE)</f>
        <v>1200</v>
      </c>
    </row>
    <row r="473" spans="1:16" x14ac:dyDescent="0.3">
      <c r="A473" t="s">
        <v>1158</v>
      </c>
      <c r="B473" s="5" t="s">
        <v>1159</v>
      </c>
      <c r="C473" s="3" t="str">
        <f t="shared" si="7"/>
        <v>14-02-2023</v>
      </c>
      <c r="D473" t="s">
        <v>71</v>
      </c>
      <c r="E473" t="s">
        <v>68</v>
      </c>
      <c r="F473" t="s">
        <v>57</v>
      </c>
      <c r="G473" t="s">
        <v>29</v>
      </c>
      <c r="H473" t="s">
        <v>77</v>
      </c>
      <c r="I473">
        <v>1</v>
      </c>
      <c r="J473">
        <v>9297</v>
      </c>
      <c r="K473" s="7">
        <v>0.2</v>
      </c>
      <c r="L473" t="s">
        <v>38</v>
      </c>
      <c r="M473" t="s">
        <v>22</v>
      </c>
      <c r="N473" t="s">
        <v>59</v>
      </c>
      <c r="P473">
        <f>VLOOKUP(Table2[[#This Row],[Product_ID]],Table1[#All],8,TRUE)</f>
        <v>700</v>
      </c>
    </row>
    <row r="474" spans="1:16" x14ac:dyDescent="0.3">
      <c r="A474" t="s">
        <v>1160</v>
      </c>
      <c r="B474" s="5" t="s">
        <v>1161</v>
      </c>
      <c r="C474" s="3" t="str">
        <f t="shared" si="7"/>
        <v>03-11-2023</v>
      </c>
      <c r="D474" t="s">
        <v>71</v>
      </c>
      <c r="E474" t="s">
        <v>535</v>
      </c>
      <c r="F474" t="s">
        <v>28</v>
      </c>
      <c r="G474" t="s">
        <v>19</v>
      </c>
      <c r="H474" t="s">
        <v>30</v>
      </c>
      <c r="I474">
        <v>2</v>
      </c>
      <c r="J474">
        <v>6618</v>
      </c>
      <c r="K474" s="7">
        <v>0</v>
      </c>
      <c r="L474" t="s">
        <v>21</v>
      </c>
      <c r="M474" t="s">
        <v>39</v>
      </c>
      <c r="N474" t="s">
        <v>59</v>
      </c>
      <c r="O474">
        <v>3.9</v>
      </c>
      <c r="P474">
        <f>VLOOKUP(Table2[[#This Row],[Product_ID]],Table1[#All],8,TRUE)</f>
        <v>0</v>
      </c>
    </row>
    <row r="475" spans="1:16" x14ac:dyDescent="0.3">
      <c r="A475" t="s">
        <v>1162</v>
      </c>
      <c r="B475" s="5" t="s">
        <v>1131</v>
      </c>
      <c r="C475" s="3" t="str">
        <f t="shared" si="7"/>
        <v>30-11-2024</v>
      </c>
      <c r="D475" t="s">
        <v>16</v>
      </c>
      <c r="E475" t="s">
        <v>201</v>
      </c>
      <c r="F475" t="s">
        <v>73</v>
      </c>
      <c r="G475" t="s">
        <v>37</v>
      </c>
      <c r="H475" t="s">
        <v>20</v>
      </c>
      <c r="I475">
        <v>4</v>
      </c>
      <c r="J475">
        <v>3867</v>
      </c>
      <c r="K475" s="7">
        <v>0.2</v>
      </c>
      <c r="L475" t="s">
        <v>21</v>
      </c>
      <c r="M475" t="s">
        <v>39</v>
      </c>
      <c r="N475" t="s">
        <v>48</v>
      </c>
      <c r="O475">
        <v>4.2</v>
      </c>
      <c r="P475">
        <f>VLOOKUP(Table2[[#This Row],[Product_ID]],Table1[#All],8,TRUE)</f>
        <v>1200</v>
      </c>
    </row>
    <row r="476" spans="1:16" x14ac:dyDescent="0.3">
      <c r="A476" t="s">
        <v>1163</v>
      </c>
      <c r="B476" s="5" t="s">
        <v>1164</v>
      </c>
      <c r="C476" s="3" t="str">
        <f t="shared" si="7"/>
        <v>19-06-2024</v>
      </c>
      <c r="D476" t="s">
        <v>131</v>
      </c>
      <c r="E476" t="s">
        <v>325</v>
      </c>
      <c r="F476" t="s">
        <v>64</v>
      </c>
      <c r="G476" t="s">
        <v>29</v>
      </c>
      <c r="H476" t="s">
        <v>30</v>
      </c>
      <c r="I476">
        <v>4</v>
      </c>
      <c r="J476">
        <v>5131</v>
      </c>
      <c r="K476" s="7">
        <v>0.05</v>
      </c>
      <c r="L476" t="s">
        <v>31</v>
      </c>
      <c r="M476" t="s">
        <v>22</v>
      </c>
      <c r="N476" t="s">
        <v>59</v>
      </c>
      <c r="P476">
        <f>VLOOKUP(Table2[[#This Row],[Product_ID]],Table1[#All],8,TRUE)</f>
        <v>1200</v>
      </c>
    </row>
    <row r="477" spans="1:16" x14ac:dyDescent="0.3">
      <c r="A477" t="s">
        <v>276</v>
      </c>
      <c r="B477" s="5" t="s">
        <v>1165</v>
      </c>
      <c r="C477" s="3" t="str">
        <f t="shared" si="7"/>
        <v>02-12-2024</v>
      </c>
      <c r="D477" t="s">
        <v>71</v>
      </c>
      <c r="E477" t="s">
        <v>758</v>
      </c>
      <c r="F477" t="s">
        <v>57</v>
      </c>
      <c r="G477" t="s">
        <v>53</v>
      </c>
      <c r="H477" t="s">
        <v>77</v>
      </c>
      <c r="I477">
        <v>1</v>
      </c>
      <c r="J477">
        <v>8048</v>
      </c>
      <c r="K477" s="7">
        <v>0</v>
      </c>
      <c r="L477" t="s">
        <v>58</v>
      </c>
      <c r="M477" t="s">
        <v>22</v>
      </c>
      <c r="N477" t="s">
        <v>32</v>
      </c>
      <c r="P477">
        <f>VLOOKUP(Table2[[#This Row],[Product_ID]],Table1[#All],8,TRUE)</f>
        <v>1500</v>
      </c>
    </row>
    <row r="478" spans="1:16" x14ac:dyDescent="0.3">
      <c r="A478" t="s">
        <v>1166</v>
      </c>
      <c r="B478" s="5" t="s">
        <v>1167</v>
      </c>
      <c r="C478" s="3" t="str">
        <f t="shared" si="7"/>
        <v>25-11-2024</v>
      </c>
      <c r="D478" t="s">
        <v>84</v>
      </c>
      <c r="E478" t="s">
        <v>72</v>
      </c>
      <c r="F478" t="s">
        <v>43</v>
      </c>
      <c r="G478" t="s">
        <v>19</v>
      </c>
      <c r="H478" t="s">
        <v>30</v>
      </c>
      <c r="I478">
        <v>2</v>
      </c>
      <c r="J478">
        <v>3530</v>
      </c>
      <c r="K478" s="7">
        <v>0.1</v>
      </c>
      <c r="L478" t="s">
        <v>21</v>
      </c>
      <c r="M478" t="s">
        <v>39</v>
      </c>
      <c r="N478" t="s">
        <v>59</v>
      </c>
      <c r="P478">
        <f>VLOOKUP(Table2[[#This Row],[Product_ID]],Table1[#All],8,TRUE)</f>
        <v>0</v>
      </c>
    </row>
    <row r="479" spans="1:16" x14ac:dyDescent="0.3">
      <c r="A479" t="s">
        <v>1168</v>
      </c>
      <c r="B479" s="5" t="s">
        <v>1169</v>
      </c>
      <c r="C479" s="3" t="str">
        <f t="shared" si="7"/>
        <v>02-07-2023</v>
      </c>
      <c r="D479" t="s">
        <v>16</v>
      </c>
      <c r="E479" t="s">
        <v>1170</v>
      </c>
      <c r="F479" t="s">
        <v>43</v>
      </c>
      <c r="G479" t="s">
        <v>29</v>
      </c>
      <c r="H479" t="s">
        <v>20</v>
      </c>
      <c r="I479">
        <v>5</v>
      </c>
      <c r="J479">
        <v>7391</v>
      </c>
      <c r="K479" s="7">
        <v>0</v>
      </c>
      <c r="L479" t="s">
        <v>31</v>
      </c>
      <c r="M479" t="s">
        <v>39</v>
      </c>
      <c r="N479" t="s">
        <v>59</v>
      </c>
      <c r="P479">
        <f>VLOOKUP(Table2[[#This Row],[Product_ID]],Table1[#All],8,TRUE)</f>
        <v>1500</v>
      </c>
    </row>
    <row r="480" spans="1:16" x14ac:dyDescent="0.3">
      <c r="A480" t="s">
        <v>1171</v>
      </c>
      <c r="B480" s="5" t="s">
        <v>1172</v>
      </c>
      <c r="C480" s="3" t="str">
        <f t="shared" si="7"/>
        <v>13-09-2023</v>
      </c>
      <c r="D480" t="s">
        <v>114</v>
      </c>
      <c r="E480" t="s">
        <v>597</v>
      </c>
      <c r="F480" t="s">
        <v>57</v>
      </c>
      <c r="G480" t="s">
        <v>19</v>
      </c>
      <c r="H480" t="s">
        <v>99</v>
      </c>
      <c r="I480">
        <v>3</v>
      </c>
      <c r="J480">
        <v>5775</v>
      </c>
      <c r="K480" s="7">
        <v>0.15</v>
      </c>
      <c r="L480" t="s">
        <v>21</v>
      </c>
      <c r="M480" t="s">
        <v>39</v>
      </c>
      <c r="N480" t="s">
        <v>59</v>
      </c>
      <c r="P480">
        <f>VLOOKUP(Table2[[#This Row],[Product_ID]],Table1[#All],8,TRUE)</f>
        <v>1500</v>
      </c>
    </row>
    <row r="481" spans="1:16" x14ac:dyDescent="0.3">
      <c r="A481" t="s">
        <v>1037</v>
      </c>
      <c r="B481" s="5" t="s">
        <v>1173</v>
      </c>
      <c r="C481" s="3" t="str">
        <f t="shared" si="7"/>
        <v>24-03-2024</v>
      </c>
      <c r="D481" t="s">
        <v>16</v>
      </c>
      <c r="E481" t="s">
        <v>1174</v>
      </c>
      <c r="F481" t="s">
        <v>43</v>
      </c>
      <c r="G481" t="s">
        <v>37</v>
      </c>
      <c r="H481" t="s">
        <v>77</v>
      </c>
      <c r="I481">
        <v>5</v>
      </c>
      <c r="J481">
        <v>5158</v>
      </c>
      <c r="K481" s="7">
        <v>0.15</v>
      </c>
      <c r="L481" t="s">
        <v>38</v>
      </c>
      <c r="M481" t="s">
        <v>39</v>
      </c>
      <c r="N481" t="s">
        <v>48</v>
      </c>
      <c r="P481">
        <f>VLOOKUP(Table2[[#This Row],[Product_ID]],Table1[#All],8,TRUE)</f>
        <v>900</v>
      </c>
    </row>
    <row r="482" spans="1:16" x14ac:dyDescent="0.3">
      <c r="A482" t="s">
        <v>1175</v>
      </c>
      <c r="B482" s="5" t="s">
        <v>1176</v>
      </c>
      <c r="C482" s="3" t="str">
        <f t="shared" si="7"/>
        <v>13-04-2023</v>
      </c>
      <c r="D482" t="s">
        <v>71</v>
      </c>
      <c r="E482" t="s">
        <v>1043</v>
      </c>
      <c r="F482" t="s">
        <v>43</v>
      </c>
      <c r="G482" t="s">
        <v>29</v>
      </c>
      <c r="H482" t="s">
        <v>20</v>
      </c>
      <c r="I482">
        <v>2</v>
      </c>
      <c r="J482">
        <v>9359</v>
      </c>
      <c r="K482" s="7">
        <v>0</v>
      </c>
      <c r="L482" t="s">
        <v>31</v>
      </c>
      <c r="M482" t="s">
        <v>39</v>
      </c>
      <c r="N482" t="s">
        <v>32</v>
      </c>
      <c r="O482">
        <v>5</v>
      </c>
      <c r="P482">
        <f>VLOOKUP(Table2[[#This Row],[Product_ID]],Table1[#All],8,TRUE)</f>
        <v>1500</v>
      </c>
    </row>
    <row r="483" spans="1:16" x14ac:dyDescent="0.3">
      <c r="A483" t="s">
        <v>1177</v>
      </c>
      <c r="B483" s="5" t="s">
        <v>1178</v>
      </c>
      <c r="C483" s="3" t="str">
        <f t="shared" si="7"/>
        <v>22-08-2023</v>
      </c>
      <c r="D483" t="s">
        <v>46</v>
      </c>
      <c r="E483" t="s">
        <v>1179</v>
      </c>
      <c r="F483" t="s">
        <v>28</v>
      </c>
      <c r="G483" t="s">
        <v>37</v>
      </c>
      <c r="H483" t="s">
        <v>20</v>
      </c>
      <c r="I483">
        <v>2</v>
      </c>
      <c r="J483">
        <v>8586</v>
      </c>
      <c r="K483" s="7">
        <v>0.2</v>
      </c>
      <c r="L483" t="s">
        <v>31</v>
      </c>
      <c r="M483" t="s">
        <v>39</v>
      </c>
      <c r="N483" t="s">
        <v>59</v>
      </c>
      <c r="O483">
        <v>4.8</v>
      </c>
      <c r="P483">
        <f>VLOOKUP(Table2[[#This Row],[Product_ID]],Table1[#All],8,TRUE)</f>
        <v>1200</v>
      </c>
    </row>
    <row r="484" spans="1:16" x14ac:dyDescent="0.3">
      <c r="A484" t="s">
        <v>1180</v>
      </c>
      <c r="B484" s="5" t="s">
        <v>1181</v>
      </c>
      <c r="C484" s="3" t="str">
        <f t="shared" si="7"/>
        <v>22-03-2024</v>
      </c>
      <c r="D484" t="s">
        <v>51</v>
      </c>
      <c r="E484" t="s">
        <v>515</v>
      </c>
      <c r="F484" t="s">
        <v>28</v>
      </c>
      <c r="G484" t="s">
        <v>19</v>
      </c>
      <c r="H484" t="s">
        <v>77</v>
      </c>
      <c r="I484">
        <v>5</v>
      </c>
      <c r="J484">
        <v>4674</v>
      </c>
      <c r="K484" s="7">
        <v>0.1</v>
      </c>
      <c r="L484" t="s">
        <v>38</v>
      </c>
      <c r="M484" t="s">
        <v>39</v>
      </c>
      <c r="N484" t="s">
        <v>48</v>
      </c>
      <c r="O484">
        <v>3.7</v>
      </c>
      <c r="P484">
        <f>VLOOKUP(Table2[[#This Row],[Product_ID]],Table1[#All],8,TRUE)</f>
        <v>0</v>
      </c>
    </row>
    <row r="485" spans="1:16" x14ac:dyDescent="0.3">
      <c r="A485" t="s">
        <v>1182</v>
      </c>
      <c r="B485" s="5" t="s">
        <v>1183</v>
      </c>
      <c r="C485" s="3" t="str">
        <f t="shared" si="7"/>
        <v>01-10-2023</v>
      </c>
      <c r="D485" t="s">
        <v>62</v>
      </c>
      <c r="E485" t="s">
        <v>187</v>
      </c>
      <c r="F485" t="s">
        <v>57</v>
      </c>
      <c r="G485" t="s">
        <v>19</v>
      </c>
      <c r="H485" t="s">
        <v>99</v>
      </c>
      <c r="I485">
        <v>3</v>
      </c>
      <c r="J485">
        <v>6174</v>
      </c>
      <c r="K485" s="7">
        <v>0.1</v>
      </c>
      <c r="L485" t="s">
        <v>38</v>
      </c>
      <c r="M485" t="s">
        <v>39</v>
      </c>
      <c r="N485" t="s">
        <v>32</v>
      </c>
      <c r="O485">
        <v>3.9</v>
      </c>
      <c r="P485">
        <f>VLOOKUP(Table2[[#This Row],[Product_ID]],Table1[#All],8,TRUE)</f>
        <v>500</v>
      </c>
    </row>
    <row r="486" spans="1:16" x14ac:dyDescent="0.3">
      <c r="A486" t="s">
        <v>1184</v>
      </c>
      <c r="B486" s="5" t="s">
        <v>1185</v>
      </c>
      <c r="C486" s="3" t="str">
        <f t="shared" si="7"/>
        <v>01-05-2024</v>
      </c>
      <c r="D486" t="s">
        <v>96</v>
      </c>
      <c r="E486" t="s">
        <v>557</v>
      </c>
      <c r="F486" t="s">
        <v>43</v>
      </c>
      <c r="G486" t="s">
        <v>19</v>
      </c>
      <c r="H486" t="s">
        <v>20</v>
      </c>
      <c r="I486">
        <v>3</v>
      </c>
      <c r="J486">
        <v>9895</v>
      </c>
      <c r="K486" s="7">
        <v>0.15</v>
      </c>
      <c r="L486" t="s">
        <v>38</v>
      </c>
      <c r="M486" t="s">
        <v>22</v>
      </c>
      <c r="N486" t="s">
        <v>23</v>
      </c>
      <c r="O486">
        <v>3.2</v>
      </c>
      <c r="P486">
        <f>VLOOKUP(Table2[[#This Row],[Product_ID]],Table1[#All],8,TRUE)</f>
        <v>1500</v>
      </c>
    </row>
    <row r="487" spans="1:16" x14ac:dyDescent="0.3">
      <c r="A487" t="s">
        <v>1186</v>
      </c>
      <c r="B487" s="5" t="s">
        <v>1187</v>
      </c>
      <c r="C487" s="3" t="str">
        <f t="shared" si="7"/>
        <v>14-09-2023</v>
      </c>
      <c r="D487" t="s">
        <v>16</v>
      </c>
      <c r="E487" t="s">
        <v>314</v>
      </c>
      <c r="F487" t="s">
        <v>18</v>
      </c>
      <c r="G487" t="s">
        <v>37</v>
      </c>
      <c r="H487" t="s">
        <v>30</v>
      </c>
      <c r="I487">
        <v>5</v>
      </c>
      <c r="J487">
        <v>5162</v>
      </c>
      <c r="K487" s="7">
        <v>0.15</v>
      </c>
      <c r="L487" t="s">
        <v>38</v>
      </c>
      <c r="M487" t="s">
        <v>22</v>
      </c>
      <c r="N487" t="s">
        <v>32</v>
      </c>
      <c r="P487">
        <f>VLOOKUP(Table2[[#This Row],[Product_ID]],Table1[#All],8,TRUE)</f>
        <v>500</v>
      </c>
    </row>
    <row r="488" spans="1:16" x14ac:dyDescent="0.3">
      <c r="A488" t="s">
        <v>1188</v>
      </c>
      <c r="B488" s="5" t="s">
        <v>692</v>
      </c>
      <c r="C488" s="3" t="str">
        <f t="shared" si="7"/>
        <v>24-12-2024</v>
      </c>
      <c r="D488" t="s">
        <v>62</v>
      </c>
      <c r="E488" t="s">
        <v>256</v>
      </c>
      <c r="F488" t="s">
        <v>57</v>
      </c>
      <c r="G488" t="s">
        <v>53</v>
      </c>
      <c r="H488" t="s">
        <v>20</v>
      </c>
      <c r="I488">
        <v>4</v>
      </c>
      <c r="J488">
        <v>5774</v>
      </c>
      <c r="K488" s="7">
        <v>0.1</v>
      </c>
      <c r="L488" t="s">
        <v>21</v>
      </c>
      <c r="M488" t="s">
        <v>22</v>
      </c>
      <c r="N488" t="s">
        <v>32</v>
      </c>
      <c r="O488">
        <v>4.0999999999999996</v>
      </c>
      <c r="P488">
        <f>VLOOKUP(Table2[[#This Row],[Product_ID]],Table1[#All],8,TRUE)</f>
        <v>0</v>
      </c>
    </row>
    <row r="489" spans="1:16" x14ac:dyDescent="0.3">
      <c r="A489" t="s">
        <v>1189</v>
      </c>
      <c r="B489" s="5" t="s">
        <v>1190</v>
      </c>
      <c r="C489" s="3" t="str">
        <f t="shared" si="7"/>
        <v>20-12-2023</v>
      </c>
      <c r="D489" t="s">
        <v>26</v>
      </c>
      <c r="E489" t="s">
        <v>273</v>
      </c>
      <c r="F489" t="s">
        <v>57</v>
      </c>
      <c r="G489" t="s">
        <v>29</v>
      </c>
      <c r="H489" t="s">
        <v>20</v>
      </c>
      <c r="I489">
        <v>3</v>
      </c>
      <c r="J489">
        <v>1609</v>
      </c>
      <c r="K489" s="7">
        <v>0.1</v>
      </c>
      <c r="L489" t="s">
        <v>38</v>
      </c>
      <c r="M489" t="s">
        <v>39</v>
      </c>
      <c r="N489" t="s">
        <v>48</v>
      </c>
      <c r="P489">
        <f>VLOOKUP(Table2[[#This Row],[Product_ID]],Table1[#All],8,TRUE)</f>
        <v>700</v>
      </c>
    </row>
    <row r="490" spans="1:16" x14ac:dyDescent="0.3">
      <c r="A490" t="s">
        <v>1191</v>
      </c>
      <c r="B490" s="5" t="s">
        <v>1192</v>
      </c>
      <c r="C490" s="3" t="str">
        <f t="shared" si="7"/>
        <v>30-10-2024</v>
      </c>
      <c r="D490" t="s">
        <v>84</v>
      </c>
      <c r="E490" t="s">
        <v>1193</v>
      </c>
      <c r="F490" t="s">
        <v>98</v>
      </c>
      <c r="G490" t="s">
        <v>29</v>
      </c>
      <c r="H490" t="s">
        <v>30</v>
      </c>
      <c r="I490">
        <v>3</v>
      </c>
      <c r="J490">
        <v>7236</v>
      </c>
      <c r="K490" s="7">
        <v>0</v>
      </c>
      <c r="L490" t="s">
        <v>58</v>
      </c>
      <c r="M490" t="s">
        <v>22</v>
      </c>
      <c r="N490" t="s">
        <v>48</v>
      </c>
      <c r="P490">
        <f>VLOOKUP(Table2[[#This Row],[Product_ID]],Table1[#All],8,TRUE)</f>
        <v>900</v>
      </c>
    </row>
    <row r="491" spans="1:16" x14ac:dyDescent="0.3">
      <c r="A491" t="s">
        <v>1194</v>
      </c>
      <c r="B491" s="5" t="s">
        <v>1195</v>
      </c>
      <c r="C491" s="3" t="str">
        <f t="shared" si="7"/>
        <v>21-03-2023</v>
      </c>
      <c r="D491" t="s">
        <v>67</v>
      </c>
      <c r="E491" t="s">
        <v>629</v>
      </c>
      <c r="F491" t="s">
        <v>43</v>
      </c>
      <c r="G491" t="s">
        <v>29</v>
      </c>
      <c r="H491" t="s">
        <v>20</v>
      </c>
      <c r="I491">
        <v>1</v>
      </c>
      <c r="J491">
        <v>6050</v>
      </c>
      <c r="K491" s="7">
        <v>0.2</v>
      </c>
      <c r="L491" t="s">
        <v>21</v>
      </c>
      <c r="M491" t="s">
        <v>39</v>
      </c>
      <c r="N491" t="s">
        <v>23</v>
      </c>
      <c r="O491">
        <v>4.5</v>
      </c>
      <c r="P491">
        <f>VLOOKUP(Table2[[#This Row],[Product_ID]],Table1[#All],8,TRUE)</f>
        <v>900</v>
      </c>
    </row>
    <row r="492" spans="1:16" x14ac:dyDescent="0.3">
      <c r="A492" t="s">
        <v>1196</v>
      </c>
      <c r="B492" s="5" t="s">
        <v>1197</v>
      </c>
      <c r="C492" s="3" t="str">
        <f t="shared" si="7"/>
        <v>12-02-2024</v>
      </c>
      <c r="D492" t="s">
        <v>62</v>
      </c>
      <c r="E492" t="s">
        <v>1198</v>
      </c>
      <c r="F492" t="s">
        <v>18</v>
      </c>
      <c r="G492" t="s">
        <v>53</v>
      </c>
      <c r="H492" t="s">
        <v>77</v>
      </c>
      <c r="I492">
        <v>2</v>
      </c>
      <c r="J492">
        <v>2244</v>
      </c>
      <c r="K492" s="7">
        <v>0.05</v>
      </c>
      <c r="L492" t="s">
        <v>38</v>
      </c>
      <c r="M492" t="s">
        <v>39</v>
      </c>
      <c r="N492" t="s">
        <v>23</v>
      </c>
      <c r="O492">
        <v>3.5</v>
      </c>
      <c r="P492">
        <f>VLOOKUP(Table2[[#This Row],[Product_ID]],Table1[#All],8,TRUE)</f>
        <v>0</v>
      </c>
    </row>
    <row r="493" spans="1:16" x14ac:dyDescent="0.3">
      <c r="A493" t="s">
        <v>1199</v>
      </c>
      <c r="B493" s="5" t="s">
        <v>1200</v>
      </c>
      <c r="C493" s="3" t="str">
        <f t="shared" si="7"/>
        <v>27-10-2024</v>
      </c>
      <c r="D493" t="s">
        <v>46</v>
      </c>
      <c r="E493" t="s">
        <v>758</v>
      </c>
      <c r="F493" t="s">
        <v>43</v>
      </c>
      <c r="G493" t="s">
        <v>19</v>
      </c>
      <c r="H493" t="s">
        <v>77</v>
      </c>
      <c r="I493">
        <v>1</v>
      </c>
      <c r="J493">
        <v>6368</v>
      </c>
      <c r="K493" s="7">
        <v>0.05</v>
      </c>
      <c r="L493" t="s">
        <v>21</v>
      </c>
      <c r="M493" t="s">
        <v>22</v>
      </c>
      <c r="N493" t="s">
        <v>23</v>
      </c>
      <c r="P493">
        <f>VLOOKUP(Table2[[#This Row],[Product_ID]],Table1[#All],8,TRUE)</f>
        <v>1500</v>
      </c>
    </row>
    <row r="494" spans="1:16" x14ac:dyDescent="0.3">
      <c r="A494" t="s">
        <v>949</v>
      </c>
      <c r="B494" s="5" t="s">
        <v>1058</v>
      </c>
      <c r="C494" s="3" t="str">
        <f t="shared" si="7"/>
        <v>21-07-2023</v>
      </c>
      <c r="D494" t="s">
        <v>114</v>
      </c>
      <c r="E494" t="s">
        <v>771</v>
      </c>
      <c r="F494" t="s">
        <v>43</v>
      </c>
      <c r="G494" t="s">
        <v>53</v>
      </c>
      <c r="H494" t="s">
        <v>20</v>
      </c>
      <c r="I494">
        <v>2</v>
      </c>
      <c r="J494">
        <v>3497</v>
      </c>
      <c r="K494" s="7">
        <v>0</v>
      </c>
      <c r="L494" t="s">
        <v>31</v>
      </c>
      <c r="M494" t="s">
        <v>22</v>
      </c>
      <c r="N494" t="s">
        <v>32</v>
      </c>
      <c r="P494">
        <f>VLOOKUP(Table2[[#This Row],[Product_ID]],Table1[#All],8,TRUE)</f>
        <v>1200</v>
      </c>
    </row>
    <row r="495" spans="1:16" x14ac:dyDescent="0.3">
      <c r="A495" t="s">
        <v>413</v>
      </c>
      <c r="B495" s="5" t="s">
        <v>1201</v>
      </c>
      <c r="C495" s="3" t="str">
        <f t="shared" si="7"/>
        <v>26-02-2024</v>
      </c>
      <c r="D495" t="s">
        <v>67</v>
      </c>
      <c r="E495" t="s">
        <v>1202</v>
      </c>
      <c r="F495" t="s">
        <v>57</v>
      </c>
      <c r="G495" t="s">
        <v>19</v>
      </c>
      <c r="H495" t="s">
        <v>77</v>
      </c>
      <c r="I495">
        <v>4</v>
      </c>
      <c r="J495">
        <v>3555</v>
      </c>
      <c r="K495" s="7">
        <v>0.2</v>
      </c>
      <c r="L495" t="s">
        <v>21</v>
      </c>
      <c r="M495" t="s">
        <v>39</v>
      </c>
      <c r="N495" t="s">
        <v>32</v>
      </c>
      <c r="O495">
        <v>4.0999999999999996</v>
      </c>
      <c r="P495">
        <f>VLOOKUP(Table2[[#This Row],[Product_ID]],Table1[#All],8,TRUE)</f>
        <v>700</v>
      </c>
    </row>
    <row r="496" spans="1:16" x14ac:dyDescent="0.3">
      <c r="A496" t="s">
        <v>1203</v>
      </c>
      <c r="B496" s="5" t="s">
        <v>1204</v>
      </c>
      <c r="C496" s="3" t="str">
        <f t="shared" si="7"/>
        <v>10-09-2024</v>
      </c>
      <c r="D496" t="s">
        <v>80</v>
      </c>
      <c r="E496" t="s">
        <v>410</v>
      </c>
      <c r="F496" t="s">
        <v>64</v>
      </c>
      <c r="G496" t="s">
        <v>19</v>
      </c>
      <c r="H496" t="s">
        <v>77</v>
      </c>
      <c r="I496">
        <v>4</v>
      </c>
      <c r="J496">
        <v>2304</v>
      </c>
      <c r="K496" s="7">
        <v>0.1</v>
      </c>
      <c r="L496" t="s">
        <v>58</v>
      </c>
      <c r="M496" t="s">
        <v>22</v>
      </c>
      <c r="N496" t="s">
        <v>32</v>
      </c>
      <c r="O496">
        <v>4.2</v>
      </c>
      <c r="P496">
        <f>VLOOKUP(Table2[[#This Row],[Product_ID]],Table1[#All],8,TRUE)</f>
        <v>500</v>
      </c>
    </row>
    <row r="497" spans="1:16" x14ac:dyDescent="0.3">
      <c r="A497" t="s">
        <v>1205</v>
      </c>
      <c r="B497" s="5" t="s">
        <v>1103</v>
      </c>
      <c r="C497" s="3" t="str">
        <f t="shared" si="7"/>
        <v>01-09-2023</v>
      </c>
      <c r="D497" t="s">
        <v>114</v>
      </c>
      <c r="E497" t="s">
        <v>445</v>
      </c>
      <c r="F497" t="s">
        <v>28</v>
      </c>
      <c r="G497" t="s">
        <v>19</v>
      </c>
      <c r="H497" t="s">
        <v>77</v>
      </c>
      <c r="I497">
        <v>3</v>
      </c>
      <c r="J497">
        <v>5845</v>
      </c>
      <c r="K497" s="7">
        <v>0.1</v>
      </c>
      <c r="L497" t="s">
        <v>58</v>
      </c>
      <c r="M497" t="s">
        <v>39</v>
      </c>
      <c r="N497" t="s">
        <v>32</v>
      </c>
      <c r="O497">
        <v>4.7</v>
      </c>
      <c r="P497">
        <f>VLOOKUP(Table2[[#This Row],[Product_ID]],Table1[#All],8,TRUE)</f>
        <v>1500</v>
      </c>
    </row>
    <row r="498" spans="1:16" x14ac:dyDescent="0.3">
      <c r="A498" t="s">
        <v>1206</v>
      </c>
      <c r="B498" s="5" t="s">
        <v>1207</v>
      </c>
      <c r="C498" s="3" t="str">
        <f t="shared" si="7"/>
        <v>20-05-2023</v>
      </c>
      <c r="D498" t="s">
        <v>46</v>
      </c>
      <c r="E498" t="s">
        <v>319</v>
      </c>
      <c r="F498" t="s">
        <v>64</v>
      </c>
      <c r="G498" t="s">
        <v>19</v>
      </c>
      <c r="H498" t="s">
        <v>99</v>
      </c>
      <c r="I498">
        <v>5</v>
      </c>
      <c r="J498">
        <v>6609</v>
      </c>
      <c r="K498" s="7">
        <v>0.1</v>
      </c>
      <c r="L498" t="s">
        <v>38</v>
      </c>
      <c r="M498" t="s">
        <v>39</v>
      </c>
      <c r="N498" t="s">
        <v>59</v>
      </c>
      <c r="O498">
        <v>3.3</v>
      </c>
      <c r="P498">
        <f>VLOOKUP(Table2[[#This Row],[Product_ID]],Table1[#All],8,TRUE)</f>
        <v>1200</v>
      </c>
    </row>
    <row r="499" spans="1:16" x14ac:dyDescent="0.3">
      <c r="A499" t="s">
        <v>1208</v>
      </c>
      <c r="B499" s="5" t="s">
        <v>1209</v>
      </c>
      <c r="C499" s="3" t="str">
        <f t="shared" si="7"/>
        <v>25-11-2023</v>
      </c>
      <c r="D499" t="s">
        <v>35</v>
      </c>
      <c r="E499" t="s">
        <v>102</v>
      </c>
      <c r="F499" t="s">
        <v>98</v>
      </c>
      <c r="G499" t="s">
        <v>19</v>
      </c>
      <c r="H499" t="s">
        <v>77</v>
      </c>
      <c r="I499">
        <v>4</v>
      </c>
      <c r="J499">
        <v>6582</v>
      </c>
      <c r="K499" s="7">
        <v>0.15</v>
      </c>
      <c r="L499" t="s">
        <v>58</v>
      </c>
      <c r="M499" t="s">
        <v>39</v>
      </c>
      <c r="N499" t="s">
        <v>23</v>
      </c>
      <c r="P499">
        <f>VLOOKUP(Table2[[#This Row],[Product_ID]],Table1[#All],8,TRUE)</f>
        <v>1500</v>
      </c>
    </row>
    <row r="500" spans="1:16" x14ac:dyDescent="0.3">
      <c r="A500" t="s">
        <v>1210</v>
      </c>
      <c r="B500" s="5" t="s">
        <v>416</v>
      </c>
      <c r="C500" s="3" t="str">
        <f t="shared" si="7"/>
        <v>05-07-2024</v>
      </c>
      <c r="D500" t="s">
        <v>16</v>
      </c>
      <c r="E500" t="s">
        <v>198</v>
      </c>
      <c r="F500" t="s">
        <v>64</v>
      </c>
      <c r="G500" t="s">
        <v>29</v>
      </c>
      <c r="H500" t="s">
        <v>77</v>
      </c>
      <c r="I500">
        <v>4</v>
      </c>
      <c r="J500">
        <v>6030</v>
      </c>
      <c r="K500" s="7">
        <v>0</v>
      </c>
      <c r="L500" t="s">
        <v>31</v>
      </c>
      <c r="M500" t="s">
        <v>22</v>
      </c>
      <c r="N500" t="s">
        <v>59</v>
      </c>
      <c r="O500">
        <v>3.8</v>
      </c>
      <c r="P500">
        <f>VLOOKUP(Table2[[#This Row],[Product_ID]],Table1[#All],8,TRUE)</f>
        <v>0</v>
      </c>
    </row>
    <row r="501" spans="1:16" x14ac:dyDescent="0.3">
      <c r="A501" t="s">
        <v>1168</v>
      </c>
      <c r="B501" s="5" t="s">
        <v>1211</v>
      </c>
      <c r="C501" s="3" t="str">
        <f t="shared" si="7"/>
        <v>15-01-2024</v>
      </c>
      <c r="D501" t="s">
        <v>62</v>
      </c>
      <c r="E501" t="s">
        <v>1212</v>
      </c>
      <c r="F501" t="s">
        <v>28</v>
      </c>
      <c r="G501" t="s">
        <v>53</v>
      </c>
      <c r="H501" t="s">
        <v>77</v>
      </c>
      <c r="I501">
        <v>2</v>
      </c>
      <c r="J501">
        <v>6757</v>
      </c>
      <c r="K501" s="7">
        <v>0.15</v>
      </c>
      <c r="L501" t="s">
        <v>38</v>
      </c>
      <c r="M501" t="s">
        <v>39</v>
      </c>
      <c r="N501" t="s">
        <v>32</v>
      </c>
      <c r="P501">
        <f>VLOOKUP(Table2[[#This Row],[Product_ID]],Table1[#All],8,TRUE)</f>
        <v>700</v>
      </c>
    </row>
    <row r="502" spans="1:16" x14ac:dyDescent="0.3">
      <c r="A502" t="s">
        <v>1213</v>
      </c>
      <c r="B502" s="5" t="s">
        <v>1214</v>
      </c>
      <c r="C502" s="3" t="str">
        <f t="shared" si="7"/>
        <v>16-12-2024</v>
      </c>
      <c r="D502" t="s">
        <v>91</v>
      </c>
      <c r="E502" t="s">
        <v>1215</v>
      </c>
      <c r="F502" t="s">
        <v>43</v>
      </c>
      <c r="G502" t="s">
        <v>53</v>
      </c>
      <c r="H502" t="s">
        <v>77</v>
      </c>
      <c r="I502">
        <v>2</v>
      </c>
      <c r="J502">
        <v>2435</v>
      </c>
      <c r="K502" s="7">
        <v>0.15</v>
      </c>
      <c r="L502" t="s">
        <v>38</v>
      </c>
      <c r="M502" t="s">
        <v>22</v>
      </c>
      <c r="N502" t="s">
        <v>59</v>
      </c>
      <c r="O502">
        <v>3.2</v>
      </c>
      <c r="P502">
        <f>VLOOKUP(Table2[[#This Row],[Product_ID]],Table1[#All],8,TRUE)</f>
        <v>700</v>
      </c>
    </row>
    <row r="503" spans="1:16" x14ac:dyDescent="0.3">
      <c r="A503" t="s">
        <v>1216</v>
      </c>
      <c r="B503" s="5" t="s">
        <v>1217</v>
      </c>
      <c r="C503" s="3" t="str">
        <f t="shared" si="7"/>
        <v>18-02-2024</v>
      </c>
      <c r="D503" t="s">
        <v>67</v>
      </c>
      <c r="E503" t="s">
        <v>88</v>
      </c>
      <c r="F503" t="s">
        <v>28</v>
      </c>
      <c r="G503" t="s">
        <v>53</v>
      </c>
      <c r="H503" t="s">
        <v>77</v>
      </c>
      <c r="I503">
        <v>3</v>
      </c>
      <c r="J503">
        <v>6215</v>
      </c>
      <c r="K503" s="7">
        <v>0.2</v>
      </c>
      <c r="L503" t="s">
        <v>21</v>
      </c>
      <c r="M503" t="s">
        <v>22</v>
      </c>
      <c r="N503" t="s">
        <v>32</v>
      </c>
      <c r="P503">
        <f>VLOOKUP(Table2[[#This Row],[Product_ID]],Table1[#All],8,TRUE)</f>
        <v>0</v>
      </c>
    </row>
    <row r="504" spans="1:16" x14ac:dyDescent="0.3">
      <c r="A504" t="s">
        <v>1218</v>
      </c>
      <c r="B504" s="5" t="s">
        <v>1219</v>
      </c>
      <c r="C504" s="3" t="str">
        <f t="shared" si="7"/>
        <v>29-12-2023</v>
      </c>
      <c r="D504" t="s">
        <v>51</v>
      </c>
      <c r="E504" t="s">
        <v>1220</v>
      </c>
      <c r="F504" t="s">
        <v>43</v>
      </c>
      <c r="G504" t="s">
        <v>37</v>
      </c>
      <c r="H504" t="s">
        <v>77</v>
      </c>
      <c r="I504">
        <v>5</v>
      </c>
      <c r="J504">
        <v>5042</v>
      </c>
      <c r="K504" s="7">
        <v>0.15</v>
      </c>
      <c r="L504" t="s">
        <v>58</v>
      </c>
      <c r="M504" t="s">
        <v>39</v>
      </c>
      <c r="N504" t="s">
        <v>32</v>
      </c>
      <c r="P504">
        <f>VLOOKUP(Table2[[#This Row],[Product_ID]],Table1[#All],8,TRUE)</f>
        <v>0</v>
      </c>
    </row>
    <row r="505" spans="1:16" x14ac:dyDescent="0.3">
      <c r="A505" t="s">
        <v>1221</v>
      </c>
      <c r="B505" s="5" t="s">
        <v>1222</v>
      </c>
      <c r="C505" s="3" t="str">
        <f t="shared" si="7"/>
        <v>28-01-2024</v>
      </c>
      <c r="D505" t="s">
        <v>84</v>
      </c>
      <c r="E505" t="s">
        <v>668</v>
      </c>
      <c r="F505" t="s">
        <v>64</v>
      </c>
      <c r="G505" t="s">
        <v>29</v>
      </c>
      <c r="H505" t="s">
        <v>30</v>
      </c>
      <c r="I505">
        <v>4</v>
      </c>
      <c r="J505">
        <v>7301</v>
      </c>
      <c r="K505" s="7">
        <v>0</v>
      </c>
      <c r="L505" t="s">
        <v>38</v>
      </c>
      <c r="M505" t="s">
        <v>22</v>
      </c>
      <c r="N505" t="s">
        <v>59</v>
      </c>
      <c r="O505">
        <v>3.9</v>
      </c>
      <c r="P505">
        <f>VLOOKUP(Table2[[#This Row],[Product_ID]],Table1[#All],8,TRUE)</f>
        <v>0</v>
      </c>
    </row>
    <row r="506" spans="1:16" x14ac:dyDescent="0.3">
      <c r="A506" t="s">
        <v>1020</v>
      </c>
      <c r="B506" s="5" t="s">
        <v>1223</v>
      </c>
      <c r="C506" s="3" t="str">
        <f t="shared" si="7"/>
        <v>19-07-2023</v>
      </c>
      <c r="D506" t="s">
        <v>67</v>
      </c>
      <c r="E506" t="s">
        <v>93</v>
      </c>
      <c r="F506" t="s">
        <v>43</v>
      </c>
      <c r="G506" t="s">
        <v>37</v>
      </c>
      <c r="H506" t="s">
        <v>30</v>
      </c>
      <c r="I506">
        <v>5</v>
      </c>
      <c r="J506">
        <v>2323</v>
      </c>
      <c r="K506" s="7">
        <v>0</v>
      </c>
      <c r="L506" t="s">
        <v>38</v>
      </c>
      <c r="M506" t="s">
        <v>22</v>
      </c>
      <c r="N506" t="s">
        <v>32</v>
      </c>
      <c r="P506">
        <f>VLOOKUP(Table2[[#This Row],[Product_ID]],Table1[#All],8,TRUE)</f>
        <v>700</v>
      </c>
    </row>
    <row r="507" spans="1:16" x14ac:dyDescent="0.3">
      <c r="A507" t="s">
        <v>1224</v>
      </c>
      <c r="B507" s="5" t="s">
        <v>1225</v>
      </c>
      <c r="C507" s="3" t="str">
        <f t="shared" si="7"/>
        <v>12-11-2024</v>
      </c>
      <c r="D507" t="s">
        <v>46</v>
      </c>
      <c r="E507" t="s">
        <v>1226</v>
      </c>
      <c r="F507" t="s">
        <v>43</v>
      </c>
      <c r="G507" t="s">
        <v>37</v>
      </c>
      <c r="H507" t="s">
        <v>20</v>
      </c>
      <c r="I507">
        <v>1</v>
      </c>
      <c r="J507">
        <v>9330</v>
      </c>
      <c r="K507" s="7">
        <v>0.15</v>
      </c>
      <c r="L507" t="s">
        <v>21</v>
      </c>
      <c r="M507" t="s">
        <v>39</v>
      </c>
      <c r="N507" t="s">
        <v>23</v>
      </c>
      <c r="O507">
        <v>3.7</v>
      </c>
      <c r="P507">
        <f>VLOOKUP(Table2[[#This Row],[Product_ID]],Table1[#All],8,TRUE)</f>
        <v>700</v>
      </c>
    </row>
    <row r="508" spans="1:16" x14ac:dyDescent="0.3">
      <c r="A508" t="s">
        <v>1227</v>
      </c>
      <c r="B508" s="5" t="s">
        <v>694</v>
      </c>
      <c r="C508" s="3" t="str">
        <f t="shared" si="7"/>
        <v>10-07-2023</v>
      </c>
      <c r="D508" t="s">
        <v>127</v>
      </c>
      <c r="E508" t="s">
        <v>914</v>
      </c>
      <c r="F508" t="s">
        <v>73</v>
      </c>
      <c r="G508" t="s">
        <v>37</v>
      </c>
      <c r="H508" t="s">
        <v>20</v>
      </c>
      <c r="I508">
        <v>4</v>
      </c>
      <c r="J508">
        <v>5998</v>
      </c>
      <c r="K508" s="7">
        <v>0.2</v>
      </c>
      <c r="L508" t="s">
        <v>31</v>
      </c>
      <c r="M508" t="s">
        <v>22</v>
      </c>
      <c r="N508" t="s">
        <v>48</v>
      </c>
      <c r="O508">
        <v>4.5999999999999996</v>
      </c>
      <c r="P508">
        <f>VLOOKUP(Table2[[#This Row],[Product_ID]],Table1[#All],8,TRUE)</f>
        <v>700</v>
      </c>
    </row>
    <row r="509" spans="1:16" x14ac:dyDescent="0.3">
      <c r="A509" t="s">
        <v>1228</v>
      </c>
      <c r="B509" s="5" t="s">
        <v>1229</v>
      </c>
      <c r="C509" s="3" t="str">
        <f t="shared" si="7"/>
        <v>31-07-2023</v>
      </c>
      <c r="D509" t="s">
        <v>46</v>
      </c>
      <c r="E509" t="s">
        <v>521</v>
      </c>
      <c r="F509" t="s">
        <v>64</v>
      </c>
      <c r="G509" t="s">
        <v>19</v>
      </c>
      <c r="H509" t="s">
        <v>20</v>
      </c>
      <c r="I509">
        <v>3</v>
      </c>
      <c r="J509">
        <v>5571</v>
      </c>
      <c r="K509" s="7">
        <v>0.2</v>
      </c>
      <c r="L509" t="s">
        <v>38</v>
      </c>
      <c r="M509" t="s">
        <v>22</v>
      </c>
      <c r="N509" t="s">
        <v>59</v>
      </c>
      <c r="O509">
        <v>3.2</v>
      </c>
      <c r="P509">
        <f>VLOOKUP(Table2[[#This Row],[Product_ID]],Table1[#All],8,TRUE)</f>
        <v>1500</v>
      </c>
    </row>
    <row r="510" spans="1:16" x14ac:dyDescent="0.3">
      <c r="A510" t="s">
        <v>1230</v>
      </c>
      <c r="B510" s="5" t="s">
        <v>1231</v>
      </c>
      <c r="C510" s="3" t="str">
        <f t="shared" si="7"/>
        <v>20-02-2023</v>
      </c>
      <c r="D510" t="s">
        <v>62</v>
      </c>
      <c r="E510" t="s">
        <v>1121</v>
      </c>
      <c r="F510" t="s">
        <v>73</v>
      </c>
      <c r="G510" t="s">
        <v>53</v>
      </c>
      <c r="H510" t="s">
        <v>99</v>
      </c>
      <c r="I510">
        <v>1</v>
      </c>
      <c r="J510">
        <v>2289</v>
      </c>
      <c r="K510" s="7">
        <v>0.2</v>
      </c>
      <c r="L510" t="s">
        <v>31</v>
      </c>
      <c r="M510" t="s">
        <v>22</v>
      </c>
      <c r="N510" t="s">
        <v>59</v>
      </c>
      <c r="P510">
        <f>VLOOKUP(Table2[[#This Row],[Product_ID]],Table1[#All],8,TRUE)</f>
        <v>1500</v>
      </c>
    </row>
    <row r="511" spans="1:16" x14ac:dyDescent="0.3">
      <c r="A511" t="s">
        <v>1232</v>
      </c>
      <c r="B511" s="5" t="s">
        <v>302</v>
      </c>
      <c r="C511" s="3" t="str">
        <f t="shared" si="7"/>
        <v>24-06-2024</v>
      </c>
      <c r="D511" t="s">
        <v>84</v>
      </c>
      <c r="E511" t="s">
        <v>56</v>
      </c>
      <c r="F511" t="s">
        <v>18</v>
      </c>
      <c r="G511" t="s">
        <v>29</v>
      </c>
      <c r="H511" t="s">
        <v>30</v>
      </c>
      <c r="I511">
        <v>3</v>
      </c>
      <c r="J511">
        <v>1284</v>
      </c>
      <c r="K511" s="7">
        <v>0.2</v>
      </c>
      <c r="L511" t="s">
        <v>38</v>
      </c>
      <c r="M511" t="s">
        <v>39</v>
      </c>
      <c r="N511" t="s">
        <v>48</v>
      </c>
      <c r="O511">
        <v>3.1</v>
      </c>
      <c r="P511">
        <f>VLOOKUP(Table2[[#This Row],[Product_ID]],Table1[#All],8,TRUE)</f>
        <v>700</v>
      </c>
    </row>
    <row r="512" spans="1:16" x14ac:dyDescent="0.3">
      <c r="A512" t="s">
        <v>1233</v>
      </c>
      <c r="B512" s="5" t="s">
        <v>676</v>
      </c>
      <c r="C512" s="3" t="str">
        <f t="shared" si="7"/>
        <v>21-04-2023</v>
      </c>
      <c r="D512" t="s">
        <v>16</v>
      </c>
      <c r="E512" t="s">
        <v>237</v>
      </c>
      <c r="F512" t="s">
        <v>18</v>
      </c>
      <c r="G512" t="s">
        <v>29</v>
      </c>
      <c r="H512" t="s">
        <v>77</v>
      </c>
      <c r="I512">
        <v>1</v>
      </c>
      <c r="J512">
        <v>7875</v>
      </c>
      <c r="K512" s="7">
        <v>0</v>
      </c>
      <c r="L512" t="s">
        <v>31</v>
      </c>
      <c r="M512" t="s">
        <v>22</v>
      </c>
      <c r="N512" t="s">
        <v>48</v>
      </c>
      <c r="P512">
        <f>VLOOKUP(Table2[[#This Row],[Product_ID]],Table1[#All],8,TRUE)</f>
        <v>900</v>
      </c>
    </row>
    <row r="513" spans="1:16" x14ac:dyDescent="0.3">
      <c r="A513" t="s">
        <v>1234</v>
      </c>
      <c r="B513" s="5" t="s">
        <v>1235</v>
      </c>
      <c r="C513" s="3" t="str">
        <f t="shared" si="7"/>
        <v>19-12-2023</v>
      </c>
      <c r="D513" t="s">
        <v>84</v>
      </c>
      <c r="E513" t="s">
        <v>762</v>
      </c>
      <c r="F513" t="s">
        <v>57</v>
      </c>
      <c r="G513" t="s">
        <v>53</v>
      </c>
      <c r="H513" t="s">
        <v>20</v>
      </c>
      <c r="I513">
        <v>1</v>
      </c>
      <c r="J513">
        <v>9228</v>
      </c>
      <c r="K513" s="7">
        <v>0.15</v>
      </c>
      <c r="L513" t="s">
        <v>38</v>
      </c>
      <c r="M513" t="s">
        <v>39</v>
      </c>
      <c r="N513" t="s">
        <v>32</v>
      </c>
      <c r="P513">
        <f>VLOOKUP(Table2[[#This Row],[Product_ID]],Table1[#All],8,TRUE)</f>
        <v>1500</v>
      </c>
    </row>
    <row r="514" spans="1:16" x14ac:dyDescent="0.3">
      <c r="A514" t="s">
        <v>1236</v>
      </c>
      <c r="B514" s="5" t="s">
        <v>684</v>
      </c>
      <c r="C514" s="3" t="str">
        <f t="shared" ref="C514:C577" si="8">TEXT(B514,"dd-mm-yyyy")</f>
        <v>18-08-2023</v>
      </c>
      <c r="D514" t="s">
        <v>96</v>
      </c>
      <c r="E514" t="s">
        <v>1237</v>
      </c>
      <c r="F514" t="s">
        <v>73</v>
      </c>
      <c r="G514" t="s">
        <v>53</v>
      </c>
      <c r="H514" t="s">
        <v>30</v>
      </c>
      <c r="I514">
        <v>4</v>
      </c>
      <c r="J514">
        <v>3960</v>
      </c>
      <c r="K514" s="7">
        <v>0.2</v>
      </c>
      <c r="L514" t="s">
        <v>38</v>
      </c>
      <c r="M514" t="s">
        <v>22</v>
      </c>
      <c r="N514" t="s">
        <v>59</v>
      </c>
      <c r="P514">
        <f>VLOOKUP(Table2[[#This Row],[Product_ID]],Table1[#All],8,TRUE)</f>
        <v>0</v>
      </c>
    </row>
    <row r="515" spans="1:16" x14ac:dyDescent="0.3">
      <c r="A515" t="s">
        <v>1238</v>
      </c>
      <c r="B515" s="5" t="s">
        <v>1239</v>
      </c>
      <c r="C515" s="3" t="str">
        <f t="shared" si="8"/>
        <v>03-04-2024</v>
      </c>
      <c r="D515" t="s">
        <v>84</v>
      </c>
      <c r="E515" t="s">
        <v>428</v>
      </c>
      <c r="F515" t="s">
        <v>43</v>
      </c>
      <c r="G515" t="s">
        <v>53</v>
      </c>
      <c r="H515" t="s">
        <v>77</v>
      </c>
      <c r="I515">
        <v>2</v>
      </c>
      <c r="J515">
        <v>3116</v>
      </c>
      <c r="K515" s="7">
        <v>0.15</v>
      </c>
      <c r="L515" t="s">
        <v>58</v>
      </c>
      <c r="M515" t="s">
        <v>22</v>
      </c>
      <c r="N515" t="s">
        <v>48</v>
      </c>
      <c r="P515">
        <f>VLOOKUP(Table2[[#This Row],[Product_ID]],Table1[#All],8,TRUE)</f>
        <v>500</v>
      </c>
    </row>
    <row r="516" spans="1:16" x14ac:dyDescent="0.3">
      <c r="A516" t="s">
        <v>974</v>
      </c>
      <c r="B516" s="5" t="s">
        <v>1240</v>
      </c>
      <c r="C516" s="3" t="str">
        <f t="shared" si="8"/>
        <v>17-04-2023</v>
      </c>
      <c r="D516" t="s">
        <v>67</v>
      </c>
      <c r="E516" t="s">
        <v>540</v>
      </c>
      <c r="F516" t="s">
        <v>98</v>
      </c>
      <c r="G516" t="s">
        <v>53</v>
      </c>
      <c r="H516" t="s">
        <v>30</v>
      </c>
      <c r="I516">
        <v>3</v>
      </c>
      <c r="J516">
        <v>4439</v>
      </c>
      <c r="K516" s="7">
        <v>0.05</v>
      </c>
      <c r="L516" t="s">
        <v>31</v>
      </c>
      <c r="M516" t="s">
        <v>22</v>
      </c>
      <c r="N516" t="s">
        <v>32</v>
      </c>
      <c r="P516">
        <f>VLOOKUP(Table2[[#This Row],[Product_ID]],Table1[#All],8,TRUE)</f>
        <v>1500</v>
      </c>
    </row>
    <row r="517" spans="1:16" x14ac:dyDescent="0.3">
      <c r="A517" t="s">
        <v>1241</v>
      </c>
      <c r="B517" s="5" t="s">
        <v>140</v>
      </c>
      <c r="C517" s="3" t="str">
        <f t="shared" si="8"/>
        <v>10-06-2023</v>
      </c>
      <c r="D517" t="s">
        <v>16</v>
      </c>
      <c r="E517" t="s">
        <v>440</v>
      </c>
      <c r="F517" t="s">
        <v>73</v>
      </c>
      <c r="G517" t="s">
        <v>29</v>
      </c>
      <c r="H517" t="s">
        <v>30</v>
      </c>
      <c r="I517">
        <v>2</v>
      </c>
      <c r="J517">
        <v>6956</v>
      </c>
      <c r="K517" s="7">
        <v>0</v>
      </c>
      <c r="L517" t="s">
        <v>38</v>
      </c>
      <c r="M517" t="s">
        <v>39</v>
      </c>
      <c r="N517" t="s">
        <v>23</v>
      </c>
      <c r="P517">
        <f>VLOOKUP(Table2[[#This Row],[Product_ID]],Table1[#All],8,TRUE)</f>
        <v>700</v>
      </c>
    </row>
    <row r="518" spans="1:16" x14ac:dyDescent="0.3">
      <c r="A518" t="s">
        <v>1242</v>
      </c>
      <c r="B518" s="5" t="s">
        <v>1243</v>
      </c>
      <c r="C518" s="3" t="str">
        <f t="shared" si="8"/>
        <v>09-02-2024</v>
      </c>
      <c r="D518" t="s">
        <v>51</v>
      </c>
      <c r="E518" t="s">
        <v>452</v>
      </c>
      <c r="F518" t="s">
        <v>64</v>
      </c>
      <c r="G518" t="s">
        <v>37</v>
      </c>
      <c r="H518" t="s">
        <v>77</v>
      </c>
      <c r="I518">
        <v>3</v>
      </c>
      <c r="J518">
        <v>3755</v>
      </c>
      <c r="K518" s="7">
        <v>0.1</v>
      </c>
      <c r="L518" t="s">
        <v>21</v>
      </c>
      <c r="M518" t="s">
        <v>39</v>
      </c>
      <c r="N518" t="s">
        <v>59</v>
      </c>
      <c r="P518">
        <f>VLOOKUP(Table2[[#This Row],[Product_ID]],Table1[#All],8,TRUE)</f>
        <v>1200</v>
      </c>
    </row>
    <row r="519" spans="1:16" x14ac:dyDescent="0.3">
      <c r="A519" t="s">
        <v>1128</v>
      </c>
      <c r="B519" s="5" t="s">
        <v>1244</v>
      </c>
      <c r="C519" s="3" t="str">
        <f t="shared" si="8"/>
        <v>04-02-2024</v>
      </c>
      <c r="D519" t="s">
        <v>46</v>
      </c>
      <c r="E519" t="s">
        <v>1245</v>
      </c>
      <c r="F519" t="s">
        <v>64</v>
      </c>
      <c r="G519" t="s">
        <v>37</v>
      </c>
      <c r="H519" t="s">
        <v>30</v>
      </c>
      <c r="I519">
        <v>5</v>
      </c>
      <c r="J519">
        <v>6899</v>
      </c>
      <c r="K519" s="7">
        <v>0.1</v>
      </c>
      <c r="L519" t="s">
        <v>21</v>
      </c>
      <c r="M519" t="s">
        <v>22</v>
      </c>
      <c r="N519" t="s">
        <v>48</v>
      </c>
      <c r="P519">
        <f>VLOOKUP(Table2[[#This Row],[Product_ID]],Table1[#All],8,TRUE)</f>
        <v>500</v>
      </c>
    </row>
    <row r="520" spans="1:16" x14ac:dyDescent="0.3">
      <c r="A520" t="s">
        <v>1246</v>
      </c>
      <c r="B520" s="5" t="s">
        <v>1247</v>
      </c>
      <c r="C520" s="3" t="str">
        <f t="shared" si="8"/>
        <v>14-01-2024</v>
      </c>
      <c r="D520" t="s">
        <v>131</v>
      </c>
      <c r="E520" t="s">
        <v>420</v>
      </c>
      <c r="F520" t="s">
        <v>43</v>
      </c>
      <c r="G520" t="s">
        <v>53</v>
      </c>
      <c r="H520" t="s">
        <v>20</v>
      </c>
      <c r="I520">
        <v>2</v>
      </c>
      <c r="J520">
        <v>2922</v>
      </c>
      <c r="K520" s="7">
        <v>0</v>
      </c>
      <c r="L520" t="s">
        <v>31</v>
      </c>
      <c r="M520" t="s">
        <v>39</v>
      </c>
      <c r="N520" t="s">
        <v>59</v>
      </c>
      <c r="O520">
        <v>3.5</v>
      </c>
      <c r="P520">
        <f>VLOOKUP(Table2[[#This Row],[Product_ID]],Table1[#All],8,TRUE)</f>
        <v>500</v>
      </c>
    </row>
    <row r="521" spans="1:16" x14ac:dyDescent="0.3">
      <c r="A521" t="s">
        <v>1233</v>
      </c>
      <c r="B521" s="5" t="s">
        <v>15</v>
      </c>
      <c r="C521" s="3" t="str">
        <f t="shared" si="8"/>
        <v>21-09-2024</v>
      </c>
      <c r="D521" t="s">
        <v>80</v>
      </c>
      <c r="E521" t="s">
        <v>507</v>
      </c>
      <c r="F521" t="s">
        <v>73</v>
      </c>
      <c r="G521" t="s">
        <v>37</v>
      </c>
      <c r="H521" t="s">
        <v>20</v>
      </c>
      <c r="I521">
        <v>5</v>
      </c>
      <c r="J521">
        <v>4123</v>
      </c>
      <c r="K521" s="7">
        <v>0.2</v>
      </c>
      <c r="L521" t="s">
        <v>58</v>
      </c>
      <c r="M521" t="s">
        <v>39</v>
      </c>
      <c r="N521" t="s">
        <v>48</v>
      </c>
      <c r="P521">
        <f>VLOOKUP(Table2[[#This Row],[Product_ID]],Table1[#All],8,TRUE)</f>
        <v>900</v>
      </c>
    </row>
    <row r="522" spans="1:16" x14ac:dyDescent="0.3">
      <c r="A522" t="s">
        <v>1248</v>
      </c>
      <c r="B522" s="5" t="s">
        <v>1249</v>
      </c>
      <c r="C522" s="3" t="str">
        <f t="shared" si="8"/>
        <v>11-12-2024</v>
      </c>
      <c r="D522" t="s">
        <v>46</v>
      </c>
      <c r="E522" t="s">
        <v>663</v>
      </c>
      <c r="F522" t="s">
        <v>43</v>
      </c>
      <c r="G522" t="s">
        <v>19</v>
      </c>
      <c r="H522" t="s">
        <v>20</v>
      </c>
      <c r="I522">
        <v>1</v>
      </c>
      <c r="J522">
        <v>1014</v>
      </c>
      <c r="K522" s="7">
        <v>0.1</v>
      </c>
      <c r="L522" t="s">
        <v>38</v>
      </c>
      <c r="M522" t="s">
        <v>22</v>
      </c>
      <c r="N522" t="s">
        <v>59</v>
      </c>
      <c r="P522">
        <f>VLOOKUP(Table2[[#This Row],[Product_ID]],Table1[#All],8,TRUE)</f>
        <v>900</v>
      </c>
    </row>
    <row r="523" spans="1:16" x14ac:dyDescent="0.3">
      <c r="A523" t="s">
        <v>1250</v>
      </c>
      <c r="B523" s="5" t="s">
        <v>1251</v>
      </c>
      <c r="C523" s="3" t="str">
        <f t="shared" si="8"/>
        <v>27-09-2024</v>
      </c>
      <c r="D523" t="s">
        <v>96</v>
      </c>
      <c r="E523" t="s">
        <v>1252</v>
      </c>
      <c r="F523" t="s">
        <v>57</v>
      </c>
      <c r="G523" t="s">
        <v>29</v>
      </c>
      <c r="H523" t="s">
        <v>77</v>
      </c>
      <c r="I523">
        <v>4</v>
      </c>
      <c r="J523">
        <v>8102</v>
      </c>
      <c r="K523" s="7">
        <v>0.2</v>
      </c>
      <c r="L523" t="s">
        <v>21</v>
      </c>
      <c r="M523" t="s">
        <v>22</v>
      </c>
      <c r="N523" t="s">
        <v>48</v>
      </c>
      <c r="P523">
        <f>VLOOKUP(Table2[[#This Row],[Product_ID]],Table1[#All],8,TRUE)</f>
        <v>700</v>
      </c>
    </row>
    <row r="524" spans="1:16" x14ac:dyDescent="0.3">
      <c r="A524" t="s">
        <v>1253</v>
      </c>
      <c r="B524" s="5" t="s">
        <v>1254</v>
      </c>
      <c r="C524" s="3" t="str">
        <f t="shared" si="8"/>
        <v>28-09-2023</v>
      </c>
      <c r="D524" t="s">
        <v>80</v>
      </c>
      <c r="E524" t="s">
        <v>839</v>
      </c>
      <c r="F524" t="s">
        <v>28</v>
      </c>
      <c r="G524" t="s">
        <v>29</v>
      </c>
      <c r="H524" t="s">
        <v>77</v>
      </c>
      <c r="I524">
        <v>1</v>
      </c>
      <c r="J524">
        <v>3992</v>
      </c>
      <c r="K524" s="7">
        <v>0.15</v>
      </c>
      <c r="L524" t="s">
        <v>31</v>
      </c>
      <c r="M524" t="s">
        <v>39</v>
      </c>
      <c r="N524" t="s">
        <v>23</v>
      </c>
      <c r="O524">
        <v>3.4</v>
      </c>
      <c r="P524">
        <f>VLOOKUP(Table2[[#This Row],[Product_ID]],Table1[#All],8,TRUE)</f>
        <v>500</v>
      </c>
    </row>
    <row r="525" spans="1:16" x14ac:dyDescent="0.3">
      <c r="A525" t="s">
        <v>1255</v>
      </c>
      <c r="B525" s="5" t="s">
        <v>1200</v>
      </c>
      <c r="C525" s="3" t="str">
        <f t="shared" si="8"/>
        <v>27-10-2024</v>
      </c>
      <c r="D525" t="s">
        <v>91</v>
      </c>
      <c r="E525" t="s">
        <v>331</v>
      </c>
      <c r="F525" t="s">
        <v>43</v>
      </c>
      <c r="G525" t="s">
        <v>29</v>
      </c>
      <c r="H525" t="s">
        <v>77</v>
      </c>
      <c r="I525">
        <v>5</v>
      </c>
      <c r="J525">
        <v>1536</v>
      </c>
      <c r="K525" s="7">
        <v>0.2</v>
      </c>
      <c r="L525" t="s">
        <v>21</v>
      </c>
      <c r="M525" t="s">
        <v>39</v>
      </c>
      <c r="N525" t="s">
        <v>59</v>
      </c>
      <c r="O525">
        <v>4.4000000000000004</v>
      </c>
      <c r="P525">
        <f>VLOOKUP(Table2[[#This Row],[Product_ID]],Table1[#All],8,TRUE)</f>
        <v>900</v>
      </c>
    </row>
    <row r="526" spans="1:16" x14ac:dyDescent="0.3">
      <c r="A526" t="s">
        <v>1256</v>
      </c>
      <c r="B526" s="5" t="s">
        <v>1004</v>
      </c>
      <c r="C526" s="3" t="str">
        <f t="shared" si="8"/>
        <v>23-03-2024</v>
      </c>
      <c r="D526" t="s">
        <v>26</v>
      </c>
      <c r="E526" t="s">
        <v>1257</v>
      </c>
      <c r="F526" t="s">
        <v>64</v>
      </c>
      <c r="G526" t="s">
        <v>19</v>
      </c>
      <c r="H526" t="s">
        <v>99</v>
      </c>
      <c r="I526">
        <v>3</v>
      </c>
      <c r="J526">
        <v>2253</v>
      </c>
      <c r="K526" s="7">
        <v>0.2</v>
      </c>
      <c r="L526" t="s">
        <v>21</v>
      </c>
      <c r="M526" t="s">
        <v>39</v>
      </c>
      <c r="N526" t="s">
        <v>59</v>
      </c>
      <c r="P526">
        <f>VLOOKUP(Table2[[#This Row],[Product_ID]],Table1[#All],8,TRUE)</f>
        <v>500</v>
      </c>
    </row>
    <row r="527" spans="1:16" x14ac:dyDescent="0.3">
      <c r="A527" t="s">
        <v>1258</v>
      </c>
      <c r="B527" s="5" t="s">
        <v>1259</v>
      </c>
      <c r="C527" s="3" t="str">
        <f t="shared" si="8"/>
        <v>03-07-2023</v>
      </c>
      <c r="D527" t="s">
        <v>67</v>
      </c>
      <c r="E527" t="s">
        <v>479</v>
      </c>
      <c r="F527" t="s">
        <v>18</v>
      </c>
      <c r="G527" t="s">
        <v>53</v>
      </c>
      <c r="H527" t="s">
        <v>99</v>
      </c>
      <c r="I527">
        <v>1</v>
      </c>
      <c r="J527">
        <v>2732</v>
      </c>
      <c r="K527" s="7">
        <v>0.1</v>
      </c>
      <c r="L527" t="s">
        <v>38</v>
      </c>
      <c r="M527" t="s">
        <v>22</v>
      </c>
      <c r="N527" t="s">
        <v>59</v>
      </c>
      <c r="O527">
        <v>4.5999999999999996</v>
      </c>
      <c r="P527">
        <f>VLOOKUP(Table2[[#This Row],[Product_ID]],Table1[#All],8,TRUE)</f>
        <v>1200</v>
      </c>
    </row>
    <row r="528" spans="1:16" x14ac:dyDescent="0.3">
      <c r="A528" t="s">
        <v>1260</v>
      </c>
      <c r="B528" s="5" t="s">
        <v>162</v>
      </c>
      <c r="C528" s="3" t="str">
        <f t="shared" si="8"/>
        <v>19-09-2024</v>
      </c>
      <c r="D528" t="s">
        <v>91</v>
      </c>
      <c r="E528" t="s">
        <v>178</v>
      </c>
      <c r="F528" t="s">
        <v>43</v>
      </c>
      <c r="G528" t="s">
        <v>53</v>
      </c>
      <c r="H528" t="s">
        <v>99</v>
      </c>
      <c r="I528">
        <v>1</v>
      </c>
      <c r="J528">
        <v>8010</v>
      </c>
      <c r="K528" s="7">
        <v>0.2</v>
      </c>
      <c r="L528" t="s">
        <v>21</v>
      </c>
      <c r="M528" t="s">
        <v>22</v>
      </c>
      <c r="N528" t="s">
        <v>48</v>
      </c>
      <c r="O528">
        <v>4.5999999999999996</v>
      </c>
      <c r="P528">
        <f>VLOOKUP(Table2[[#This Row],[Product_ID]],Table1[#All],8,TRUE)</f>
        <v>1200</v>
      </c>
    </row>
    <row r="529" spans="1:16" x14ac:dyDescent="0.3">
      <c r="A529" t="s">
        <v>912</v>
      </c>
      <c r="B529" s="5" t="s">
        <v>1261</v>
      </c>
      <c r="C529" s="3" t="str">
        <f t="shared" si="8"/>
        <v>11-06-2024</v>
      </c>
      <c r="D529" t="s">
        <v>62</v>
      </c>
      <c r="E529" t="s">
        <v>643</v>
      </c>
      <c r="F529" t="s">
        <v>73</v>
      </c>
      <c r="G529" t="s">
        <v>53</v>
      </c>
      <c r="H529" t="s">
        <v>99</v>
      </c>
      <c r="I529">
        <v>4</v>
      </c>
      <c r="J529">
        <v>7235</v>
      </c>
      <c r="K529" s="7">
        <v>0.1</v>
      </c>
      <c r="L529" t="s">
        <v>21</v>
      </c>
      <c r="M529" t="s">
        <v>22</v>
      </c>
      <c r="N529" t="s">
        <v>23</v>
      </c>
      <c r="P529">
        <f>VLOOKUP(Table2[[#This Row],[Product_ID]],Table1[#All],8,TRUE)</f>
        <v>1200</v>
      </c>
    </row>
    <row r="530" spans="1:16" x14ac:dyDescent="0.3">
      <c r="A530" t="s">
        <v>710</v>
      </c>
      <c r="B530" s="5" t="s">
        <v>1262</v>
      </c>
      <c r="C530" s="3" t="str">
        <f t="shared" si="8"/>
        <v>22-04-2023</v>
      </c>
      <c r="D530" t="s">
        <v>26</v>
      </c>
      <c r="E530" t="s">
        <v>373</v>
      </c>
      <c r="F530" t="s">
        <v>28</v>
      </c>
      <c r="G530" t="s">
        <v>37</v>
      </c>
      <c r="H530" t="s">
        <v>30</v>
      </c>
      <c r="I530">
        <v>3</v>
      </c>
      <c r="J530">
        <v>3649</v>
      </c>
      <c r="K530" s="7">
        <v>0.2</v>
      </c>
      <c r="L530" t="s">
        <v>31</v>
      </c>
      <c r="M530" t="s">
        <v>39</v>
      </c>
      <c r="N530" t="s">
        <v>32</v>
      </c>
      <c r="P530">
        <f>VLOOKUP(Table2[[#This Row],[Product_ID]],Table1[#All],8,TRUE)</f>
        <v>700</v>
      </c>
    </row>
    <row r="531" spans="1:16" x14ac:dyDescent="0.3">
      <c r="A531" t="s">
        <v>1263</v>
      </c>
      <c r="B531" s="5" t="s">
        <v>1264</v>
      </c>
      <c r="C531" s="3" t="str">
        <f t="shared" si="8"/>
        <v>21-10-2023</v>
      </c>
      <c r="D531" t="s">
        <v>26</v>
      </c>
      <c r="E531" t="s">
        <v>306</v>
      </c>
      <c r="F531" t="s">
        <v>28</v>
      </c>
      <c r="G531" t="s">
        <v>37</v>
      </c>
      <c r="H531" t="s">
        <v>20</v>
      </c>
      <c r="I531">
        <v>2</v>
      </c>
      <c r="J531">
        <v>2895</v>
      </c>
      <c r="K531" s="7">
        <v>0.15</v>
      </c>
      <c r="L531" t="s">
        <v>31</v>
      </c>
      <c r="M531" t="s">
        <v>39</v>
      </c>
      <c r="N531" t="s">
        <v>59</v>
      </c>
      <c r="P531">
        <f>VLOOKUP(Table2[[#This Row],[Product_ID]],Table1[#All],8,TRUE)</f>
        <v>700</v>
      </c>
    </row>
    <row r="532" spans="1:16" x14ac:dyDescent="0.3">
      <c r="A532" t="s">
        <v>1265</v>
      </c>
      <c r="B532" s="5" t="s">
        <v>1266</v>
      </c>
      <c r="C532" s="3" t="str">
        <f t="shared" si="8"/>
        <v>26-09-2023</v>
      </c>
      <c r="D532" t="s">
        <v>80</v>
      </c>
      <c r="E532" t="s">
        <v>1267</v>
      </c>
      <c r="F532" t="s">
        <v>98</v>
      </c>
      <c r="G532" t="s">
        <v>37</v>
      </c>
      <c r="H532" t="s">
        <v>20</v>
      </c>
      <c r="I532">
        <v>4</v>
      </c>
      <c r="J532">
        <v>6605</v>
      </c>
      <c r="K532" s="7">
        <v>0</v>
      </c>
      <c r="L532" t="s">
        <v>21</v>
      </c>
      <c r="M532" t="s">
        <v>39</v>
      </c>
      <c r="N532" t="s">
        <v>59</v>
      </c>
      <c r="P532">
        <f>VLOOKUP(Table2[[#This Row],[Product_ID]],Table1[#All],8,TRUE)</f>
        <v>500</v>
      </c>
    </row>
    <row r="533" spans="1:16" x14ac:dyDescent="0.3">
      <c r="A533" t="s">
        <v>1268</v>
      </c>
      <c r="B533" s="5" t="s">
        <v>1269</v>
      </c>
      <c r="C533" s="3" t="str">
        <f t="shared" si="8"/>
        <v>18-06-2023</v>
      </c>
      <c r="D533" t="s">
        <v>67</v>
      </c>
      <c r="E533" t="s">
        <v>1270</v>
      </c>
      <c r="F533" t="s">
        <v>18</v>
      </c>
      <c r="G533" t="s">
        <v>29</v>
      </c>
      <c r="H533" t="s">
        <v>20</v>
      </c>
      <c r="I533">
        <v>3</v>
      </c>
      <c r="J533">
        <v>7745</v>
      </c>
      <c r="K533" s="7">
        <v>0.1</v>
      </c>
      <c r="L533" t="s">
        <v>58</v>
      </c>
      <c r="M533" t="s">
        <v>22</v>
      </c>
      <c r="N533" t="s">
        <v>59</v>
      </c>
      <c r="O533">
        <v>4.7</v>
      </c>
      <c r="P533">
        <f>VLOOKUP(Table2[[#This Row],[Product_ID]],Table1[#All],8,TRUE)</f>
        <v>500</v>
      </c>
    </row>
    <row r="534" spans="1:16" x14ac:dyDescent="0.3">
      <c r="A534" t="s">
        <v>1271</v>
      </c>
      <c r="B534" s="5" t="s">
        <v>831</v>
      </c>
      <c r="C534" s="3" t="str">
        <f t="shared" si="8"/>
        <v>02-05-2024</v>
      </c>
      <c r="D534" t="s">
        <v>26</v>
      </c>
      <c r="E534" t="s">
        <v>102</v>
      </c>
      <c r="F534" t="s">
        <v>98</v>
      </c>
      <c r="G534" t="s">
        <v>53</v>
      </c>
      <c r="H534" t="s">
        <v>20</v>
      </c>
      <c r="I534">
        <v>4</v>
      </c>
      <c r="J534">
        <v>3879</v>
      </c>
      <c r="K534" s="7">
        <v>0.1</v>
      </c>
      <c r="L534" t="s">
        <v>21</v>
      </c>
      <c r="M534" t="s">
        <v>39</v>
      </c>
      <c r="N534" t="s">
        <v>48</v>
      </c>
      <c r="O534">
        <v>3.2</v>
      </c>
      <c r="P534">
        <f>VLOOKUP(Table2[[#This Row],[Product_ID]],Table1[#All],8,TRUE)</f>
        <v>1500</v>
      </c>
    </row>
    <row r="535" spans="1:16" x14ac:dyDescent="0.3">
      <c r="A535" t="s">
        <v>1272</v>
      </c>
      <c r="B535" s="5" t="s">
        <v>1273</v>
      </c>
      <c r="C535" s="3" t="str">
        <f t="shared" si="8"/>
        <v>23-10-2023</v>
      </c>
      <c r="D535" t="s">
        <v>131</v>
      </c>
      <c r="E535" t="s">
        <v>428</v>
      </c>
      <c r="F535" t="s">
        <v>73</v>
      </c>
      <c r="G535" t="s">
        <v>29</v>
      </c>
      <c r="H535" t="s">
        <v>77</v>
      </c>
      <c r="I535">
        <v>3</v>
      </c>
      <c r="J535">
        <v>9552</v>
      </c>
      <c r="K535" s="7">
        <v>0.1</v>
      </c>
      <c r="L535" t="s">
        <v>58</v>
      </c>
      <c r="M535" t="s">
        <v>39</v>
      </c>
      <c r="N535" t="s">
        <v>48</v>
      </c>
      <c r="O535">
        <v>4.9000000000000004</v>
      </c>
      <c r="P535">
        <f>VLOOKUP(Table2[[#This Row],[Product_ID]],Table1[#All],8,TRUE)</f>
        <v>500</v>
      </c>
    </row>
    <row r="536" spans="1:16" x14ac:dyDescent="0.3">
      <c r="A536" t="s">
        <v>1274</v>
      </c>
      <c r="B536" s="5" t="s">
        <v>1275</v>
      </c>
      <c r="C536" s="3" t="str">
        <f t="shared" si="8"/>
        <v>19-06-2024</v>
      </c>
      <c r="D536" t="s">
        <v>71</v>
      </c>
      <c r="E536" t="s">
        <v>1257</v>
      </c>
      <c r="F536" t="s">
        <v>98</v>
      </c>
      <c r="G536" t="s">
        <v>53</v>
      </c>
      <c r="H536" t="s">
        <v>30</v>
      </c>
      <c r="I536">
        <v>4</v>
      </c>
      <c r="J536">
        <v>4000</v>
      </c>
      <c r="K536" s="7">
        <v>0.05</v>
      </c>
      <c r="L536" t="s">
        <v>58</v>
      </c>
      <c r="M536" t="s">
        <v>22</v>
      </c>
      <c r="N536" t="s">
        <v>59</v>
      </c>
      <c r="P536">
        <f>VLOOKUP(Table2[[#This Row],[Product_ID]],Table1[#All],8,TRUE)</f>
        <v>500</v>
      </c>
    </row>
    <row r="537" spans="1:16" x14ac:dyDescent="0.3">
      <c r="A537" t="s">
        <v>1276</v>
      </c>
      <c r="B537" s="5" t="s">
        <v>1277</v>
      </c>
      <c r="C537" s="3" t="str">
        <f t="shared" si="8"/>
        <v>05-09-2023</v>
      </c>
      <c r="D537" t="s">
        <v>67</v>
      </c>
      <c r="E537" t="s">
        <v>615</v>
      </c>
      <c r="F537" t="s">
        <v>57</v>
      </c>
      <c r="G537" t="s">
        <v>29</v>
      </c>
      <c r="H537" t="s">
        <v>99</v>
      </c>
      <c r="I537">
        <v>3</v>
      </c>
      <c r="J537">
        <v>9824</v>
      </c>
      <c r="K537" s="7">
        <v>0.15</v>
      </c>
      <c r="L537" t="s">
        <v>21</v>
      </c>
      <c r="M537" t="s">
        <v>39</v>
      </c>
      <c r="N537" t="s">
        <v>48</v>
      </c>
      <c r="P537">
        <f>VLOOKUP(Table2[[#This Row],[Product_ID]],Table1[#All],8,TRUE)</f>
        <v>1500</v>
      </c>
    </row>
    <row r="538" spans="1:16" x14ac:dyDescent="0.3">
      <c r="A538" t="s">
        <v>825</v>
      </c>
      <c r="B538" s="5" t="s">
        <v>1278</v>
      </c>
      <c r="C538" s="3" t="str">
        <f t="shared" si="8"/>
        <v>25-11-2024</v>
      </c>
      <c r="D538" t="s">
        <v>127</v>
      </c>
      <c r="E538" t="s">
        <v>880</v>
      </c>
      <c r="F538" t="s">
        <v>73</v>
      </c>
      <c r="G538" t="s">
        <v>53</v>
      </c>
      <c r="H538" t="s">
        <v>30</v>
      </c>
      <c r="I538">
        <v>4</v>
      </c>
      <c r="J538">
        <v>2955</v>
      </c>
      <c r="K538" s="7">
        <v>0.2</v>
      </c>
      <c r="L538" t="s">
        <v>31</v>
      </c>
      <c r="M538" t="s">
        <v>39</v>
      </c>
      <c r="N538" t="s">
        <v>23</v>
      </c>
      <c r="O538">
        <v>4.8</v>
      </c>
      <c r="P538">
        <f>VLOOKUP(Table2[[#This Row],[Product_ID]],Table1[#All],8,TRUE)</f>
        <v>1200</v>
      </c>
    </row>
    <row r="539" spans="1:16" x14ac:dyDescent="0.3">
      <c r="A539" t="s">
        <v>1279</v>
      </c>
      <c r="B539" s="5" t="s">
        <v>1280</v>
      </c>
      <c r="C539" s="3" t="str">
        <f t="shared" si="8"/>
        <v>01-06-2024</v>
      </c>
      <c r="D539" t="s">
        <v>16</v>
      </c>
      <c r="E539" t="s">
        <v>851</v>
      </c>
      <c r="F539" t="s">
        <v>73</v>
      </c>
      <c r="G539" t="s">
        <v>53</v>
      </c>
      <c r="H539" t="s">
        <v>99</v>
      </c>
      <c r="I539">
        <v>4</v>
      </c>
      <c r="J539">
        <v>2757</v>
      </c>
      <c r="K539" s="7">
        <v>0.15</v>
      </c>
      <c r="L539" t="s">
        <v>38</v>
      </c>
      <c r="M539" t="s">
        <v>39</v>
      </c>
      <c r="N539" t="s">
        <v>23</v>
      </c>
      <c r="P539">
        <f>VLOOKUP(Table2[[#This Row],[Product_ID]],Table1[#All],8,TRUE)</f>
        <v>700</v>
      </c>
    </row>
    <row r="540" spans="1:16" x14ac:dyDescent="0.3">
      <c r="A540" t="s">
        <v>1281</v>
      </c>
      <c r="B540" s="5" t="s">
        <v>1282</v>
      </c>
      <c r="C540" s="3" t="str">
        <f t="shared" si="8"/>
        <v>08-11-2024</v>
      </c>
      <c r="D540" t="s">
        <v>26</v>
      </c>
      <c r="E540" t="s">
        <v>47</v>
      </c>
      <c r="F540" t="s">
        <v>98</v>
      </c>
      <c r="G540" t="s">
        <v>19</v>
      </c>
      <c r="H540" t="s">
        <v>77</v>
      </c>
      <c r="I540">
        <v>1</v>
      </c>
      <c r="J540">
        <v>5829</v>
      </c>
      <c r="K540" s="7">
        <v>0</v>
      </c>
      <c r="L540" t="s">
        <v>31</v>
      </c>
      <c r="M540" t="s">
        <v>39</v>
      </c>
      <c r="N540" t="s">
        <v>23</v>
      </c>
      <c r="P540">
        <f>VLOOKUP(Table2[[#This Row],[Product_ID]],Table1[#All],8,TRUE)</f>
        <v>700</v>
      </c>
    </row>
    <row r="541" spans="1:16" x14ac:dyDescent="0.3">
      <c r="A541" t="s">
        <v>803</v>
      </c>
      <c r="B541" s="5" t="s">
        <v>1283</v>
      </c>
      <c r="C541" s="3" t="str">
        <f t="shared" si="8"/>
        <v>23-05-2024</v>
      </c>
      <c r="D541" t="s">
        <v>114</v>
      </c>
      <c r="E541" t="s">
        <v>342</v>
      </c>
      <c r="F541" t="s">
        <v>57</v>
      </c>
      <c r="G541" t="s">
        <v>37</v>
      </c>
      <c r="H541" t="s">
        <v>77</v>
      </c>
      <c r="I541">
        <v>4</v>
      </c>
      <c r="J541">
        <v>7787</v>
      </c>
      <c r="K541" s="7">
        <v>0</v>
      </c>
      <c r="L541" t="s">
        <v>58</v>
      </c>
      <c r="M541" t="s">
        <v>22</v>
      </c>
      <c r="N541" t="s">
        <v>32</v>
      </c>
      <c r="P541">
        <f>VLOOKUP(Table2[[#This Row],[Product_ID]],Table1[#All],8,TRUE)</f>
        <v>0</v>
      </c>
    </row>
    <row r="542" spans="1:16" x14ac:dyDescent="0.3">
      <c r="A542" t="s">
        <v>1284</v>
      </c>
      <c r="B542" s="5" t="s">
        <v>1285</v>
      </c>
      <c r="C542" s="3" t="str">
        <f t="shared" si="8"/>
        <v>12-05-2024</v>
      </c>
      <c r="D542" t="s">
        <v>62</v>
      </c>
      <c r="E542" t="s">
        <v>339</v>
      </c>
      <c r="F542" t="s">
        <v>57</v>
      </c>
      <c r="G542" t="s">
        <v>37</v>
      </c>
      <c r="H542" t="s">
        <v>99</v>
      </c>
      <c r="I542">
        <v>4</v>
      </c>
      <c r="J542">
        <v>6006</v>
      </c>
      <c r="K542" s="7">
        <v>0.2</v>
      </c>
      <c r="L542" t="s">
        <v>38</v>
      </c>
      <c r="M542" t="s">
        <v>22</v>
      </c>
      <c r="N542" t="s">
        <v>32</v>
      </c>
      <c r="P542">
        <f>VLOOKUP(Table2[[#This Row],[Product_ID]],Table1[#All],8,TRUE)</f>
        <v>1500</v>
      </c>
    </row>
    <row r="543" spans="1:16" x14ac:dyDescent="0.3">
      <c r="A543" t="s">
        <v>1286</v>
      </c>
      <c r="B543" s="5" t="s">
        <v>1287</v>
      </c>
      <c r="C543" s="3" t="str">
        <f t="shared" si="8"/>
        <v>31-05-2023</v>
      </c>
      <c r="D543" t="s">
        <v>51</v>
      </c>
      <c r="E543" t="s">
        <v>958</v>
      </c>
      <c r="F543" t="s">
        <v>18</v>
      </c>
      <c r="G543" t="s">
        <v>29</v>
      </c>
      <c r="H543" t="s">
        <v>30</v>
      </c>
      <c r="I543">
        <v>5</v>
      </c>
      <c r="J543">
        <v>2239</v>
      </c>
      <c r="K543" s="7">
        <v>0</v>
      </c>
      <c r="L543" t="s">
        <v>31</v>
      </c>
      <c r="M543" t="s">
        <v>39</v>
      </c>
      <c r="N543" t="s">
        <v>32</v>
      </c>
      <c r="P543">
        <f>VLOOKUP(Table2[[#This Row],[Product_ID]],Table1[#All],8,TRUE)</f>
        <v>500</v>
      </c>
    </row>
    <row r="544" spans="1:16" x14ac:dyDescent="0.3">
      <c r="A544" t="s">
        <v>1288</v>
      </c>
      <c r="B544" s="5" t="s">
        <v>1289</v>
      </c>
      <c r="C544" s="3" t="str">
        <f t="shared" si="8"/>
        <v>27-02-2024</v>
      </c>
      <c r="D544" t="s">
        <v>91</v>
      </c>
      <c r="E544" t="s">
        <v>339</v>
      </c>
      <c r="F544" t="s">
        <v>64</v>
      </c>
      <c r="G544" t="s">
        <v>53</v>
      </c>
      <c r="H544" t="s">
        <v>99</v>
      </c>
      <c r="I544">
        <v>4</v>
      </c>
      <c r="J544">
        <v>5288</v>
      </c>
      <c r="K544" s="7">
        <v>0.05</v>
      </c>
      <c r="L544" t="s">
        <v>21</v>
      </c>
      <c r="M544" t="s">
        <v>39</v>
      </c>
      <c r="N544" t="s">
        <v>23</v>
      </c>
      <c r="P544">
        <f>VLOOKUP(Table2[[#This Row],[Product_ID]],Table1[#All],8,TRUE)</f>
        <v>1500</v>
      </c>
    </row>
    <row r="545" spans="1:16" x14ac:dyDescent="0.3">
      <c r="A545" t="s">
        <v>1290</v>
      </c>
      <c r="B545" s="5" t="s">
        <v>1150</v>
      </c>
      <c r="C545" s="3" t="str">
        <f t="shared" si="8"/>
        <v>16-03-2024</v>
      </c>
      <c r="D545" t="s">
        <v>35</v>
      </c>
      <c r="E545" t="s">
        <v>36</v>
      </c>
      <c r="F545" t="s">
        <v>57</v>
      </c>
      <c r="G545" t="s">
        <v>53</v>
      </c>
      <c r="H545" t="s">
        <v>99</v>
      </c>
      <c r="I545">
        <v>2</v>
      </c>
      <c r="J545">
        <v>8663</v>
      </c>
      <c r="K545" s="7">
        <v>0</v>
      </c>
      <c r="L545" t="s">
        <v>38</v>
      </c>
      <c r="M545" t="s">
        <v>22</v>
      </c>
      <c r="N545" t="s">
        <v>32</v>
      </c>
      <c r="O545">
        <v>3.6</v>
      </c>
      <c r="P545">
        <f>VLOOKUP(Table2[[#This Row],[Product_ID]],Table1[#All],8,TRUE)</f>
        <v>1500</v>
      </c>
    </row>
    <row r="546" spans="1:16" x14ac:dyDescent="0.3">
      <c r="A546" t="s">
        <v>1291</v>
      </c>
      <c r="B546" s="5" t="s">
        <v>1292</v>
      </c>
      <c r="C546" s="3" t="str">
        <f t="shared" si="8"/>
        <v>27-06-2023</v>
      </c>
      <c r="D546" t="s">
        <v>51</v>
      </c>
      <c r="E546" t="s">
        <v>216</v>
      </c>
      <c r="F546" t="s">
        <v>18</v>
      </c>
      <c r="G546" t="s">
        <v>19</v>
      </c>
      <c r="H546" t="s">
        <v>30</v>
      </c>
      <c r="I546">
        <v>3</v>
      </c>
      <c r="J546">
        <v>2237</v>
      </c>
      <c r="K546" s="7">
        <v>0.05</v>
      </c>
      <c r="L546" t="s">
        <v>21</v>
      </c>
      <c r="M546" t="s">
        <v>39</v>
      </c>
      <c r="N546" t="s">
        <v>23</v>
      </c>
      <c r="P546">
        <f>VLOOKUP(Table2[[#This Row],[Product_ID]],Table1[#All],8,TRUE)</f>
        <v>0</v>
      </c>
    </row>
    <row r="547" spans="1:16" x14ac:dyDescent="0.3">
      <c r="A547" t="s">
        <v>1293</v>
      </c>
      <c r="B547" s="5" t="s">
        <v>1294</v>
      </c>
      <c r="C547" s="3" t="str">
        <f t="shared" si="8"/>
        <v>02-09-2023</v>
      </c>
      <c r="D547" t="s">
        <v>51</v>
      </c>
      <c r="E547" t="s">
        <v>88</v>
      </c>
      <c r="F547" t="s">
        <v>98</v>
      </c>
      <c r="G547" t="s">
        <v>19</v>
      </c>
      <c r="H547" t="s">
        <v>30</v>
      </c>
      <c r="I547">
        <v>2</v>
      </c>
      <c r="J547">
        <v>8389</v>
      </c>
      <c r="K547" s="7">
        <v>0</v>
      </c>
      <c r="L547" t="s">
        <v>38</v>
      </c>
      <c r="M547" t="s">
        <v>39</v>
      </c>
      <c r="N547" t="s">
        <v>23</v>
      </c>
      <c r="P547">
        <f>VLOOKUP(Table2[[#This Row],[Product_ID]],Table1[#All],8,TRUE)</f>
        <v>0</v>
      </c>
    </row>
    <row r="548" spans="1:16" x14ac:dyDescent="0.3">
      <c r="A548" t="s">
        <v>1295</v>
      </c>
      <c r="B548" s="5" t="s">
        <v>350</v>
      </c>
      <c r="C548" s="3" t="str">
        <f t="shared" si="8"/>
        <v>11-07-2024</v>
      </c>
      <c r="D548" t="s">
        <v>51</v>
      </c>
      <c r="E548" t="s">
        <v>256</v>
      </c>
      <c r="F548" t="s">
        <v>98</v>
      </c>
      <c r="G548" t="s">
        <v>53</v>
      </c>
      <c r="H548" t="s">
        <v>99</v>
      </c>
      <c r="I548">
        <v>5</v>
      </c>
      <c r="J548">
        <v>7312</v>
      </c>
      <c r="K548" s="7">
        <v>0.1</v>
      </c>
      <c r="L548" t="s">
        <v>38</v>
      </c>
      <c r="M548" t="s">
        <v>22</v>
      </c>
      <c r="N548" t="s">
        <v>32</v>
      </c>
      <c r="P548">
        <f>VLOOKUP(Table2[[#This Row],[Product_ID]],Table1[#All],8,TRUE)</f>
        <v>0</v>
      </c>
    </row>
    <row r="549" spans="1:16" x14ac:dyDescent="0.3">
      <c r="A549" t="s">
        <v>1296</v>
      </c>
      <c r="B549" s="5" t="s">
        <v>1278</v>
      </c>
      <c r="C549" s="3" t="str">
        <f t="shared" si="8"/>
        <v>25-11-2024</v>
      </c>
      <c r="D549" t="s">
        <v>84</v>
      </c>
      <c r="E549" t="s">
        <v>1297</v>
      </c>
      <c r="F549" t="s">
        <v>43</v>
      </c>
      <c r="G549" t="s">
        <v>19</v>
      </c>
      <c r="H549" t="s">
        <v>30</v>
      </c>
      <c r="I549">
        <v>5</v>
      </c>
      <c r="J549">
        <v>5863</v>
      </c>
      <c r="K549" s="7">
        <v>0.05</v>
      </c>
      <c r="L549" t="s">
        <v>38</v>
      </c>
      <c r="M549" t="s">
        <v>39</v>
      </c>
      <c r="N549" t="s">
        <v>59</v>
      </c>
      <c r="P549">
        <f>VLOOKUP(Table2[[#This Row],[Product_ID]],Table1[#All],8,TRUE)</f>
        <v>1200</v>
      </c>
    </row>
    <row r="550" spans="1:16" x14ac:dyDescent="0.3">
      <c r="A550" t="s">
        <v>1298</v>
      </c>
      <c r="B550" s="5" t="s">
        <v>1299</v>
      </c>
      <c r="C550" s="3" t="str">
        <f t="shared" si="8"/>
        <v>21-09-2024</v>
      </c>
      <c r="D550" t="s">
        <v>67</v>
      </c>
      <c r="E550" t="s">
        <v>546</v>
      </c>
      <c r="F550" t="s">
        <v>64</v>
      </c>
      <c r="G550" t="s">
        <v>29</v>
      </c>
      <c r="H550" t="s">
        <v>77</v>
      </c>
      <c r="I550">
        <v>1</v>
      </c>
      <c r="J550">
        <v>3750</v>
      </c>
      <c r="K550" s="7">
        <v>0.15</v>
      </c>
      <c r="L550" t="s">
        <v>58</v>
      </c>
      <c r="M550" t="s">
        <v>39</v>
      </c>
      <c r="N550" t="s">
        <v>48</v>
      </c>
      <c r="O550">
        <v>4.9000000000000004</v>
      </c>
      <c r="P550">
        <f>VLOOKUP(Table2[[#This Row],[Product_ID]],Table1[#All],8,TRUE)</f>
        <v>900</v>
      </c>
    </row>
    <row r="551" spans="1:16" x14ac:dyDescent="0.3">
      <c r="A551" t="s">
        <v>1300</v>
      </c>
      <c r="B551" s="5" t="s">
        <v>1301</v>
      </c>
      <c r="C551" s="3" t="str">
        <f t="shared" si="8"/>
        <v>16-10-2024</v>
      </c>
      <c r="D551" t="s">
        <v>91</v>
      </c>
      <c r="E551" t="s">
        <v>575</v>
      </c>
      <c r="F551" t="s">
        <v>18</v>
      </c>
      <c r="G551" t="s">
        <v>37</v>
      </c>
      <c r="H551" t="s">
        <v>77</v>
      </c>
      <c r="I551">
        <v>1</v>
      </c>
      <c r="J551">
        <v>6171</v>
      </c>
      <c r="K551" s="7">
        <v>0.15</v>
      </c>
      <c r="L551" t="s">
        <v>38</v>
      </c>
      <c r="M551" t="s">
        <v>39</v>
      </c>
      <c r="N551" t="s">
        <v>23</v>
      </c>
      <c r="O551">
        <v>3.3</v>
      </c>
      <c r="P551">
        <f>VLOOKUP(Table2[[#This Row],[Product_ID]],Table1[#All],8,TRUE)</f>
        <v>0</v>
      </c>
    </row>
    <row r="552" spans="1:16" x14ac:dyDescent="0.3">
      <c r="A552" t="s">
        <v>1302</v>
      </c>
      <c r="B552" s="5" t="s">
        <v>1303</v>
      </c>
      <c r="C552" s="3" t="str">
        <f t="shared" si="8"/>
        <v>05-04-2023</v>
      </c>
      <c r="D552" t="s">
        <v>114</v>
      </c>
      <c r="E552" t="s">
        <v>237</v>
      </c>
      <c r="F552" t="s">
        <v>57</v>
      </c>
      <c r="G552" t="s">
        <v>53</v>
      </c>
      <c r="H552" t="s">
        <v>20</v>
      </c>
      <c r="I552">
        <v>2</v>
      </c>
      <c r="J552">
        <v>6803</v>
      </c>
      <c r="K552" s="7">
        <v>0.1</v>
      </c>
      <c r="L552" t="s">
        <v>31</v>
      </c>
      <c r="M552" t="s">
        <v>22</v>
      </c>
      <c r="N552" t="s">
        <v>23</v>
      </c>
      <c r="P552">
        <f>VLOOKUP(Table2[[#This Row],[Product_ID]],Table1[#All],8,TRUE)</f>
        <v>900</v>
      </c>
    </row>
    <row r="553" spans="1:16" x14ac:dyDescent="0.3">
      <c r="A553" t="s">
        <v>1304</v>
      </c>
      <c r="B553" s="5" t="s">
        <v>1305</v>
      </c>
      <c r="C553" s="3" t="str">
        <f t="shared" si="8"/>
        <v>16-11-2024</v>
      </c>
      <c r="D553" t="s">
        <v>46</v>
      </c>
      <c r="E553" t="s">
        <v>663</v>
      </c>
      <c r="F553" t="s">
        <v>43</v>
      </c>
      <c r="G553" t="s">
        <v>29</v>
      </c>
      <c r="H553" t="s">
        <v>20</v>
      </c>
      <c r="I553">
        <v>4</v>
      </c>
      <c r="J553">
        <v>6560</v>
      </c>
      <c r="K553" s="7">
        <v>0.15</v>
      </c>
      <c r="L553" t="s">
        <v>38</v>
      </c>
      <c r="M553" t="s">
        <v>22</v>
      </c>
      <c r="N553" t="s">
        <v>48</v>
      </c>
      <c r="P553">
        <f>VLOOKUP(Table2[[#This Row],[Product_ID]],Table1[#All],8,TRUE)</f>
        <v>900</v>
      </c>
    </row>
    <row r="554" spans="1:16" x14ac:dyDescent="0.3">
      <c r="A554" t="s">
        <v>379</v>
      </c>
      <c r="B554" s="5" t="s">
        <v>1306</v>
      </c>
      <c r="C554" s="3" t="str">
        <f t="shared" si="8"/>
        <v>06-07-2023</v>
      </c>
      <c r="D554" t="s">
        <v>16</v>
      </c>
      <c r="E554" t="s">
        <v>240</v>
      </c>
      <c r="F554" t="s">
        <v>98</v>
      </c>
      <c r="G554" t="s">
        <v>37</v>
      </c>
      <c r="H554" t="s">
        <v>77</v>
      </c>
      <c r="I554">
        <v>3</v>
      </c>
      <c r="J554">
        <v>1427</v>
      </c>
      <c r="K554" s="7">
        <v>0</v>
      </c>
      <c r="L554" t="s">
        <v>21</v>
      </c>
      <c r="M554" t="s">
        <v>39</v>
      </c>
      <c r="N554" t="s">
        <v>48</v>
      </c>
      <c r="O554">
        <v>4.0999999999999996</v>
      </c>
      <c r="P554">
        <f>VLOOKUP(Table2[[#This Row],[Product_ID]],Table1[#All],8,TRUE)</f>
        <v>500</v>
      </c>
    </row>
    <row r="555" spans="1:16" x14ac:dyDescent="0.3">
      <c r="A555" t="s">
        <v>1307</v>
      </c>
      <c r="B555" s="5" t="s">
        <v>1308</v>
      </c>
      <c r="C555" s="3" t="str">
        <f t="shared" si="8"/>
        <v>28-11-2023</v>
      </c>
      <c r="D555" t="s">
        <v>62</v>
      </c>
      <c r="E555" t="s">
        <v>1309</v>
      </c>
      <c r="F555" t="s">
        <v>28</v>
      </c>
      <c r="G555" t="s">
        <v>53</v>
      </c>
      <c r="H555" t="s">
        <v>30</v>
      </c>
      <c r="I555">
        <v>1</v>
      </c>
      <c r="J555">
        <v>6011</v>
      </c>
      <c r="K555" s="7">
        <v>0.2</v>
      </c>
      <c r="L555" t="s">
        <v>58</v>
      </c>
      <c r="M555" t="s">
        <v>39</v>
      </c>
      <c r="N555" t="s">
        <v>59</v>
      </c>
      <c r="P555">
        <f>VLOOKUP(Table2[[#This Row],[Product_ID]],Table1[#All],8,TRUE)</f>
        <v>1500</v>
      </c>
    </row>
    <row r="556" spans="1:16" x14ac:dyDescent="0.3">
      <c r="A556" t="s">
        <v>460</v>
      </c>
      <c r="B556" s="5" t="s">
        <v>1310</v>
      </c>
      <c r="C556" s="3" t="str">
        <f t="shared" si="8"/>
        <v>21-06-2024</v>
      </c>
      <c r="D556" t="s">
        <v>71</v>
      </c>
      <c r="E556" t="s">
        <v>1311</v>
      </c>
      <c r="F556" t="s">
        <v>98</v>
      </c>
      <c r="G556" t="s">
        <v>53</v>
      </c>
      <c r="H556" t="s">
        <v>30</v>
      </c>
      <c r="I556">
        <v>5</v>
      </c>
      <c r="J556">
        <v>8542</v>
      </c>
      <c r="K556" s="7">
        <v>0.05</v>
      </c>
      <c r="L556" t="s">
        <v>58</v>
      </c>
      <c r="M556" t="s">
        <v>39</v>
      </c>
      <c r="N556" t="s">
        <v>59</v>
      </c>
      <c r="P556">
        <f>VLOOKUP(Table2[[#This Row],[Product_ID]],Table1[#All],8,TRUE)</f>
        <v>500</v>
      </c>
    </row>
    <row r="557" spans="1:16" x14ac:dyDescent="0.3">
      <c r="A557" t="s">
        <v>1312</v>
      </c>
      <c r="B557" s="5" t="s">
        <v>1313</v>
      </c>
      <c r="C557" s="3" t="str">
        <f t="shared" si="8"/>
        <v>21-07-2024</v>
      </c>
      <c r="D557" t="s">
        <v>96</v>
      </c>
      <c r="E557" t="s">
        <v>213</v>
      </c>
      <c r="F557" t="s">
        <v>73</v>
      </c>
      <c r="G557" t="s">
        <v>37</v>
      </c>
      <c r="H557" t="s">
        <v>20</v>
      </c>
      <c r="I557">
        <v>1</v>
      </c>
      <c r="J557">
        <v>2887</v>
      </c>
      <c r="K557" s="7">
        <v>0.1</v>
      </c>
      <c r="L557" t="s">
        <v>38</v>
      </c>
      <c r="M557" t="s">
        <v>22</v>
      </c>
      <c r="N557" t="s">
        <v>48</v>
      </c>
      <c r="O557">
        <v>4.4000000000000004</v>
      </c>
      <c r="P557">
        <f>VLOOKUP(Table2[[#This Row],[Product_ID]],Table1[#All],8,TRUE)</f>
        <v>0</v>
      </c>
    </row>
    <row r="558" spans="1:16" x14ac:dyDescent="0.3">
      <c r="A558" t="s">
        <v>1314</v>
      </c>
      <c r="B558" s="5" t="s">
        <v>1315</v>
      </c>
      <c r="C558" s="3" t="str">
        <f t="shared" si="8"/>
        <v>03-08-2023</v>
      </c>
      <c r="D558" t="s">
        <v>84</v>
      </c>
      <c r="E558" t="s">
        <v>1316</v>
      </c>
      <c r="F558" t="s">
        <v>43</v>
      </c>
      <c r="G558" t="s">
        <v>29</v>
      </c>
      <c r="H558" t="s">
        <v>30</v>
      </c>
      <c r="I558">
        <v>4</v>
      </c>
      <c r="J558">
        <v>7744</v>
      </c>
      <c r="K558" s="7">
        <v>0.15</v>
      </c>
      <c r="L558" t="s">
        <v>31</v>
      </c>
      <c r="M558" t="s">
        <v>22</v>
      </c>
      <c r="N558" t="s">
        <v>32</v>
      </c>
      <c r="P558">
        <f>VLOOKUP(Table2[[#This Row],[Product_ID]],Table1[#All],8,TRUE)</f>
        <v>1500</v>
      </c>
    </row>
    <row r="559" spans="1:16" x14ac:dyDescent="0.3">
      <c r="A559" t="s">
        <v>928</v>
      </c>
      <c r="B559" s="5" t="s">
        <v>1317</v>
      </c>
      <c r="C559" s="3" t="str">
        <f t="shared" si="8"/>
        <v>19-09-2023</v>
      </c>
      <c r="D559" t="s">
        <v>51</v>
      </c>
      <c r="E559" t="s">
        <v>471</v>
      </c>
      <c r="F559" t="s">
        <v>73</v>
      </c>
      <c r="G559" t="s">
        <v>53</v>
      </c>
      <c r="H559" t="s">
        <v>99</v>
      </c>
      <c r="I559">
        <v>4</v>
      </c>
      <c r="J559">
        <v>6380</v>
      </c>
      <c r="K559" s="7">
        <v>0.1</v>
      </c>
      <c r="L559" t="s">
        <v>31</v>
      </c>
      <c r="M559" t="s">
        <v>39</v>
      </c>
      <c r="N559" t="s">
        <v>59</v>
      </c>
      <c r="O559">
        <v>3.5</v>
      </c>
      <c r="P559">
        <f>VLOOKUP(Table2[[#This Row],[Product_ID]],Table1[#All],8,TRUE)</f>
        <v>700</v>
      </c>
    </row>
    <row r="560" spans="1:16" x14ac:dyDescent="0.3">
      <c r="A560" t="s">
        <v>86</v>
      </c>
      <c r="B560" s="5" t="s">
        <v>1318</v>
      </c>
      <c r="C560" s="3" t="str">
        <f t="shared" si="8"/>
        <v>23-06-2023</v>
      </c>
      <c r="D560" t="s">
        <v>46</v>
      </c>
      <c r="E560" t="s">
        <v>726</v>
      </c>
      <c r="F560" t="s">
        <v>64</v>
      </c>
      <c r="G560" t="s">
        <v>53</v>
      </c>
      <c r="H560" t="s">
        <v>20</v>
      </c>
      <c r="I560">
        <v>5</v>
      </c>
      <c r="J560">
        <v>8878</v>
      </c>
      <c r="K560" s="7">
        <v>0</v>
      </c>
      <c r="L560" t="s">
        <v>58</v>
      </c>
      <c r="M560" t="s">
        <v>39</v>
      </c>
      <c r="N560" t="s">
        <v>48</v>
      </c>
      <c r="O560">
        <v>3.8</v>
      </c>
      <c r="P560">
        <f>VLOOKUP(Table2[[#This Row],[Product_ID]],Table1[#All],8,TRUE)</f>
        <v>0</v>
      </c>
    </row>
    <row r="561" spans="1:16" x14ac:dyDescent="0.3">
      <c r="A561" t="s">
        <v>1319</v>
      </c>
      <c r="B561" s="5" t="s">
        <v>1200</v>
      </c>
      <c r="C561" s="3" t="str">
        <f t="shared" si="8"/>
        <v>27-10-2024</v>
      </c>
      <c r="D561" t="s">
        <v>62</v>
      </c>
      <c r="E561" t="s">
        <v>108</v>
      </c>
      <c r="F561" t="s">
        <v>57</v>
      </c>
      <c r="G561" t="s">
        <v>53</v>
      </c>
      <c r="H561" t="s">
        <v>30</v>
      </c>
      <c r="I561">
        <v>1</v>
      </c>
      <c r="J561">
        <v>4496</v>
      </c>
      <c r="K561" s="7">
        <v>0.2</v>
      </c>
      <c r="L561" t="s">
        <v>31</v>
      </c>
      <c r="M561" t="s">
        <v>22</v>
      </c>
      <c r="N561" t="s">
        <v>48</v>
      </c>
      <c r="P561">
        <f>VLOOKUP(Table2[[#This Row],[Product_ID]],Table1[#All],8,TRUE)</f>
        <v>500</v>
      </c>
    </row>
    <row r="562" spans="1:16" x14ac:dyDescent="0.3">
      <c r="A562" t="s">
        <v>1320</v>
      </c>
      <c r="B562" s="5" t="s">
        <v>1321</v>
      </c>
      <c r="C562" s="3" t="str">
        <f t="shared" si="8"/>
        <v>14-11-2023</v>
      </c>
      <c r="D562" t="s">
        <v>35</v>
      </c>
      <c r="E562" t="s">
        <v>603</v>
      </c>
      <c r="F562" t="s">
        <v>57</v>
      </c>
      <c r="G562" t="s">
        <v>53</v>
      </c>
      <c r="H562" t="s">
        <v>30</v>
      </c>
      <c r="I562">
        <v>3</v>
      </c>
      <c r="J562">
        <v>4748</v>
      </c>
      <c r="K562" s="7">
        <v>0.1</v>
      </c>
      <c r="L562" t="s">
        <v>58</v>
      </c>
      <c r="M562" t="s">
        <v>22</v>
      </c>
      <c r="N562" t="s">
        <v>48</v>
      </c>
      <c r="P562">
        <f>VLOOKUP(Table2[[#This Row],[Product_ID]],Table1[#All],8,TRUE)</f>
        <v>0</v>
      </c>
    </row>
    <row r="563" spans="1:16" x14ac:dyDescent="0.3">
      <c r="A563" t="s">
        <v>1322</v>
      </c>
      <c r="B563" s="5" t="s">
        <v>1323</v>
      </c>
      <c r="C563" s="3" t="str">
        <f t="shared" si="8"/>
        <v>06-04-2024</v>
      </c>
      <c r="D563" t="s">
        <v>67</v>
      </c>
      <c r="E563" t="s">
        <v>1324</v>
      </c>
      <c r="F563" t="s">
        <v>18</v>
      </c>
      <c r="G563" t="s">
        <v>53</v>
      </c>
      <c r="H563" t="s">
        <v>30</v>
      </c>
      <c r="I563">
        <v>5</v>
      </c>
      <c r="J563">
        <v>6007</v>
      </c>
      <c r="K563" s="7">
        <v>0.15</v>
      </c>
      <c r="L563" t="s">
        <v>31</v>
      </c>
      <c r="M563" t="s">
        <v>39</v>
      </c>
      <c r="N563" t="s">
        <v>32</v>
      </c>
      <c r="P563">
        <f>VLOOKUP(Table2[[#This Row],[Product_ID]],Table1[#All],8,TRUE)</f>
        <v>1500</v>
      </c>
    </row>
    <row r="564" spans="1:16" x14ac:dyDescent="0.3">
      <c r="A564" t="s">
        <v>1325</v>
      </c>
      <c r="B564" s="5" t="s">
        <v>1326</v>
      </c>
      <c r="C564" s="3" t="str">
        <f t="shared" si="8"/>
        <v>19-07-2023</v>
      </c>
      <c r="D564" t="s">
        <v>71</v>
      </c>
      <c r="E564" t="s">
        <v>1327</v>
      </c>
      <c r="F564" t="s">
        <v>18</v>
      </c>
      <c r="G564" t="s">
        <v>19</v>
      </c>
      <c r="H564" t="s">
        <v>30</v>
      </c>
      <c r="I564">
        <v>5</v>
      </c>
      <c r="J564">
        <v>2237</v>
      </c>
      <c r="K564" s="7">
        <v>0.2</v>
      </c>
      <c r="L564" t="s">
        <v>31</v>
      </c>
      <c r="M564" t="s">
        <v>39</v>
      </c>
      <c r="N564" t="s">
        <v>32</v>
      </c>
      <c r="O564">
        <v>3.6</v>
      </c>
      <c r="P564">
        <f>VLOOKUP(Table2[[#This Row],[Product_ID]],Table1[#All],8,TRUE)</f>
        <v>1200</v>
      </c>
    </row>
    <row r="565" spans="1:16" x14ac:dyDescent="0.3">
      <c r="A565" t="s">
        <v>1328</v>
      </c>
      <c r="B565" s="5" t="s">
        <v>1159</v>
      </c>
      <c r="C565" s="3" t="str">
        <f t="shared" si="8"/>
        <v>14-02-2023</v>
      </c>
      <c r="D565" t="s">
        <v>114</v>
      </c>
      <c r="E565" t="s">
        <v>834</v>
      </c>
      <c r="F565" t="s">
        <v>98</v>
      </c>
      <c r="G565" t="s">
        <v>37</v>
      </c>
      <c r="H565" t="s">
        <v>30</v>
      </c>
      <c r="I565">
        <v>4</v>
      </c>
      <c r="J565">
        <v>5323</v>
      </c>
      <c r="K565" s="7">
        <v>0.1</v>
      </c>
      <c r="L565" t="s">
        <v>58</v>
      </c>
      <c r="M565" t="s">
        <v>22</v>
      </c>
      <c r="N565" t="s">
        <v>48</v>
      </c>
      <c r="O565">
        <v>4.0999999999999996</v>
      </c>
      <c r="P565">
        <f>VLOOKUP(Table2[[#This Row],[Product_ID]],Table1[#All],8,TRUE)</f>
        <v>500</v>
      </c>
    </row>
    <row r="566" spans="1:16" x14ac:dyDescent="0.3">
      <c r="A566" t="s">
        <v>1329</v>
      </c>
      <c r="B566" s="5" t="s">
        <v>1330</v>
      </c>
      <c r="C566" s="3" t="str">
        <f t="shared" si="8"/>
        <v>11-08-2023</v>
      </c>
      <c r="D566" t="s">
        <v>51</v>
      </c>
      <c r="E566" t="s">
        <v>1331</v>
      </c>
      <c r="F566" t="s">
        <v>98</v>
      </c>
      <c r="G566" t="s">
        <v>37</v>
      </c>
      <c r="H566" t="s">
        <v>99</v>
      </c>
      <c r="I566">
        <v>4</v>
      </c>
      <c r="J566">
        <v>7094</v>
      </c>
      <c r="K566" s="7">
        <v>0</v>
      </c>
      <c r="L566" t="s">
        <v>31</v>
      </c>
      <c r="M566" t="s">
        <v>39</v>
      </c>
      <c r="N566" t="s">
        <v>48</v>
      </c>
      <c r="O566">
        <v>3.6</v>
      </c>
      <c r="P566">
        <f>VLOOKUP(Table2[[#This Row],[Product_ID]],Table1[#All],8,TRUE)</f>
        <v>500</v>
      </c>
    </row>
    <row r="567" spans="1:16" x14ac:dyDescent="0.3">
      <c r="A567" t="s">
        <v>1332</v>
      </c>
      <c r="B567" s="5" t="s">
        <v>728</v>
      </c>
      <c r="C567" s="3" t="str">
        <f t="shared" si="8"/>
        <v>01-10-2023</v>
      </c>
      <c r="D567" t="s">
        <v>51</v>
      </c>
      <c r="E567" t="s">
        <v>184</v>
      </c>
      <c r="F567" t="s">
        <v>73</v>
      </c>
      <c r="G567" t="s">
        <v>53</v>
      </c>
      <c r="H567" t="s">
        <v>99</v>
      </c>
      <c r="I567">
        <v>2</v>
      </c>
      <c r="J567">
        <v>8749</v>
      </c>
      <c r="K567" s="7">
        <v>0.1</v>
      </c>
      <c r="L567" t="s">
        <v>58</v>
      </c>
      <c r="M567" t="s">
        <v>22</v>
      </c>
      <c r="N567" t="s">
        <v>48</v>
      </c>
      <c r="O567">
        <v>4.8</v>
      </c>
      <c r="P567">
        <f>VLOOKUP(Table2[[#This Row],[Product_ID]],Table1[#All],8,TRUE)</f>
        <v>900</v>
      </c>
    </row>
    <row r="568" spans="1:16" x14ac:dyDescent="0.3">
      <c r="A568" t="s">
        <v>1333</v>
      </c>
      <c r="B568" s="5" t="s">
        <v>1334</v>
      </c>
      <c r="C568" s="3" t="str">
        <f t="shared" si="8"/>
        <v>14-03-2023</v>
      </c>
      <c r="D568" t="s">
        <v>91</v>
      </c>
      <c r="E568" t="s">
        <v>640</v>
      </c>
      <c r="F568" t="s">
        <v>18</v>
      </c>
      <c r="G568" t="s">
        <v>29</v>
      </c>
      <c r="H568" t="s">
        <v>20</v>
      </c>
      <c r="I568">
        <v>3</v>
      </c>
      <c r="J568">
        <v>7835</v>
      </c>
      <c r="K568" s="7">
        <v>0.05</v>
      </c>
      <c r="L568" t="s">
        <v>58</v>
      </c>
      <c r="M568" t="s">
        <v>22</v>
      </c>
      <c r="N568" t="s">
        <v>59</v>
      </c>
      <c r="P568">
        <f>VLOOKUP(Table2[[#This Row],[Product_ID]],Table1[#All],8,TRUE)</f>
        <v>900</v>
      </c>
    </row>
    <row r="569" spans="1:16" x14ac:dyDescent="0.3">
      <c r="A569" t="s">
        <v>1335</v>
      </c>
      <c r="B569" s="5" t="s">
        <v>715</v>
      </c>
      <c r="C569" s="3" t="str">
        <f t="shared" si="8"/>
        <v>20-03-2023</v>
      </c>
      <c r="D569" t="s">
        <v>35</v>
      </c>
      <c r="E569" t="s">
        <v>425</v>
      </c>
      <c r="F569" t="s">
        <v>28</v>
      </c>
      <c r="G569" t="s">
        <v>29</v>
      </c>
      <c r="H569" t="s">
        <v>99</v>
      </c>
      <c r="I569">
        <v>2</v>
      </c>
      <c r="J569">
        <v>8350</v>
      </c>
      <c r="K569" s="7">
        <v>0.15</v>
      </c>
      <c r="L569" t="s">
        <v>31</v>
      </c>
      <c r="M569" t="s">
        <v>22</v>
      </c>
      <c r="N569" t="s">
        <v>59</v>
      </c>
      <c r="P569">
        <f>VLOOKUP(Table2[[#This Row],[Product_ID]],Table1[#All],8,TRUE)</f>
        <v>1500</v>
      </c>
    </row>
    <row r="570" spans="1:16" x14ac:dyDescent="0.3">
      <c r="A570" t="s">
        <v>1336</v>
      </c>
      <c r="B570" s="5" t="s">
        <v>1337</v>
      </c>
      <c r="C570" s="3" t="str">
        <f t="shared" si="8"/>
        <v>05-12-2024</v>
      </c>
      <c r="D570" t="s">
        <v>91</v>
      </c>
      <c r="E570" t="s">
        <v>166</v>
      </c>
      <c r="F570" t="s">
        <v>73</v>
      </c>
      <c r="G570" t="s">
        <v>19</v>
      </c>
      <c r="H570" t="s">
        <v>99</v>
      </c>
      <c r="I570">
        <v>5</v>
      </c>
      <c r="J570">
        <v>6555</v>
      </c>
      <c r="K570" s="7">
        <v>0</v>
      </c>
      <c r="L570" t="s">
        <v>58</v>
      </c>
      <c r="M570" t="s">
        <v>39</v>
      </c>
      <c r="N570" t="s">
        <v>23</v>
      </c>
      <c r="O570">
        <v>3.9</v>
      </c>
      <c r="P570">
        <f>VLOOKUP(Table2[[#This Row],[Product_ID]],Table1[#All],8,TRUE)</f>
        <v>0</v>
      </c>
    </row>
    <row r="571" spans="1:16" x14ac:dyDescent="0.3">
      <c r="A571" t="s">
        <v>1203</v>
      </c>
      <c r="B571" s="5" t="s">
        <v>1338</v>
      </c>
      <c r="C571" s="3" t="str">
        <f t="shared" si="8"/>
        <v>11-08-2024</v>
      </c>
      <c r="D571" t="s">
        <v>26</v>
      </c>
      <c r="E571" t="s">
        <v>795</v>
      </c>
      <c r="F571" t="s">
        <v>18</v>
      </c>
      <c r="G571" t="s">
        <v>37</v>
      </c>
      <c r="H571" t="s">
        <v>30</v>
      </c>
      <c r="I571">
        <v>1</v>
      </c>
      <c r="J571">
        <v>8649</v>
      </c>
      <c r="K571" s="7">
        <v>0.15</v>
      </c>
      <c r="L571" t="s">
        <v>31</v>
      </c>
      <c r="M571" t="s">
        <v>22</v>
      </c>
      <c r="N571" t="s">
        <v>48</v>
      </c>
      <c r="O571">
        <v>4.9000000000000004</v>
      </c>
      <c r="P571">
        <f>VLOOKUP(Table2[[#This Row],[Product_ID]],Table1[#All],8,TRUE)</f>
        <v>1500</v>
      </c>
    </row>
    <row r="572" spans="1:16" x14ac:dyDescent="0.3">
      <c r="A572" t="s">
        <v>1339</v>
      </c>
      <c r="B572" s="5" t="s">
        <v>1340</v>
      </c>
      <c r="C572" s="3" t="str">
        <f t="shared" si="8"/>
        <v>26-04-2023</v>
      </c>
      <c r="D572" t="s">
        <v>131</v>
      </c>
      <c r="E572" t="s">
        <v>964</v>
      </c>
      <c r="F572" t="s">
        <v>18</v>
      </c>
      <c r="G572" t="s">
        <v>29</v>
      </c>
      <c r="H572" t="s">
        <v>20</v>
      </c>
      <c r="I572">
        <v>5</v>
      </c>
      <c r="J572">
        <v>1638</v>
      </c>
      <c r="K572" s="7">
        <v>0</v>
      </c>
      <c r="L572" t="s">
        <v>31</v>
      </c>
      <c r="M572" t="s">
        <v>39</v>
      </c>
      <c r="N572" t="s">
        <v>48</v>
      </c>
      <c r="P572">
        <f>VLOOKUP(Table2[[#This Row],[Product_ID]],Table1[#All],8,TRUE)</f>
        <v>500</v>
      </c>
    </row>
    <row r="573" spans="1:16" x14ac:dyDescent="0.3">
      <c r="A573" t="s">
        <v>1341</v>
      </c>
      <c r="B573" s="5" t="s">
        <v>1342</v>
      </c>
      <c r="C573" s="3" t="str">
        <f t="shared" si="8"/>
        <v>30-10-2024</v>
      </c>
      <c r="D573" t="s">
        <v>80</v>
      </c>
      <c r="E573" t="s">
        <v>758</v>
      </c>
      <c r="F573" t="s">
        <v>98</v>
      </c>
      <c r="G573" t="s">
        <v>29</v>
      </c>
      <c r="H573" t="s">
        <v>99</v>
      </c>
      <c r="I573">
        <v>5</v>
      </c>
      <c r="J573">
        <v>6010</v>
      </c>
      <c r="K573" s="7">
        <v>0.2</v>
      </c>
      <c r="L573" t="s">
        <v>38</v>
      </c>
      <c r="M573" t="s">
        <v>22</v>
      </c>
      <c r="N573" t="s">
        <v>23</v>
      </c>
      <c r="O573">
        <v>4</v>
      </c>
      <c r="P573">
        <f>VLOOKUP(Table2[[#This Row],[Product_ID]],Table1[#All],8,TRUE)</f>
        <v>1500</v>
      </c>
    </row>
    <row r="574" spans="1:16" x14ac:dyDescent="0.3">
      <c r="A574" t="s">
        <v>1343</v>
      </c>
      <c r="B574" s="5" t="s">
        <v>1344</v>
      </c>
      <c r="C574" s="3" t="str">
        <f t="shared" si="8"/>
        <v>19-10-2023</v>
      </c>
      <c r="D574" t="s">
        <v>67</v>
      </c>
      <c r="E574" t="s">
        <v>1345</v>
      </c>
      <c r="F574" t="s">
        <v>98</v>
      </c>
      <c r="G574" t="s">
        <v>29</v>
      </c>
      <c r="H574" t="s">
        <v>99</v>
      </c>
      <c r="I574">
        <v>5</v>
      </c>
      <c r="J574">
        <v>3323</v>
      </c>
      <c r="K574" s="7">
        <v>0.2</v>
      </c>
      <c r="L574" t="s">
        <v>58</v>
      </c>
      <c r="M574" t="s">
        <v>22</v>
      </c>
      <c r="N574" t="s">
        <v>48</v>
      </c>
      <c r="O574">
        <v>3.9</v>
      </c>
      <c r="P574">
        <f>VLOOKUP(Table2[[#This Row],[Product_ID]],Table1[#All],8,TRUE)</f>
        <v>0</v>
      </c>
    </row>
    <row r="575" spans="1:16" x14ac:dyDescent="0.3">
      <c r="A575" t="s">
        <v>1346</v>
      </c>
      <c r="B575" s="5" t="s">
        <v>1347</v>
      </c>
      <c r="C575" s="3" t="str">
        <f t="shared" si="8"/>
        <v>01-08-2024</v>
      </c>
      <c r="D575" t="s">
        <v>46</v>
      </c>
      <c r="E575" t="s">
        <v>1001</v>
      </c>
      <c r="F575" t="s">
        <v>18</v>
      </c>
      <c r="G575" t="s">
        <v>53</v>
      </c>
      <c r="H575" t="s">
        <v>20</v>
      </c>
      <c r="I575">
        <v>4</v>
      </c>
      <c r="J575">
        <v>6827</v>
      </c>
      <c r="K575" s="7">
        <v>0.1</v>
      </c>
      <c r="L575" t="s">
        <v>31</v>
      </c>
      <c r="M575" t="s">
        <v>22</v>
      </c>
      <c r="N575" t="s">
        <v>32</v>
      </c>
      <c r="O575">
        <v>4.8</v>
      </c>
      <c r="P575">
        <f>VLOOKUP(Table2[[#This Row],[Product_ID]],Table1[#All],8,TRUE)</f>
        <v>1500</v>
      </c>
    </row>
    <row r="576" spans="1:16" x14ac:dyDescent="0.3">
      <c r="A576" t="s">
        <v>1348</v>
      </c>
      <c r="B576" s="5" t="s">
        <v>1349</v>
      </c>
      <c r="C576" s="3" t="str">
        <f t="shared" si="8"/>
        <v>02-01-2024</v>
      </c>
      <c r="D576" t="s">
        <v>131</v>
      </c>
      <c r="E576" t="s">
        <v>886</v>
      </c>
      <c r="F576" t="s">
        <v>64</v>
      </c>
      <c r="G576" t="s">
        <v>29</v>
      </c>
      <c r="H576" t="s">
        <v>30</v>
      </c>
      <c r="I576">
        <v>3</v>
      </c>
      <c r="J576">
        <v>8692</v>
      </c>
      <c r="K576" s="7">
        <v>0.2</v>
      </c>
      <c r="L576" t="s">
        <v>31</v>
      </c>
      <c r="M576" t="s">
        <v>22</v>
      </c>
      <c r="N576" t="s">
        <v>59</v>
      </c>
      <c r="P576">
        <f>VLOOKUP(Table2[[#This Row],[Product_ID]],Table1[#All],8,TRUE)</f>
        <v>1500</v>
      </c>
    </row>
    <row r="577" spans="1:16" x14ac:dyDescent="0.3">
      <c r="A577" t="s">
        <v>1350</v>
      </c>
      <c r="B577" s="5" t="s">
        <v>1351</v>
      </c>
      <c r="C577" s="3" t="str">
        <f t="shared" si="8"/>
        <v>09-11-2024</v>
      </c>
      <c r="D577" t="s">
        <v>80</v>
      </c>
      <c r="E577" t="s">
        <v>295</v>
      </c>
      <c r="F577" t="s">
        <v>18</v>
      </c>
      <c r="G577" t="s">
        <v>37</v>
      </c>
      <c r="H577" t="s">
        <v>77</v>
      </c>
      <c r="I577">
        <v>5</v>
      </c>
      <c r="J577">
        <v>5884</v>
      </c>
      <c r="K577" s="7">
        <v>0.1</v>
      </c>
      <c r="L577" t="s">
        <v>38</v>
      </c>
      <c r="M577" t="s">
        <v>22</v>
      </c>
      <c r="N577" t="s">
        <v>32</v>
      </c>
      <c r="P577">
        <f>VLOOKUP(Table2[[#This Row],[Product_ID]],Table1[#All],8,TRUE)</f>
        <v>1500</v>
      </c>
    </row>
    <row r="578" spans="1:16" x14ac:dyDescent="0.3">
      <c r="A578" t="s">
        <v>1352</v>
      </c>
      <c r="B578" s="5" t="s">
        <v>797</v>
      </c>
      <c r="C578" s="3" t="str">
        <f t="shared" ref="C578:C641" si="9">TEXT(B578,"dd-mm-yyyy")</f>
        <v>26-12-2023</v>
      </c>
      <c r="D578" t="s">
        <v>80</v>
      </c>
      <c r="E578" t="s">
        <v>629</v>
      </c>
      <c r="F578" t="s">
        <v>28</v>
      </c>
      <c r="G578" t="s">
        <v>19</v>
      </c>
      <c r="H578" t="s">
        <v>99</v>
      </c>
      <c r="I578">
        <v>3</v>
      </c>
      <c r="J578">
        <v>1497</v>
      </c>
      <c r="K578" s="7">
        <v>0.15</v>
      </c>
      <c r="L578" t="s">
        <v>21</v>
      </c>
      <c r="M578" t="s">
        <v>39</v>
      </c>
      <c r="N578" t="s">
        <v>32</v>
      </c>
      <c r="O578">
        <v>3.3</v>
      </c>
      <c r="P578">
        <f>VLOOKUP(Table2[[#This Row],[Product_ID]],Table1[#All],8,TRUE)</f>
        <v>900</v>
      </c>
    </row>
    <row r="579" spans="1:16" x14ac:dyDescent="0.3">
      <c r="A579" t="s">
        <v>895</v>
      </c>
      <c r="B579" s="5" t="s">
        <v>1353</v>
      </c>
      <c r="C579" s="3" t="str">
        <f t="shared" si="9"/>
        <v>21-03-2023</v>
      </c>
      <c r="D579" t="s">
        <v>26</v>
      </c>
      <c r="E579" t="s">
        <v>1043</v>
      </c>
      <c r="F579" t="s">
        <v>28</v>
      </c>
      <c r="G579" t="s">
        <v>37</v>
      </c>
      <c r="H579" t="s">
        <v>77</v>
      </c>
      <c r="I579">
        <v>1</v>
      </c>
      <c r="J579">
        <v>2510</v>
      </c>
      <c r="K579" s="7">
        <v>0.2</v>
      </c>
      <c r="L579" t="s">
        <v>38</v>
      </c>
      <c r="M579" t="s">
        <v>39</v>
      </c>
      <c r="N579" t="s">
        <v>32</v>
      </c>
      <c r="O579">
        <v>4.9000000000000004</v>
      </c>
      <c r="P579">
        <f>VLOOKUP(Table2[[#This Row],[Product_ID]],Table1[#All],8,TRUE)</f>
        <v>1500</v>
      </c>
    </row>
    <row r="580" spans="1:16" x14ac:dyDescent="0.3">
      <c r="A580" t="s">
        <v>1354</v>
      </c>
      <c r="B580" s="5" t="s">
        <v>1355</v>
      </c>
      <c r="C580" s="3" t="str">
        <f t="shared" si="9"/>
        <v>15-09-2023</v>
      </c>
      <c r="D580" t="s">
        <v>127</v>
      </c>
      <c r="E580" t="s">
        <v>1356</v>
      </c>
      <c r="F580" t="s">
        <v>64</v>
      </c>
      <c r="G580" t="s">
        <v>53</v>
      </c>
      <c r="H580" t="s">
        <v>20</v>
      </c>
      <c r="I580">
        <v>4</v>
      </c>
      <c r="J580">
        <v>9192</v>
      </c>
      <c r="K580" s="7">
        <v>0.05</v>
      </c>
      <c r="L580" t="s">
        <v>21</v>
      </c>
      <c r="M580" t="s">
        <v>22</v>
      </c>
      <c r="N580" t="s">
        <v>59</v>
      </c>
      <c r="P580">
        <f>VLOOKUP(Table2[[#This Row],[Product_ID]],Table1[#All],8,TRUE)</f>
        <v>900</v>
      </c>
    </row>
    <row r="581" spans="1:16" x14ac:dyDescent="0.3">
      <c r="A581" t="s">
        <v>211</v>
      </c>
      <c r="B581" s="5" t="s">
        <v>545</v>
      </c>
      <c r="C581" s="3" t="str">
        <f t="shared" si="9"/>
        <v>20-08-2023</v>
      </c>
      <c r="D581" t="s">
        <v>127</v>
      </c>
      <c r="E581" t="s">
        <v>1316</v>
      </c>
      <c r="F581" t="s">
        <v>18</v>
      </c>
      <c r="G581" t="s">
        <v>37</v>
      </c>
      <c r="H581" t="s">
        <v>30</v>
      </c>
      <c r="I581">
        <v>2</v>
      </c>
      <c r="J581">
        <v>6303</v>
      </c>
      <c r="K581" s="7">
        <v>0</v>
      </c>
      <c r="L581" t="s">
        <v>31</v>
      </c>
      <c r="M581" t="s">
        <v>39</v>
      </c>
      <c r="N581" t="s">
        <v>23</v>
      </c>
      <c r="P581">
        <f>VLOOKUP(Table2[[#This Row],[Product_ID]],Table1[#All],8,TRUE)</f>
        <v>1500</v>
      </c>
    </row>
    <row r="582" spans="1:16" x14ac:dyDescent="0.3">
      <c r="A582" t="s">
        <v>1357</v>
      </c>
      <c r="B582" s="5" t="s">
        <v>1285</v>
      </c>
      <c r="C582" s="3" t="str">
        <f t="shared" si="9"/>
        <v>12-05-2024</v>
      </c>
      <c r="D582" t="s">
        <v>67</v>
      </c>
      <c r="E582" t="s">
        <v>108</v>
      </c>
      <c r="F582" t="s">
        <v>57</v>
      </c>
      <c r="G582" t="s">
        <v>29</v>
      </c>
      <c r="H582" t="s">
        <v>77</v>
      </c>
      <c r="I582">
        <v>5</v>
      </c>
      <c r="J582">
        <v>7230</v>
      </c>
      <c r="K582" s="7">
        <v>0.15</v>
      </c>
      <c r="L582" t="s">
        <v>38</v>
      </c>
      <c r="M582" t="s">
        <v>22</v>
      </c>
      <c r="N582" t="s">
        <v>23</v>
      </c>
      <c r="P582">
        <f>VLOOKUP(Table2[[#This Row],[Product_ID]],Table1[#All],8,TRUE)</f>
        <v>500</v>
      </c>
    </row>
    <row r="583" spans="1:16" x14ac:dyDescent="0.3">
      <c r="A583" t="s">
        <v>1358</v>
      </c>
      <c r="B583" s="5" t="s">
        <v>1359</v>
      </c>
      <c r="C583" s="3" t="str">
        <f t="shared" si="9"/>
        <v>10-04-2023</v>
      </c>
      <c r="D583" t="s">
        <v>127</v>
      </c>
      <c r="E583" t="s">
        <v>269</v>
      </c>
      <c r="F583" t="s">
        <v>18</v>
      </c>
      <c r="G583" t="s">
        <v>53</v>
      </c>
      <c r="H583" t="s">
        <v>77</v>
      </c>
      <c r="I583">
        <v>4</v>
      </c>
      <c r="J583">
        <v>1491</v>
      </c>
      <c r="K583" s="7">
        <v>0.1</v>
      </c>
      <c r="L583" t="s">
        <v>21</v>
      </c>
      <c r="M583" t="s">
        <v>22</v>
      </c>
      <c r="N583" t="s">
        <v>59</v>
      </c>
      <c r="O583">
        <v>4.3</v>
      </c>
      <c r="P583">
        <f>VLOOKUP(Table2[[#This Row],[Product_ID]],Table1[#All],8,TRUE)</f>
        <v>0</v>
      </c>
    </row>
    <row r="584" spans="1:16" x14ac:dyDescent="0.3">
      <c r="A584" t="s">
        <v>125</v>
      </c>
      <c r="B584" s="5" t="s">
        <v>1360</v>
      </c>
      <c r="C584" s="3" t="str">
        <f t="shared" si="9"/>
        <v>23-04-2023</v>
      </c>
      <c r="D584" t="s">
        <v>26</v>
      </c>
      <c r="E584" t="s">
        <v>319</v>
      </c>
      <c r="F584" t="s">
        <v>98</v>
      </c>
      <c r="G584" t="s">
        <v>19</v>
      </c>
      <c r="H584" t="s">
        <v>77</v>
      </c>
      <c r="I584">
        <v>5</v>
      </c>
      <c r="J584">
        <v>7791</v>
      </c>
      <c r="K584" s="7">
        <v>0.05</v>
      </c>
      <c r="L584" t="s">
        <v>58</v>
      </c>
      <c r="M584" t="s">
        <v>39</v>
      </c>
      <c r="N584" t="s">
        <v>32</v>
      </c>
      <c r="O584">
        <v>4.0999999999999996</v>
      </c>
      <c r="P584">
        <f>VLOOKUP(Table2[[#This Row],[Product_ID]],Table1[#All],8,TRUE)</f>
        <v>1200</v>
      </c>
    </row>
    <row r="585" spans="1:16" x14ac:dyDescent="0.3">
      <c r="A585" t="s">
        <v>1361</v>
      </c>
      <c r="B585" s="5" t="s">
        <v>1362</v>
      </c>
      <c r="C585" s="3" t="str">
        <f t="shared" si="9"/>
        <v>28-05-2023</v>
      </c>
      <c r="D585" t="s">
        <v>16</v>
      </c>
      <c r="E585" t="s">
        <v>1226</v>
      </c>
      <c r="F585" t="s">
        <v>43</v>
      </c>
      <c r="G585" t="s">
        <v>29</v>
      </c>
      <c r="H585" t="s">
        <v>30</v>
      </c>
      <c r="I585">
        <v>1</v>
      </c>
      <c r="J585">
        <v>8383</v>
      </c>
      <c r="K585" s="7">
        <v>0.1</v>
      </c>
      <c r="L585" t="s">
        <v>31</v>
      </c>
      <c r="M585" t="s">
        <v>39</v>
      </c>
      <c r="N585" t="s">
        <v>32</v>
      </c>
      <c r="O585">
        <v>4.7</v>
      </c>
      <c r="P585">
        <f>VLOOKUP(Table2[[#This Row],[Product_ID]],Table1[#All],8,TRUE)</f>
        <v>700</v>
      </c>
    </row>
    <row r="586" spans="1:16" x14ac:dyDescent="0.3">
      <c r="A586" t="s">
        <v>1363</v>
      </c>
      <c r="B586" s="5" t="s">
        <v>1364</v>
      </c>
      <c r="C586" s="3" t="str">
        <f t="shared" si="9"/>
        <v>30-06-2024</v>
      </c>
      <c r="D586" t="s">
        <v>114</v>
      </c>
      <c r="E586" t="s">
        <v>121</v>
      </c>
      <c r="F586" t="s">
        <v>28</v>
      </c>
      <c r="G586" t="s">
        <v>29</v>
      </c>
      <c r="H586" t="s">
        <v>99</v>
      </c>
      <c r="I586">
        <v>1</v>
      </c>
      <c r="J586">
        <v>6655</v>
      </c>
      <c r="K586" s="7">
        <v>0</v>
      </c>
      <c r="L586" t="s">
        <v>38</v>
      </c>
      <c r="M586" t="s">
        <v>22</v>
      </c>
      <c r="N586" t="s">
        <v>23</v>
      </c>
      <c r="O586">
        <v>5</v>
      </c>
      <c r="P586">
        <f>VLOOKUP(Table2[[#This Row],[Product_ID]],Table1[#All],8,TRUE)</f>
        <v>700</v>
      </c>
    </row>
    <row r="587" spans="1:16" x14ac:dyDescent="0.3">
      <c r="A587" t="s">
        <v>1037</v>
      </c>
      <c r="B587" s="5" t="s">
        <v>1365</v>
      </c>
      <c r="C587" s="3" t="str">
        <f t="shared" si="9"/>
        <v>07-04-2023</v>
      </c>
      <c r="D587" t="s">
        <v>67</v>
      </c>
      <c r="E587" t="s">
        <v>172</v>
      </c>
      <c r="F587" t="s">
        <v>57</v>
      </c>
      <c r="G587" t="s">
        <v>53</v>
      </c>
      <c r="H587" t="s">
        <v>30</v>
      </c>
      <c r="I587">
        <v>5</v>
      </c>
      <c r="J587">
        <v>4238</v>
      </c>
      <c r="K587" s="7">
        <v>0</v>
      </c>
      <c r="L587" t="s">
        <v>21</v>
      </c>
      <c r="M587" t="s">
        <v>22</v>
      </c>
      <c r="N587" t="s">
        <v>59</v>
      </c>
      <c r="P587">
        <f>VLOOKUP(Table2[[#This Row],[Product_ID]],Table1[#All],8,TRUE)</f>
        <v>1200</v>
      </c>
    </row>
    <row r="588" spans="1:16" x14ac:dyDescent="0.3">
      <c r="A588" t="s">
        <v>1366</v>
      </c>
      <c r="B588" s="5" t="s">
        <v>1367</v>
      </c>
      <c r="C588" s="3" t="str">
        <f t="shared" si="9"/>
        <v>21-02-2023</v>
      </c>
      <c r="D588" t="s">
        <v>96</v>
      </c>
      <c r="E588" t="s">
        <v>468</v>
      </c>
      <c r="F588" t="s">
        <v>98</v>
      </c>
      <c r="G588" t="s">
        <v>37</v>
      </c>
      <c r="H588" t="s">
        <v>30</v>
      </c>
      <c r="I588">
        <v>4</v>
      </c>
      <c r="J588">
        <v>6660</v>
      </c>
      <c r="K588" s="7">
        <v>0.15</v>
      </c>
      <c r="L588" t="s">
        <v>38</v>
      </c>
      <c r="M588" t="s">
        <v>39</v>
      </c>
      <c r="N588" t="s">
        <v>32</v>
      </c>
      <c r="P588">
        <f>VLOOKUP(Table2[[#This Row],[Product_ID]],Table1[#All],8,TRUE)</f>
        <v>1200</v>
      </c>
    </row>
    <row r="589" spans="1:16" x14ac:dyDescent="0.3">
      <c r="A589" t="s">
        <v>139</v>
      </c>
      <c r="B589" s="5" t="s">
        <v>1368</v>
      </c>
      <c r="C589" s="3" t="str">
        <f t="shared" si="9"/>
        <v>01-11-2023</v>
      </c>
      <c r="D589" t="s">
        <v>96</v>
      </c>
      <c r="E589" t="s">
        <v>135</v>
      </c>
      <c r="F589" t="s">
        <v>43</v>
      </c>
      <c r="G589" t="s">
        <v>37</v>
      </c>
      <c r="H589" t="s">
        <v>77</v>
      </c>
      <c r="I589">
        <v>3</v>
      </c>
      <c r="J589">
        <v>3909</v>
      </c>
      <c r="K589" s="7">
        <v>0.1</v>
      </c>
      <c r="L589" t="s">
        <v>38</v>
      </c>
      <c r="M589" t="s">
        <v>22</v>
      </c>
      <c r="N589" t="s">
        <v>32</v>
      </c>
      <c r="P589">
        <f>VLOOKUP(Table2[[#This Row],[Product_ID]],Table1[#All],8,TRUE)</f>
        <v>1500</v>
      </c>
    </row>
    <row r="590" spans="1:16" x14ac:dyDescent="0.3">
      <c r="A590" t="s">
        <v>1369</v>
      </c>
      <c r="B590" s="5" t="s">
        <v>1370</v>
      </c>
      <c r="C590" s="3" t="str">
        <f t="shared" si="9"/>
        <v>30-03-2024</v>
      </c>
      <c r="D590" t="s">
        <v>62</v>
      </c>
      <c r="E590" t="s">
        <v>204</v>
      </c>
      <c r="F590" t="s">
        <v>64</v>
      </c>
      <c r="G590" t="s">
        <v>37</v>
      </c>
      <c r="H590" t="s">
        <v>30</v>
      </c>
      <c r="I590">
        <v>5</v>
      </c>
      <c r="J590">
        <v>8236</v>
      </c>
      <c r="K590" s="7">
        <v>0.15</v>
      </c>
      <c r="L590" t="s">
        <v>58</v>
      </c>
      <c r="M590" t="s">
        <v>39</v>
      </c>
      <c r="N590" t="s">
        <v>23</v>
      </c>
      <c r="P590">
        <f>VLOOKUP(Table2[[#This Row],[Product_ID]],Table1[#All],8,TRUE)</f>
        <v>0</v>
      </c>
    </row>
    <row r="591" spans="1:16" x14ac:dyDescent="0.3">
      <c r="A591" t="s">
        <v>1371</v>
      </c>
      <c r="B591" s="5" t="s">
        <v>1372</v>
      </c>
      <c r="C591" s="3" t="str">
        <f t="shared" si="9"/>
        <v>16-03-2024</v>
      </c>
      <c r="D591" t="s">
        <v>71</v>
      </c>
      <c r="E591" t="s">
        <v>704</v>
      </c>
      <c r="F591" t="s">
        <v>28</v>
      </c>
      <c r="G591" t="s">
        <v>29</v>
      </c>
      <c r="H591" t="s">
        <v>77</v>
      </c>
      <c r="I591">
        <v>1</v>
      </c>
      <c r="J591">
        <v>1143</v>
      </c>
      <c r="K591" s="7">
        <v>0</v>
      </c>
      <c r="L591" t="s">
        <v>31</v>
      </c>
      <c r="M591" t="s">
        <v>22</v>
      </c>
      <c r="N591" t="s">
        <v>23</v>
      </c>
      <c r="P591">
        <f>VLOOKUP(Table2[[#This Row],[Product_ID]],Table1[#All],8,TRUE)</f>
        <v>1200</v>
      </c>
    </row>
    <row r="592" spans="1:16" x14ac:dyDescent="0.3">
      <c r="A592" t="s">
        <v>864</v>
      </c>
      <c r="B592" s="5" t="s">
        <v>130</v>
      </c>
      <c r="C592" s="3" t="str">
        <f t="shared" si="9"/>
        <v>08-10-2024</v>
      </c>
      <c r="D592" t="s">
        <v>84</v>
      </c>
      <c r="E592" t="s">
        <v>309</v>
      </c>
      <c r="F592" t="s">
        <v>43</v>
      </c>
      <c r="G592" t="s">
        <v>29</v>
      </c>
      <c r="H592" t="s">
        <v>20</v>
      </c>
      <c r="I592">
        <v>3</v>
      </c>
      <c r="J592">
        <v>9834</v>
      </c>
      <c r="K592" s="7">
        <v>0.15</v>
      </c>
      <c r="L592" t="s">
        <v>58</v>
      </c>
      <c r="M592" t="s">
        <v>22</v>
      </c>
      <c r="N592" t="s">
        <v>23</v>
      </c>
      <c r="O592">
        <v>5</v>
      </c>
      <c r="P592">
        <f>VLOOKUP(Table2[[#This Row],[Product_ID]],Table1[#All],8,TRUE)</f>
        <v>700</v>
      </c>
    </row>
    <row r="593" spans="1:16" x14ac:dyDescent="0.3">
      <c r="A593" t="s">
        <v>1373</v>
      </c>
      <c r="B593" s="5" t="s">
        <v>1374</v>
      </c>
      <c r="C593" s="3" t="str">
        <f t="shared" si="9"/>
        <v>28-08-2023</v>
      </c>
      <c r="D593" t="s">
        <v>80</v>
      </c>
      <c r="E593" t="s">
        <v>1375</v>
      </c>
      <c r="F593" t="s">
        <v>57</v>
      </c>
      <c r="G593" t="s">
        <v>29</v>
      </c>
      <c r="H593" t="s">
        <v>77</v>
      </c>
      <c r="I593">
        <v>4</v>
      </c>
      <c r="J593">
        <v>6900</v>
      </c>
      <c r="K593" s="7">
        <v>0.15</v>
      </c>
      <c r="L593" t="s">
        <v>21</v>
      </c>
      <c r="M593" t="s">
        <v>22</v>
      </c>
      <c r="N593" t="s">
        <v>48</v>
      </c>
      <c r="P593">
        <f>VLOOKUP(Table2[[#This Row],[Product_ID]],Table1[#All],8,TRUE)</f>
        <v>500</v>
      </c>
    </row>
    <row r="594" spans="1:16" x14ac:dyDescent="0.3">
      <c r="A594" t="s">
        <v>1376</v>
      </c>
      <c r="B594" s="5" t="s">
        <v>1377</v>
      </c>
      <c r="C594" s="3" t="str">
        <f t="shared" si="9"/>
        <v>11-03-2023</v>
      </c>
      <c r="D594" t="s">
        <v>114</v>
      </c>
      <c r="E594" t="s">
        <v>515</v>
      </c>
      <c r="F594" t="s">
        <v>64</v>
      </c>
      <c r="G594" t="s">
        <v>37</v>
      </c>
      <c r="H594" t="s">
        <v>99</v>
      </c>
      <c r="I594">
        <v>1</v>
      </c>
      <c r="J594">
        <v>4577</v>
      </c>
      <c r="K594" s="7">
        <v>0.2</v>
      </c>
      <c r="L594" t="s">
        <v>38</v>
      </c>
      <c r="M594" t="s">
        <v>39</v>
      </c>
      <c r="N594" t="s">
        <v>23</v>
      </c>
      <c r="P594">
        <f>VLOOKUP(Table2[[#This Row],[Product_ID]],Table1[#All],8,TRUE)</f>
        <v>0</v>
      </c>
    </row>
    <row r="595" spans="1:16" x14ac:dyDescent="0.3">
      <c r="A595" t="s">
        <v>1378</v>
      </c>
      <c r="B595" s="5" t="s">
        <v>1379</v>
      </c>
      <c r="C595" s="3" t="str">
        <f t="shared" si="9"/>
        <v>02-01-2024</v>
      </c>
      <c r="D595" t="s">
        <v>80</v>
      </c>
      <c r="E595" t="s">
        <v>102</v>
      </c>
      <c r="F595" t="s">
        <v>73</v>
      </c>
      <c r="G595" t="s">
        <v>53</v>
      </c>
      <c r="H595" t="s">
        <v>99</v>
      </c>
      <c r="I595">
        <v>1</v>
      </c>
      <c r="J595">
        <v>4989</v>
      </c>
      <c r="K595" s="7">
        <v>0.05</v>
      </c>
      <c r="L595" t="s">
        <v>58</v>
      </c>
      <c r="M595" t="s">
        <v>39</v>
      </c>
      <c r="N595" t="s">
        <v>32</v>
      </c>
      <c r="O595">
        <v>4.2</v>
      </c>
      <c r="P595">
        <f>VLOOKUP(Table2[[#This Row],[Product_ID]],Table1[#All],8,TRUE)</f>
        <v>1500</v>
      </c>
    </row>
    <row r="596" spans="1:16" x14ac:dyDescent="0.3">
      <c r="A596" t="s">
        <v>1380</v>
      </c>
      <c r="B596" s="5" t="s">
        <v>1381</v>
      </c>
      <c r="C596" s="3" t="str">
        <f t="shared" si="9"/>
        <v>25-02-2023</v>
      </c>
      <c r="D596" t="s">
        <v>96</v>
      </c>
      <c r="E596" t="s">
        <v>468</v>
      </c>
      <c r="F596" t="s">
        <v>57</v>
      </c>
      <c r="G596" t="s">
        <v>29</v>
      </c>
      <c r="H596" t="s">
        <v>77</v>
      </c>
      <c r="I596">
        <v>1</v>
      </c>
      <c r="J596">
        <v>6485</v>
      </c>
      <c r="K596" s="7">
        <v>0.15</v>
      </c>
      <c r="L596" t="s">
        <v>21</v>
      </c>
      <c r="M596" t="s">
        <v>39</v>
      </c>
      <c r="N596" t="s">
        <v>32</v>
      </c>
      <c r="O596">
        <v>4.4000000000000004</v>
      </c>
      <c r="P596">
        <f>VLOOKUP(Table2[[#This Row],[Product_ID]],Table1[#All],8,TRUE)</f>
        <v>1200</v>
      </c>
    </row>
    <row r="597" spans="1:16" x14ac:dyDescent="0.3">
      <c r="A597" t="s">
        <v>1296</v>
      </c>
      <c r="B597" s="5" t="s">
        <v>1382</v>
      </c>
      <c r="C597" s="3" t="str">
        <f t="shared" si="9"/>
        <v>25-02-2024</v>
      </c>
      <c r="D597" t="s">
        <v>26</v>
      </c>
      <c r="E597" t="s">
        <v>795</v>
      </c>
      <c r="F597" t="s">
        <v>28</v>
      </c>
      <c r="G597" t="s">
        <v>29</v>
      </c>
      <c r="H597" t="s">
        <v>99</v>
      </c>
      <c r="I597">
        <v>5</v>
      </c>
      <c r="J597">
        <v>3520</v>
      </c>
      <c r="K597" s="7">
        <v>0.2</v>
      </c>
      <c r="L597" t="s">
        <v>38</v>
      </c>
      <c r="M597" t="s">
        <v>39</v>
      </c>
      <c r="N597" t="s">
        <v>32</v>
      </c>
      <c r="O597">
        <v>4.5</v>
      </c>
      <c r="P597">
        <f>VLOOKUP(Table2[[#This Row],[Product_ID]],Table1[#All],8,TRUE)</f>
        <v>1500</v>
      </c>
    </row>
    <row r="598" spans="1:16" x14ac:dyDescent="0.3">
      <c r="A598" t="s">
        <v>1383</v>
      </c>
      <c r="B598" s="5" t="s">
        <v>1384</v>
      </c>
      <c r="C598" s="3" t="str">
        <f t="shared" si="9"/>
        <v>18-02-2024</v>
      </c>
      <c r="D598" t="s">
        <v>91</v>
      </c>
      <c r="E598" t="s">
        <v>52</v>
      </c>
      <c r="F598" t="s">
        <v>98</v>
      </c>
      <c r="G598" t="s">
        <v>29</v>
      </c>
      <c r="H598" t="s">
        <v>30</v>
      </c>
      <c r="I598">
        <v>2</v>
      </c>
      <c r="J598">
        <v>3161</v>
      </c>
      <c r="K598" s="7">
        <v>0.15</v>
      </c>
      <c r="L598" t="s">
        <v>38</v>
      </c>
      <c r="M598" t="s">
        <v>22</v>
      </c>
      <c r="N598" t="s">
        <v>23</v>
      </c>
      <c r="O598">
        <v>4</v>
      </c>
      <c r="P598">
        <f>VLOOKUP(Table2[[#This Row],[Product_ID]],Table1[#All],8,TRUE)</f>
        <v>1500</v>
      </c>
    </row>
    <row r="599" spans="1:16" x14ac:dyDescent="0.3">
      <c r="A599" t="s">
        <v>1385</v>
      </c>
      <c r="B599" s="5" t="s">
        <v>1386</v>
      </c>
      <c r="C599" s="3" t="str">
        <f t="shared" si="9"/>
        <v>29-06-2023</v>
      </c>
      <c r="D599" t="s">
        <v>71</v>
      </c>
      <c r="E599" t="s">
        <v>459</v>
      </c>
      <c r="F599" t="s">
        <v>28</v>
      </c>
      <c r="G599" t="s">
        <v>37</v>
      </c>
      <c r="H599" t="s">
        <v>20</v>
      </c>
      <c r="I599">
        <v>2</v>
      </c>
      <c r="J599">
        <v>8168</v>
      </c>
      <c r="K599" s="7">
        <v>0.1</v>
      </c>
      <c r="L599" t="s">
        <v>31</v>
      </c>
      <c r="M599" t="s">
        <v>22</v>
      </c>
      <c r="N599" t="s">
        <v>59</v>
      </c>
      <c r="P599">
        <f>VLOOKUP(Table2[[#This Row],[Product_ID]],Table1[#All],8,TRUE)</f>
        <v>0</v>
      </c>
    </row>
    <row r="600" spans="1:16" x14ac:dyDescent="0.3">
      <c r="A600" t="s">
        <v>992</v>
      </c>
      <c r="B600" s="5" t="s">
        <v>1387</v>
      </c>
      <c r="C600" s="3" t="str">
        <f t="shared" si="9"/>
        <v>01-08-2023</v>
      </c>
      <c r="D600" t="s">
        <v>96</v>
      </c>
      <c r="E600" t="s">
        <v>322</v>
      </c>
      <c r="F600" t="s">
        <v>73</v>
      </c>
      <c r="G600" t="s">
        <v>19</v>
      </c>
      <c r="H600" t="s">
        <v>99</v>
      </c>
      <c r="I600">
        <v>5</v>
      </c>
      <c r="J600">
        <v>8036</v>
      </c>
      <c r="K600" s="7">
        <v>0.15</v>
      </c>
      <c r="L600" t="s">
        <v>31</v>
      </c>
      <c r="M600" t="s">
        <v>22</v>
      </c>
      <c r="N600" t="s">
        <v>48</v>
      </c>
      <c r="O600">
        <v>3.8</v>
      </c>
      <c r="P600">
        <f>VLOOKUP(Table2[[#This Row],[Product_ID]],Table1[#All],8,TRUE)</f>
        <v>1500</v>
      </c>
    </row>
    <row r="601" spans="1:16" x14ac:dyDescent="0.3">
      <c r="A601" t="s">
        <v>1388</v>
      </c>
      <c r="B601" s="5" t="s">
        <v>700</v>
      </c>
      <c r="C601" s="3" t="str">
        <f t="shared" si="9"/>
        <v>22-07-2024</v>
      </c>
      <c r="D601" t="s">
        <v>80</v>
      </c>
      <c r="E601" t="s">
        <v>909</v>
      </c>
      <c r="F601" t="s">
        <v>64</v>
      </c>
      <c r="G601" t="s">
        <v>19</v>
      </c>
      <c r="H601" t="s">
        <v>99</v>
      </c>
      <c r="I601">
        <v>1</v>
      </c>
      <c r="J601">
        <v>5239</v>
      </c>
      <c r="K601" s="7">
        <v>0.05</v>
      </c>
      <c r="L601" t="s">
        <v>58</v>
      </c>
      <c r="M601" t="s">
        <v>39</v>
      </c>
      <c r="N601" t="s">
        <v>32</v>
      </c>
      <c r="P601">
        <f>VLOOKUP(Table2[[#This Row],[Product_ID]],Table1[#All],8,TRUE)</f>
        <v>1200</v>
      </c>
    </row>
    <row r="602" spans="1:16" x14ac:dyDescent="0.3">
      <c r="A602" t="s">
        <v>1389</v>
      </c>
      <c r="B602" s="5" t="s">
        <v>1390</v>
      </c>
      <c r="C602" s="3" t="str">
        <f t="shared" si="9"/>
        <v>06-02-2023</v>
      </c>
      <c r="D602" t="s">
        <v>67</v>
      </c>
      <c r="E602" t="s">
        <v>494</v>
      </c>
      <c r="F602" t="s">
        <v>28</v>
      </c>
      <c r="G602" t="s">
        <v>29</v>
      </c>
      <c r="H602" t="s">
        <v>77</v>
      </c>
      <c r="I602">
        <v>1</v>
      </c>
      <c r="J602">
        <v>1707</v>
      </c>
      <c r="K602" s="7">
        <v>0.05</v>
      </c>
      <c r="L602" t="s">
        <v>21</v>
      </c>
      <c r="M602" t="s">
        <v>22</v>
      </c>
      <c r="N602" t="s">
        <v>59</v>
      </c>
      <c r="O602">
        <v>4.5999999999999996</v>
      </c>
      <c r="P602">
        <f>VLOOKUP(Table2[[#This Row],[Product_ID]],Table1[#All],8,TRUE)</f>
        <v>0</v>
      </c>
    </row>
    <row r="603" spans="1:16" x14ac:dyDescent="0.3">
      <c r="A603" t="s">
        <v>1391</v>
      </c>
      <c r="B603" s="5" t="s">
        <v>1392</v>
      </c>
      <c r="C603" s="3" t="str">
        <f t="shared" si="9"/>
        <v>23-02-2023</v>
      </c>
      <c r="D603" t="s">
        <v>96</v>
      </c>
      <c r="E603" t="s">
        <v>1393</v>
      </c>
      <c r="F603" t="s">
        <v>98</v>
      </c>
      <c r="G603" t="s">
        <v>29</v>
      </c>
      <c r="H603" t="s">
        <v>30</v>
      </c>
      <c r="I603">
        <v>5</v>
      </c>
      <c r="J603">
        <v>2400</v>
      </c>
      <c r="K603" s="7">
        <v>0.05</v>
      </c>
      <c r="L603" t="s">
        <v>21</v>
      </c>
      <c r="M603" t="s">
        <v>22</v>
      </c>
      <c r="N603" t="s">
        <v>23</v>
      </c>
      <c r="O603">
        <v>3.3</v>
      </c>
      <c r="P603">
        <f>VLOOKUP(Table2[[#This Row],[Product_ID]],Table1[#All],8,TRUE)</f>
        <v>700</v>
      </c>
    </row>
    <row r="604" spans="1:16" x14ac:dyDescent="0.3">
      <c r="A604" t="s">
        <v>1394</v>
      </c>
      <c r="B604" s="5" t="s">
        <v>1395</v>
      </c>
      <c r="C604" s="3" t="str">
        <f t="shared" si="9"/>
        <v>05-02-2024</v>
      </c>
      <c r="D604" t="s">
        <v>96</v>
      </c>
      <c r="E604" t="s">
        <v>612</v>
      </c>
      <c r="F604" t="s">
        <v>43</v>
      </c>
      <c r="G604" t="s">
        <v>29</v>
      </c>
      <c r="H604" t="s">
        <v>77</v>
      </c>
      <c r="I604">
        <v>1</v>
      </c>
      <c r="J604">
        <v>1001</v>
      </c>
      <c r="K604" s="7">
        <v>0.1</v>
      </c>
      <c r="L604" t="s">
        <v>38</v>
      </c>
      <c r="M604" t="s">
        <v>39</v>
      </c>
      <c r="N604" t="s">
        <v>32</v>
      </c>
      <c r="P604">
        <f>VLOOKUP(Table2[[#This Row],[Product_ID]],Table1[#All],8,TRUE)</f>
        <v>1200</v>
      </c>
    </row>
    <row r="605" spans="1:16" x14ac:dyDescent="0.3">
      <c r="A605" t="s">
        <v>1396</v>
      </c>
      <c r="B605" s="5" t="s">
        <v>911</v>
      </c>
      <c r="C605" s="3" t="str">
        <f t="shared" si="9"/>
        <v>03-01-2023</v>
      </c>
      <c r="D605" t="s">
        <v>46</v>
      </c>
      <c r="E605" t="s">
        <v>368</v>
      </c>
      <c r="F605" t="s">
        <v>73</v>
      </c>
      <c r="G605" t="s">
        <v>53</v>
      </c>
      <c r="H605" t="s">
        <v>30</v>
      </c>
      <c r="I605">
        <v>3</v>
      </c>
      <c r="J605">
        <v>4044</v>
      </c>
      <c r="K605" s="7">
        <v>0.15</v>
      </c>
      <c r="L605" t="s">
        <v>38</v>
      </c>
      <c r="M605" t="s">
        <v>22</v>
      </c>
      <c r="N605" t="s">
        <v>48</v>
      </c>
      <c r="P605">
        <f>VLOOKUP(Table2[[#This Row],[Product_ID]],Table1[#All],8,TRUE)</f>
        <v>1500</v>
      </c>
    </row>
    <row r="606" spans="1:16" x14ac:dyDescent="0.3">
      <c r="A606" t="s">
        <v>1397</v>
      </c>
      <c r="B606" s="5" t="s">
        <v>1398</v>
      </c>
      <c r="C606" s="3" t="str">
        <f t="shared" si="9"/>
        <v>09-05-2023</v>
      </c>
      <c r="D606" t="s">
        <v>127</v>
      </c>
      <c r="E606" t="s">
        <v>663</v>
      </c>
      <c r="F606" t="s">
        <v>18</v>
      </c>
      <c r="G606" t="s">
        <v>53</v>
      </c>
      <c r="H606" t="s">
        <v>77</v>
      </c>
      <c r="I606">
        <v>3</v>
      </c>
      <c r="J606">
        <v>7065</v>
      </c>
      <c r="K606" s="7">
        <v>0.1</v>
      </c>
      <c r="L606" t="s">
        <v>58</v>
      </c>
      <c r="M606" t="s">
        <v>22</v>
      </c>
      <c r="N606" t="s">
        <v>59</v>
      </c>
      <c r="O606">
        <v>4.5999999999999996</v>
      </c>
      <c r="P606">
        <f>VLOOKUP(Table2[[#This Row],[Product_ID]],Table1[#All],8,TRUE)</f>
        <v>900</v>
      </c>
    </row>
    <row r="607" spans="1:16" x14ac:dyDescent="0.3">
      <c r="A607" t="s">
        <v>399</v>
      </c>
      <c r="B607" s="5" t="s">
        <v>1342</v>
      </c>
      <c r="C607" s="3" t="str">
        <f t="shared" si="9"/>
        <v>30-10-2024</v>
      </c>
      <c r="D607" t="s">
        <v>46</v>
      </c>
      <c r="E607" t="s">
        <v>454</v>
      </c>
      <c r="F607" t="s">
        <v>28</v>
      </c>
      <c r="G607" t="s">
        <v>53</v>
      </c>
      <c r="H607" t="s">
        <v>20</v>
      </c>
      <c r="I607">
        <v>5</v>
      </c>
      <c r="J607">
        <v>9101</v>
      </c>
      <c r="K607" s="7">
        <v>0.1</v>
      </c>
      <c r="L607" t="s">
        <v>58</v>
      </c>
      <c r="M607" t="s">
        <v>22</v>
      </c>
      <c r="N607" t="s">
        <v>48</v>
      </c>
      <c r="P607">
        <f>VLOOKUP(Table2[[#This Row],[Product_ID]],Table1[#All],8,TRUE)</f>
        <v>900</v>
      </c>
    </row>
    <row r="608" spans="1:16" x14ac:dyDescent="0.3">
      <c r="A608" t="s">
        <v>1399</v>
      </c>
      <c r="B608" s="5" t="s">
        <v>1400</v>
      </c>
      <c r="C608" s="3" t="str">
        <f t="shared" si="9"/>
        <v>27-08-2024</v>
      </c>
      <c r="D608" t="s">
        <v>96</v>
      </c>
      <c r="E608" t="s">
        <v>213</v>
      </c>
      <c r="F608" t="s">
        <v>43</v>
      </c>
      <c r="G608" t="s">
        <v>19</v>
      </c>
      <c r="H608" t="s">
        <v>77</v>
      </c>
      <c r="I608">
        <v>3</v>
      </c>
      <c r="J608">
        <v>7691</v>
      </c>
      <c r="K608" s="7">
        <v>0.05</v>
      </c>
      <c r="L608" t="s">
        <v>21</v>
      </c>
      <c r="M608" t="s">
        <v>22</v>
      </c>
      <c r="N608" t="s">
        <v>23</v>
      </c>
      <c r="O608">
        <v>4.0999999999999996</v>
      </c>
      <c r="P608">
        <f>VLOOKUP(Table2[[#This Row],[Product_ID]],Table1[#All],8,TRUE)</f>
        <v>0</v>
      </c>
    </row>
    <row r="609" spans="1:16" x14ac:dyDescent="0.3">
      <c r="A609" t="s">
        <v>893</v>
      </c>
      <c r="B609" s="5" t="s">
        <v>1401</v>
      </c>
      <c r="C609" s="3" t="str">
        <f t="shared" si="9"/>
        <v>24-12-2023</v>
      </c>
      <c r="D609" t="s">
        <v>127</v>
      </c>
      <c r="E609" t="s">
        <v>322</v>
      </c>
      <c r="F609" t="s">
        <v>98</v>
      </c>
      <c r="G609" t="s">
        <v>19</v>
      </c>
      <c r="H609" t="s">
        <v>77</v>
      </c>
      <c r="I609">
        <v>2</v>
      </c>
      <c r="J609">
        <v>3831</v>
      </c>
      <c r="K609" s="7">
        <v>0.2</v>
      </c>
      <c r="L609" t="s">
        <v>58</v>
      </c>
      <c r="M609" t="s">
        <v>22</v>
      </c>
      <c r="N609" t="s">
        <v>23</v>
      </c>
      <c r="O609">
        <v>3.7</v>
      </c>
      <c r="P609">
        <f>VLOOKUP(Table2[[#This Row],[Product_ID]],Table1[#All],8,TRUE)</f>
        <v>1500</v>
      </c>
    </row>
    <row r="610" spans="1:16" x14ac:dyDescent="0.3">
      <c r="A610" t="s">
        <v>1402</v>
      </c>
      <c r="B610" s="5" t="s">
        <v>1403</v>
      </c>
      <c r="C610" s="3" t="str">
        <f t="shared" si="9"/>
        <v>07-10-2024</v>
      </c>
      <c r="D610" t="s">
        <v>80</v>
      </c>
      <c r="E610" t="s">
        <v>216</v>
      </c>
      <c r="F610" t="s">
        <v>43</v>
      </c>
      <c r="G610" t="s">
        <v>29</v>
      </c>
      <c r="H610" t="s">
        <v>77</v>
      </c>
      <c r="I610">
        <v>5</v>
      </c>
      <c r="J610">
        <v>9089</v>
      </c>
      <c r="K610" s="7">
        <v>0.2</v>
      </c>
      <c r="L610" t="s">
        <v>31</v>
      </c>
      <c r="M610" t="s">
        <v>39</v>
      </c>
      <c r="N610" t="s">
        <v>48</v>
      </c>
      <c r="P610">
        <f>VLOOKUP(Table2[[#This Row],[Product_ID]],Table1[#All],8,TRUE)</f>
        <v>0</v>
      </c>
    </row>
    <row r="611" spans="1:16" x14ac:dyDescent="0.3">
      <c r="A611" t="s">
        <v>1404</v>
      </c>
      <c r="B611" s="5" t="s">
        <v>1405</v>
      </c>
      <c r="C611" s="3" t="str">
        <f t="shared" si="9"/>
        <v>14-04-2023</v>
      </c>
      <c r="D611" t="s">
        <v>96</v>
      </c>
      <c r="E611" t="s">
        <v>437</v>
      </c>
      <c r="F611" t="s">
        <v>73</v>
      </c>
      <c r="G611" t="s">
        <v>19</v>
      </c>
      <c r="H611" t="s">
        <v>20</v>
      </c>
      <c r="I611">
        <v>1</v>
      </c>
      <c r="J611">
        <v>7043</v>
      </c>
      <c r="K611" s="7">
        <v>0.2</v>
      </c>
      <c r="L611" t="s">
        <v>38</v>
      </c>
      <c r="M611" t="s">
        <v>22</v>
      </c>
      <c r="N611" t="s">
        <v>23</v>
      </c>
      <c r="P611">
        <f>VLOOKUP(Table2[[#This Row],[Product_ID]],Table1[#All],8,TRUE)</f>
        <v>0</v>
      </c>
    </row>
    <row r="612" spans="1:16" x14ac:dyDescent="0.3">
      <c r="A612" t="s">
        <v>873</v>
      </c>
      <c r="B612" s="5" t="s">
        <v>1406</v>
      </c>
      <c r="C612" s="3" t="str">
        <f t="shared" si="9"/>
        <v>09-06-2024</v>
      </c>
      <c r="D612" t="s">
        <v>71</v>
      </c>
      <c r="E612" t="s">
        <v>1108</v>
      </c>
      <c r="F612" t="s">
        <v>57</v>
      </c>
      <c r="G612" t="s">
        <v>29</v>
      </c>
      <c r="H612" t="s">
        <v>20</v>
      </c>
      <c r="I612">
        <v>2</v>
      </c>
      <c r="J612">
        <v>1318</v>
      </c>
      <c r="K612" s="7">
        <v>0</v>
      </c>
      <c r="L612" t="s">
        <v>21</v>
      </c>
      <c r="M612" t="s">
        <v>22</v>
      </c>
      <c r="N612" t="s">
        <v>59</v>
      </c>
      <c r="P612">
        <f>VLOOKUP(Table2[[#This Row],[Product_ID]],Table1[#All],8,TRUE)</f>
        <v>700</v>
      </c>
    </row>
    <row r="613" spans="1:16" x14ac:dyDescent="0.3">
      <c r="A613" t="s">
        <v>1407</v>
      </c>
      <c r="B613" s="5" t="s">
        <v>942</v>
      </c>
      <c r="C613" s="3" t="str">
        <f t="shared" si="9"/>
        <v>21-03-2024</v>
      </c>
      <c r="D613" t="s">
        <v>46</v>
      </c>
      <c r="E613" t="s">
        <v>417</v>
      </c>
      <c r="F613" t="s">
        <v>64</v>
      </c>
      <c r="G613" t="s">
        <v>29</v>
      </c>
      <c r="H613" t="s">
        <v>20</v>
      </c>
      <c r="I613">
        <v>2</v>
      </c>
      <c r="J613">
        <v>4865</v>
      </c>
      <c r="K613" s="7">
        <v>0.1</v>
      </c>
      <c r="L613" t="s">
        <v>38</v>
      </c>
      <c r="M613" t="s">
        <v>39</v>
      </c>
      <c r="N613" t="s">
        <v>23</v>
      </c>
      <c r="O613">
        <v>4</v>
      </c>
      <c r="P613">
        <f>VLOOKUP(Table2[[#This Row],[Product_ID]],Table1[#All],8,TRUE)</f>
        <v>1500</v>
      </c>
    </row>
    <row r="614" spans="1:16" x14ac:dyDescent="0.3">
      <c r="A614" t="s">
        <v>1408</v>
      </c>
      <c r="B614" s="5" t="s">
        <v>1004</v>
      </c>
      <c r="C614" s="3" t="str">
        <f t="shared" si="9"/>
        <v>23-03-2024</v>
      </c>
      <c r="D614" t="s">
        <v>96</v>
      </c>
      <c r="E614" t="s">
        <v>1148</v>
      </c>
      <c r="F614" t="s">
        <v>18</v>
      </c>
      <c r="G614" t="s">
        <v>19</v>
      </c>
      <c r="H614" t="s">
        <v>77</v>
      </c>
      <c r="I614">
        <v>5</v>
      </c>
      <c r="J614">
        <v>3038</v>
      </c>
      <c r="K614" s="7">
        <v>0</v>
      </c>
      <c r="L614" t="s">
        <v>31</v>
      </c>
      <c r="M614" t="s">
        <v>39</v>
      </c>
      <c r="N614" t="s">
        <v>23</v>
      </c>
      <c r="O614">
        <v>4.8</v>
      </c>
      <c r="P614">
        <f>VLOOKUP(Table2[[#This Row],[Product_ID]],Table1[#All],8,TRUE)</f>
        <v>700</v>
      </c>
    </row>
    <row r="615" spans="1:16" x14ac:dyDescent="0.3">
      <c r="A615" t="s">
        <v>1409</v>
      </c>
      <c r="B615" s="5" t="s">
        <v>1410</v>
      </c>
      <c r="C615" s="3" t="str">
        <f t="shared" si="9"/>
        <v>14-02-2024</v>
      </c>
      <c r="D615" t="s">
        <v>35</v>
      </c>
      <c r="E615" t="s">
        <v>566</v>
      </c>
      <c r="F615" t="s">
        <v>43</v>
      </c>
      <c r="G615" t="s">
        <v>19</v>
      </c>
      <c r="H615" t="s">
        <v>20</v>
      </c>
      <c r="I615">
        <v>1</v>
      </c>
      <c r="J615">
        <v>2973</v>
      </c>
      <c r="K615" s="7">
        <v>0.2</v>
      </c>
      <c r="L615" t="s">
        <v>38</v>
      </c>
      <c r="M615" t="s">
        <v>39</v>
      </c>
      <c r="N615" t="s">
        <v>48</v>
      </c>
      <c r="O615">
        <v>3.8</v>
      </c>
      <c r="P615">
        <f>VLOOKUP(Table2[[#This Row],[Product_ID]],Table1[#All],8,TRUE)</f>
        <v>900</v>
      </c>
    </row>
    <row r="616" spans="1:16" x14ac:dyDescent="0.3">
      <c r="A616" t="s">
        <v>1411</v>
      </c>
      <c r="B616" s="5" t="s">
        <v>1412</v>
      </c>
      <c r="C616" s="3" t="str">
        <f t="shared" si="9"/>
        <v>26-07-2024</v>
      </c>
      <c r="D616" t="s">
        <v>131</v>
      </c>
      <c r="E616" t="s">
        <v>1007</v>
      </c>
      <c r="F616" t="s">
        <v>18</v>
      </c>
      <c r="G616" t="s">
        <v>19</v>
      </c>
      <c r="H616" t="s">
        <v>77</v>
      </c>
      <c r="I616">
        <v>5</v>
      </c>
      <c r="J616">
        <v>9628</v>
      </c>
      <c r="K616" s="7">
        <v>0.1</v>
      </c>
      <c r="L616" t="s">
        <v>38</v>
      </c>
      <c r="M616" t="s">
        <v>39</v>
      </c>
      <c r="N616" t="s">
        <v>48</v>
      </c>
      <c r="O616">
        <v>3.5</v>
      </c>
      <c r="P616">
        <f>VLOOKUP(Table2[[#This Row],[Product_ID]],Table1[#All],8,TRUE)</f>
        <v>1200</v>
      </c>
    </row>
    <row r="617" spans="1:16" x14ac:dyDescent="0.3">
      <c r="A617" t="s">
        <v>1413</v>
      </c>
      <c r="B617" s="5" t="s">
        <v>1414</v>
      </c>
      <c r="C617" s="3" t="str">
        <f t="shared" si="9"/>
        <v>30-11-2023</v>
      </c>
      <c r="D617" t="s">
        <v>131</v>
      </c>
      <c r="E617" t="s">
        <v>1415</v>
      </c>
      <c r="F617" t="s">
        <v>73</v>
      </c>
      <c r="G617" t="s">
        <v>19</v>
      </c>
      <c r="H617" t="s">
        <v>30</v>
      </c>
      <c r="I617">
        <v>5</v>
      </c>
      <c r="J617">
        <v>2120</v>
      </c>
      <c r="K617" s="7">
        <v>0.1</v>
      </c>
      <c r="L617" t="s">
        <v>31</v>
      </c>
      <c r="M617" t="s">
        <v>39</v>
      </c>
      <c r="N617" t="s">
        <v>32</v>
      </c>
      <c r="P617">
        <f>VLOOKUP(Table2[[#This Row],[Product_ID]],Table1[#All],8,TRUE)</f>
        <v>1500</v>
      </c>
    </row>
    <row r="618" spans="1:16" x14ac:dyDescent="0.3">
      <c r="A618" t="s">
        <v>1416</v>
      </c>
      <c r="B618" s="5" t="s">
        <v>1417</v>
      </c>
      <c r="C618" s="3" t="str">
        <f t="shared" si="9"/>
        <v>24-08-2023</v>
      </c>
      <c r="D618" t="s">
        <v>127</v>
      </c>
      <c r="E618" t="s">
        <v>635</v>
      </c>
      <c r="F618" t="s">
        <v>73</v>
      </c>
      <c r="G618" t="s">
        <v>29</v>
      </c>
      <c r="H618" t="s">
        <v>77</v>
      </c>
      <c r="I618">
        <v>5</v>
      </c>
      <c r="J618">
        <v>6212</v>
      </c>
      <c r="K618" s="7">
        <v>0.2</v>
      </c>
      <c r="L618" t="s">
        <v>58</v>
      </c>
      <c r="M618" t="s">
        <v>39</v>
      </c>
      <c r="N618" t="s">
        <v>32</v>
      </c>
      <c r="P618">
        <f>VLOOKUP(Table2[[#This Row],[Product_ID]],Table1[#All],8,TRUE)</f>
        <v>900</v>
      </c>
    </row>
    <row r="619" spans="1:16" x14ac:dyDescent="0.3">
      <c r="A619" t="s">
        <v>1418</v>
      </c>
      <c r="B619" s="5" t="s">
        <v>1419</v>
      </c>
      <c r="C619" s="3" t="str">
        <f t="shared" si="9"/>
        <v>04-05-2023</v>
      </c>
      <c r="D619" t="s">
        <v>131</v>
      </c>
      <c r="E619" t="s">
        <v>973</v>
      </c>
      <c r="F619" t="s">
        <v>64</v>
      </c>
      <c r="G619" t="s">
        <v>53</v>
      </c>
      <c r="H619" t="s">
        <v>30</v>
      </c>
      <c r="I619">
        <v>3</v>
      </c>
      <c r="J619">
        <v>5362</v>
      </c>
      <c r="K619" s="7">
        <v>0.1</v>
      </c>
      <c r="L619" t="s">
        <v>38</v>
      </c>
      <c r="M619" t="s">
        <v>22</v>
      </c>
      <c r="N619" t="s">
        <v>48</v>
      </c>
      <c r="P619">
        <f>VLOOKUP(Table2[[#This Row],[Product_ID]],Table1[#All],8,TRUE)</f>
        <v>700</v>
      </c>
    </row>
    <row r="620" spans="1:16" x14ac:dyDescent="0.3">
      <c r="A620" t="s">
        <v>1420</v>
      </c>
      <c r="B620" s="5" t="s">
        <v>1421</v>
      </c>
      <c r="C620" s="3" t="str">
        <f t="shared" si="9"/>
        <v>05-07-2024</v>
      </c>
      <c r="D620" t="s">
        <v>127</v>
      </c>
      <c r="E620" t="s">
        <v>88</v>
      </c>
      <c r="F620" t="s">
        <v>57</v>
      </c>
      <c r="G620" t="s">
        <v>19</v>
      </c>
      <c r="H620" t="s">
        <v>99</v>
      </c>
      <c r="I620">
        <v>4</v>
      </c>
      <c r="J620">
        <v>9844</v>
      </c>
      <c r="K620" s="7">
        <v>0.1</v>
      </c>
      <c r="L620" t="s">
        <v>21</v>
      </c>
      <c r="M620" t="s">
        <v>39</v>
      </c>
      <c r="N620" t="s">
        <v>32</v>
      </c>
      <c r="O620">
        <v>5</v>
      </c>
      <c r="P620">
        <f>VLOOKUP(Table2[[#This Row],[Product_ID]],Table1[#All],8,TRUE)</f>
        <v>0</v>
      </c>
    </row>
    <row r="621" spans="1:16" x14ac:dyDescent="0.3">
      <c r="A621" t="s">
        <v>1422</v>
      </c>
      <c r="B621" s="5" t="s">
        <v>1423</v>
      </c>
      <c r="C621" s="3" t="str">
        <f t="shared" si="9"/>
        <v>16-02-2023</v>
      </c>
      <c r="D621" t="s">
        <v>131</v>
      </c>
      <c r="E621" t="s">
        <v>160</v>
      </c>
      <c r="F621" t="s">
        <v>18</v>
      </c>
      <c r="G621" t="s">
        <v>53</v>
      </c>
      <c r="H621" t="s">
        <v>99</v>
      </c>
      <c r="I621">
        <v>3</v>
      </c>
      <c r="J621">
        <v>8769</v>
      </c>
      <c r="K621" s="7">
        <v>0.2</v>
      </c>
      <c r="L621" t="s">
        <v>38</v>
      </c>
      <c r="M621" t="s">
        <v>39</v>
      </c>
      <c r="N621" t="s">
        <v>23</v>
      </c>
      <c r="O621">
        <v>4.2</v>
      </c>
      <c r="P621">
        <f>VLOOKUP(Table2[[#This Row],[Product_ID]],Table1[#All],8,TRUE)</f>
        <v>1200</v>
      </c>
    </row>
    <row r="622" spans="1:16" x14ac:dyDescent="0.3">
      <c r="A622" t="s">
        <v>1424</v>
      </c>
      <c r="B622" s="5" t="s">
        <v>1425</v>
      </c>
      <c r="C622" s="3" t="str">
        <f t="shared" si="9"/>
        <v>01-01-2024</v>
      </c>
      <c r="D622" t="s">
        <v>84</v>
      </c>
      <c r="E622" t="s">
        <v>620</v>
      </c>
      <c r="F622" t="s">
        <v>43</v>
      </c>
      <c r="G622" t="s">
        <v>29</v>
      </c>
      <c r="H622" t="s">
        <v>20</v>
      </c>
      <c r="I622">
        <v>5</v>
      </c>
      <c r="J622">
        <v>7000</v>
      </c>
      <c r="K622" s="7">
        <v>0.15</v>
      </c>
      <c r="L622" t="s">
        <v>38</v>
      </c>
      <c r="M622" t="s">
        <v>22</v>
      </c>
      <c r="N622" t="s">
        <v>48</v>
      </c>
      <c r="O622">
        <v>4.9000000000000004</v>
      </c>
      <c r="P622">
        <f>VLOOKUP(Table2[[#This Row],[Product_ID]],Table1[#All],8,TRUE)</f>
        <v>900</v>
      </c>
    </row>
    <row r="623" spans="1:16" x14ac:dyDescent="0.3">
      <c r="A623" t="s">
        <v>1426</v>
      </c>
      <c r="B623" s="5" t="s">
        <v>1427</v>
      </c>
      <c r="C623" s="3" t="str">
        <f t="shared" si="9"/>
        <v>04-07-2023</v>
      </c>
      <c r="D623" t="s">
        <v>67</v>
      </c>
      <c r="E623" t="s">
        <v>819</v>
      </c>
      <c r="F623" t="s">
        <v>57</v>
      </c>
      <c r="G623" t="s">
        <v>53</v>
      </c>
      <c r="H623" t="s">
        <v>77</v>
      </c>
      <c r="I623">
        <v>3</v>
      </c>
      <c r="J623">
        <v>7521</v>
      </c>
      <c r="K623" s="7">
        <v>0.05</v>
      </c>
      <c r="L623" t="s">
        <v>58</v>
      </c>
      <c r="M623" t="s">
        <v>22</v>
      </c>
      <c r="N623" t="s">
        <v>59</v>
      </c>
      <c r="P623">
        <f>VLOOKUP(Table2[[#This Row],[Product_ID]],Table1[#All],8,TRUE)</f>
        <v>0</v>
      </c>
    </row>
    <row r="624" spans="1:16" x14ac:dyDescent="0.3">
      <c r="A624" t="s">
        <v>1428</v>
      </c>
      <c r="B624" s="5" t="s">
        <v>703</v>
      </c>
      <c r="C624" s="3" t="str">
        <f t="shared" si="9"/>
        <v>06-05-2023</v>
      </c>
      <c r="D624" t="s">
        <v>80</v>
      </c>
      <c r="E624" t="s">
        <v>563</v>
      </c>
      <c r="F624" t="s">
        <v>64</v>
      </c>
      <c r="G624" t="s">
        <v>53</v>
      </c>
      <c r="H624" t="s">
        <v>99</v>
      </c>
      <c r="I624">
        <v>5</v>
      </c>
      <c r="J624">
        <v>5576</v>
      </c>
      <c r="K624" s="7">
        <v>0.15</v>
      </c>
      <c r="L624" t="s">
        <v>38</v>
      </c>
      <c r="M624" t="s">
        <v>39</v>
      </c>
      <c r="N624" t="s">
        <v>23</v>
      </c>
      <c r="O624">
        <v>3.1</v>
      </c>
      <c r="P624">
        <f>VLOOKUP(Table2[[#This Row],[Product_ID]],Table1[#All],8,TRUE)</f>
        <v>0</v>
      </c>
    </row>
    <row r="625" spans="1:16" x14ac:dyDescent="0.3">
      <c r="A625" t="s">
        <v>1429</v>
      </c>
      <c r="B625" s="5" t="s">
        <v>1430</v>
      </c>
      <c r="C625" s="3" t="str">
        <f t="shared" si="9"/>
        <v>10-05-2024</v>
      </c>
      <c r="D625" t="s">
        <v>80</v>
      </c>
      <c r="E625" t="s">
        <v>758</v>
      </c>
      <c r="F625" t="s">
        <v>64</v>
      </c>
      <c r="G625" t="s">
        <v>19</v>
      </c>
      <c r="H625" t="s">
        <v>77</v>
      </c>
      <c r="I625">
        <v>1</v>
      </c>
      <c r="J625">
        <v>2615</v>
      </c>
      <c r="K625" s="7">
        <v>0</v>
      </c>
      <c r="L625" t="s">
        <v>21</v>
      </c>
      <c r="M625" t="s">
        <v>39</v>
      </c>
      <c r="N625" t="s">
        <v>23</v>
      </c>
      <c r="P625">
        <f>VLOOKUP(Table2[[#This Row],[Product_ID]],Table1[#All],8,TRUE)</f>
        <v>1500</v>
      </c>
    </row>
    <row r="626" spans="1:16" x14ac:dyDescent="0.3">
      <c r="A626" t="s">
        <v>1431</v>
      </c>
      <c r="B626" s="5" t="s">
        <v>1432</v>
      </c>
      <c r="C626" s="3" t="str">
        <f t="shared" si="9"/>
        <v>08-04-2024</v>
      </c>
      <c r="D626" t="s">
        <v>127</v>
      </c>
      <c r="E626" t="s">
        <v>1311</v>
      </c>
      <c r="F626" t="s">
        <v>28</v>
      </c>
      <c r="G626" t="s">
        <v>37</v>
      </c>
      <c r="H626" t="s">
        <v>77</v>
      </c>
      <c r="I626">
        <v>1</v>
      </c>
      <c r="J626">
        <v>8834</v>
      </c>
      <c r="K626" s="7">
        <v>0</v>
      </c>
      <c r="L626" t="s">
        <v>58</v>
      </c>
      <c r="M626" t="s">
        <v>39</v>
      </c>
      <c r="N626" t="s">
        <v>23</v>
      </c>
      <c r="O626">
        <v>3.3</v>
      </c>
      <c r="P626">
        <f>VLOOKUP(Table2[[#This Row],[Product_ID]],Table1[#All],8,TRUE)</f>
        <v>500</v>
      </c>
    </row>
    <row r="627" spans="1:16" x14ac:dyDescent="0.3">
      <c r="A627" t="s">
        <v>1433</v>
      </c>
      <c r="B627" s="5" t="s">
        <v>1434</v>
      </c>
      <c r="C627" s="3" t="str">
        <f t="shared" si="9"/>
        <v>15-11-2023</v>
      </c>
      <c r="D627" t="s">
        <v>127</v>
      </c>
      <c r="E627" t="s">
        <v>381</v>
      </c>
      <c r="F627" t="s">
        <v>57</v>
      </c>
      <c r="G627" t="s">
        <v>53</v>
      </c>
      <c r="H627" t="s">
        <v>99</v>
      </c>
      <c r="I627">
        <v>2</v>
      </c>
      <c r="J627">
        <v>9901</v>
      </c>
      <c r="K627" s="7">
        <v>0</v>
      </c>
      <c r="L627" t="s">
        <v>21</v>
      </c>
      <c r="M627" t="s">
        <v>39</v>
      </c>
      <c r="N627" t="s">
        <v>59</v>
      </c>
      <c r="O627">
        <v>3.2</v>
      </c>
      <c r="P627">
        <f>VLOOKUP(Table2[[#This Row],[Product_ID]],Table1[#All],8,TRUE)</f>
        <v>1500</v>
      </c>
    </row>
    <row r="628" spans="1:16" x14ac:dyDescent="0.3">
      <c r="A628" t="s">
        <v>1435</v>
      </c>
      <c r="B628" s="5" t="s">
        <v>761</v>
      </c>
      <c r="C628" s="3" t="str">
        <f t="shared" si="9"/>
        <v>12-10-2023</v>
      </c>
      <c r="D628" t="s">
        <v>114</v>
      </c>
      <c r="E628" t="s">
        <v>626</v>
      </c>
      <c r="F628" t="s">
        <v>57</v>
      </c>
      <c r="G628" t="s">
        <v>29</v>
      </c>
      <c r="H628" t="s">
        <v>20</v>
      </c>
      <c r="I628">
        <v>3</v>
      </c>
      <c r="J628">
        <v>6023</v>
      </c>
      <c r="K628" s="7">
        <v>0</v>
      </c>
      <c r="L628" t="s">
        <v>38</v>
      </c>
      <c r="M628" t="s">
        <v>22</v>
      </c>
      <c r="N628" t="s">
        <v>59</v>
      </c>
      <c r="P628">
        <f>VLOOKUP(Table2[[#This Row],[Product_ID]],Table1[#All],8,TRUE)</f>
        <v>1200</v>
      </c>
    </row>
    <row r="629" spans="1:16" x14ac:dyDescent="0.3">
      <c r="A629" t="s">
        <v>1436</v>
      </c>
      <c r="B629" s="5" t="s">
        <v>1437</v>
      </c>
      <c r="C629" s="3" t="str">
        <f t="shared" si="9"/>
        <v>28-05-2024</v>
      </c>
      <c r="D629" t="s">
        <v>62</v>
      </c>
      <c r="E629" t="s">
        <v>1438</v>
      </c>
      <c r="F629" t="s">
        <v>57</v>
      </c>
      <c r="G629" t="s">
        <v>29</v>
      </c>
      <c r="H629" t="s">
        <v>77</v>
      </c>
      <c r="I629">
        <v>5</v>
      </c>
      <c r="J629">
        <v>9133</v>
      </c>
      <c r="K629" s="7">
        <v>0</v>
      </c>
      <c r="L629" t="s">
        <v>31</v>
      </c>
      <c r="M629" t="s">
        <v>22</v>
      </c>
      <c r="N629" t="s">
        <v>32</v>
      </c>
      <c r="O629">
        <v>4.5999999999999996</v>
      </c>
      <c r="P629">
        <f>VLOOKUP(Table2[[#This Row],[Product_ID]],Table1[#All],8,TRUE)</f>
        <v>500</v>
      </c>
    </row>
    <row r="630" spans="1:16" x14ac:dyDescent="0.3">
      <c r="A630" t="s">
        <v>1391</v>
      </c>
      <c r="B630" s="5" t="s">
        <v>1439</v>
      </c>
      <c r="C630" s="3" t="str">
        <f t="shared" si="9"/>
        <v>09-12-2023</v>
      </c>
      <c r="D630" t="s">
        <v>26</v>
      </c>
      <c r="E630" t="s">
        <v>1438</v>
      </c>
      <c r="F630" t="s">
        <v>73</v>
      </c>
      <c r="G630" t="s">
        <v>53</v>
      </c>
      <c r="H630" t="s">
        <v>77</v>
      </c>
      <c r="I630">
        <v>3</v>
      </c>
      <c r="J630">
        <v>1336</v>
      </c>
      <c r="K630" s="7">
        <v>0.05</v>
      </c>
      <c r="L630" t="s">
        <v>58</v>
      </c>
      <c r="M630" t="s">
        <v>39</v>
      </c>
      <c r="N630" t="s">
        <v>59</v>
      </c>
      <c r="P630">
        <f>VLOOKUP(Table2[[#This Row],[Product_ID]],Table1[#All],8,TRUE)</f>
        <v>500</v>
      </c>
    </row>
    <row r="631" spans="1:16" x14ac:dyDescent="0.3">
      <c r="A631" t="s">
        <v>1440</v>
      </c>
      <c r="B631" s="5" t="s">
        <v>1441</v>
      </c>
      <c r="C631" s="3" t="str">
        <f t="shared" si="9"/>
        <v>19-08-2023</v>
      </c>
      <c r="D631" t="s">
        <v>26</v>
      </c>
      <c r="E631" t="s">
        <v>132</v>
      </c>
      <c r="F631" t="s">
        <v>43</v>
      </c>
      <c r="G631" t="s">
        <v>29</v>
      </c>
      <c r="H631" t="s">
        <v>99</v>
      </c>
      <c r="I631">
        <v>4</v>
      </c>
      <c r="J631">
        <v>1389</v>
      </c>
      <c r="K631" s="7">
        <v>0.05</v>
      </c>
      <c r="L631" t="s">
        <v>38</v>
      </c>
      <c r="M631" t="s">
        <v>22</v>
      </c>
      <c r="N631" t="s">
        <v>23</v>
      </c>
      <c r="O631">
        <v>3.6</v>
      </c>
      <c r="P631">
        <f>VLOOKUP(Table2[[#This Row],[Product_ID]],Table1[#All],8,TRUE)</f>
        <v>1500</v>
      </c>
    </row>
    <row r="632" spans="1:16" x14ac:dyDescent="0.3">
      <c r="A632" t="s">
        <v>944</v>
      </c>
      <c r="B632" s="5" t="s">
        <v>1442</v>
      </c>
      <c r="C632" s="3" t="str">
        <f t="shared" si="9"/>
        <v>18-11-2023</v>
      </c>
      <c r="D632" t="s">
        <v>67</v>
      </c>
      <c r="E632" t="s">
        <v>560</v>
      </c>
      <c r="F632" t="s">
        <v>64</v>
      </c>
      <c r="G632" t="s">
        <v>29</v>
      </c>
      <c r="H632" t="s">
        <v>99</v>
      </c>
      <c r="I632">
        <v>2</v>
      </c>
      <c r="J632">
        <v>8218</v>
      </c>
      <c r="K632" s="7">
        <v>0.2</v>
      </c>
      <c r="L632" t="s">
        <v>58</v>
      </c>
      <c r="M632" t="s">
        <v>39</v>
      </c>
      <c r="N632" t="s">
        <v>48</v>
      </c>
      <c r="O632">
        <v>3.8</v>
      </c>
      <c r="P632">
        <f>VLOOKUP(Table2[[#This Row],[Product_ID]],Table1[#All],8,TRUE)</f>
        <v>500</v>
      </c>
    </row>
    <row r="633" spans="1:16" x14ac:dyDescent="0.3">
      <c r="A633" t="s">
        <v>1443</v>
      </c>
      <c r="B633" s="5" t="s">
        <v>1444</v>
      </c>
      <c r="C633" s="3" t="str">
        <f t="shared" si="9"/>
        <v>18-01-2024</v>
      </c>
      <c r="D633" t="s">
        <v>46</v>
      </c>
      <c r="E633" t="s">
        <v>701</v>
      </c>
      <c r="F633" t="s">
        <v>73</v>
      </c>
      <c r="G633" t="s">
        <v>37</v>
      </c>
      <c r="H633" t="s">
        <v>99</v>
      </c>
      <c r="I633">
        <v>2</v>
      </c>
      <c r="J633">
        <v>4310</v>
      </c>
      <c r="K633" s="7">
        <v>0</v>
      </c>
      <c r="L633" t="s">
        <v>31</v>
      </c>
      <c r="M633" t="s">
        <v>39</v>
      </c>
      <c r="N633" t="s">
        <v>32</v>
      </c>
      <c r="P633">
        <f>VLOOKUP(Table2[[#This Row],[Product_ID]],Table1[#All],8,TRUE)</f>
        <v>1200</v>
      </c>
    </row>
    <row r="634" spans="1:16" x14ac:dyDescent="0.3">
      <c r="A634" t="s">
        <v>1233</v>
      </c>
      <c r="B634" s="5" t="s">
        <v>1445</v>
      </c>
      <c r="C634" s="3" t="str">
        <f t="shared" si="9"/>
        <v>31-12-2024</v>
      </c>
      <c r="D634" t="s">
        <v>80</v>
      </c>
      <c r="E634" t="s">
        <v>1050</v>
      </c>
      <c r="F634" t="s">
        <v>57</v>
      </c>
      <c r="G634" t="s">
        <v>19</v>
      </c>
      <c r="H634" t="s">
        <v>20</v>
      </c>
      <c r="I634">
        <v>5</v>
      </c>
      <c r="J634">
        <v>8481</v>
      </c>
      <c r="K634" s="7">
        <v>0</v>
      </c>
      <c r="L634" t="s">
        <v>58</v>
      </c>
      <c r="M634" t="s">
        <v>39</v>
      </c>
      <c r="N634" t="s">
        <v>48</v>
      </c>
      <c r="P634">
        <f>VLOOKUP(Table2[[#This Row],[Product_ID]],Table1[#All],8,TRUE)</f>
        <v>0</v>
      </c>
    </row>
    <row r="635" spans="1:16" x14ac:dyDescent="0.3">
      <c r="A635" t="s">
        <v>1020</v>
      </c>
      <c r="B635" s="5" t="s">
        <v>1446</v>
      </c>
      <c r="C635" s="3" t="str">
        <f t="shared" si="9"/>
        <v>16-09-2023</v>
      </c>
      <c r="D635" t="s">
        <v>46</v>
      </c>
      <c r="E635" t="s">
        <v>459</v>
      </c>
      <c r="F635" t="s">
        <v>43</v>
      </c>
      <c r="G635" t="s">
        <v>37</v>
      </c>
      <c r="H635" t="s">
        <v>20</v>
      </c>
      <c r="I635">
        <v>5</v>
      </c>
      <c r="J635">
        <v>7755</v>
      </c>
      <c r="K635" s="7">
        <v>0</v>
      </c>
      <c r="L635" t="s">
        <v>21</v>
      </c>
      <c r="M635" t="s">
        <v>22</v>
      </c>
      <c r="N635" t="s">
        <v>23</v>
      </c>
      <c r="O635">
        <v>3.6</v>
      </c>
      <c r="P635">
        <f>VLOOKUP(Table2[[#This Row],[Product_ID]],Table1[#All],8,TRUE)</f>
        <v>0</v>
      </c>
    </row>
    <row r="636" spans="1:16" x14ac:dyDescent="0.3">
      <c r="A636" t="s">
        <v>1447</v>
      </c>
      <c r="B636" s="5" t="s">
        <v>1448</v>
      </c>
      <c r="C636" s="3" t="str">
        <f t="shared" si="9"/>
        <v>05-08-2023</v>
      </c>
      <c r="D636" t="s">
        <v>131</v>
      </c>
      <c r="E636" t="s">
        <v>138</v>
      </c>
      <c r="F636" t="s">
        <v>57</v>
      </c>
      <c r="G636" t="s">
        <v>19</v>
      </c>
      <c r="H636" t="s">
        <v>30</v>
      </c>
      <c r="I636">
        <v>4</v>
      </c>
      <c r="J636">
        <v>3479</v>
      </c>
      <c r="K636" s="7">
        <v>0.1</v>
      </c>
      <c r="L636" t="s">
        <v>58</v>
      </c>
      <c r="M636" t="s">
        <v>39</v>
      </c>
      <c r="N636" t="s">
        <v>48</v>
      </c>
      <c r="O636">
        <v>4.5999999999999996</v>
      </c>
      <c r="P636">
        <f>VLOOKUP(Table2[[#This Row],[Product_ID]],Table1[#All],8,TRUE)</f>
        <v>1200</v>
      </c>
    </row>
    <row r="637" spans="1:16" x14ac:dyDescent="0.3">
      <c r="A637" t="s">
        <v>1449</v>
      </c>
      <c r="B637" s="5" t="s">
        <v>1450</v>
      </c>
      <c r="C637" s="3" t="str">
        <f t="shared" si="9"/>
        <v>09-02-2023</v>
      </c>
      <c r="D637" t="s">
        <v>26</v>
      </c>
      <c r="E637" t="s">
        <v>437</v>
      </c>
      <c r="F637" t="s">
        <v>57</v>
      </c>
      <c r="G637" t="s">
        <v>19</v>
      </c>
      <c r="H637" t="s">
        <v>99</v>
      </c>
      <c r="I637">
        <v>1</v>
      </c>
      <c r="J637">
        <v>1643</v>
      </c>
      <c r="K637" s="7">
        <v>0.05</v>
      </c>
      <c r="L637" t="s">
        <v>58</v>
      </c>
      <c r="M637" t="s">
        <v>39</v>
      </c>
      <c r="N637" t="s">
        <v>23</v>
      </c>
      <c r="P637">
        <f>VLOOKUP(Table2[[#This Row],[Product_ID]],Table1[#All],8,TRUE)</f>
        <v>0</v>
      </c>
    </row>
    <row r="638" spans="1:16" x14ac:dyDescent="0.3">
      <c r="A638" t="s">
        <v>1451</v>
      </c>
      <c r="B638" s="5" t="s">
        <v>1452</v>
      </c>
      <c r="C638" s="3" t="str">
        <f t="shared" si="9"/>
        <v>03-10-2024</v>
      </c>
      <c r="D638" t="s">
        <v>16</v>
      </c>
      <c r="E638" t="s">
        <v>778</v>
      </c>
      <c r="F638" t="s">
        <v>64</v>
      </c>
      <c r="G638" t="s">
        <v>53</v>
      </c>
      <c r="H638" t="s">
        <v>30</v>
      </c>
      <c r="I638">
        <v>2</v>
      </c>
      <c r="J638">
        <v>9538</v>
      </c>
      <c r="K638" s="7">
        <v>0.15</v>
      </c>
      <c r="L638" t="s">
        <v>21</v>
      </c>
      <c r="M638" t="s">
        <v>39</v>
      </c>
      <c r="N638" t="s">
        <v>48</v>
      </c>
      <c r="O638">
        <v>3.7</v>
      </c>
      <c r="P638">
        <f>VLOOKUP(Table2[[#This Row],[Product_ID]],Table1[#All],8,TRUE)</f>
        <v>900</v>
      </c>
    </row>
    <row r="639" spans="1:16" x14ac:dyDescent="0.3">
      <c r="A639" t="s">
        <v>1453</v>
      </c>
      <c r="B639" s="5" t="s">
        <v>1454</v>
      </c>
      <c r="C639" s="3" t="str">
        <f t="shared" si="9"/>
        <v>18-07-2023</v>
      </c>
      <c r="D639" t="s">
        <v>114</v>
      </c>
      <c r="E639" t="s">
        <v>726</v>
      </c>
      <c r="F639" t="s">
        <v>98</v>
      </c>
      <c r="G639" t="s">
        <v>53</v>
      </c>
      <c r="H639" t="s">
        <v>77</v>
      </c>
      <c r="I639">
        <v>3</v>
      </c>
      <c r="J639">
        <v>8664</v>
      </c>
      <c r="K639" s="7">
        <v>0.2</v>
      </c>
      <c r="L639" t="s">
        <v>38</v>
      </c>
      <c r="M639" t="s">
        <v>39</v>
      </c>
      <c r="N639" t="s">
        <v>23</v>
      </c>
      <c r="P639">
        <f>VLOOKUP(Table2[[#This Row],[Product_ID]],Table1[#All],8,TRUE)</f>
        <v>0</v>
      </c>
    </row>
    <row r="640" spans="1:16" x14ac:dyDescent="0.3">
      <c r="A640" t="s">
        <v>1455</v>
      </c>
      <c r="B640" s="5" t="s">
        <v>853</v>
      </c>
      <c r="C640" s="3" t="str">
        <f t="shared" si="9"/>
        <v>04-03-2023</v>
      </c>
      <c r="D640" t="s">
        <v>114</v>
      </c>
      <c r="E640" t="s">
        <v>250</v>
      </c>
      <c r="F640" t="s">
        <v>73</v>
      </c>
      <c r="G640" t="s">
        <v>37</v>
      </c>
      <c r="H640" t="s">
        <v>30</v>
      </c>
      <c r="I640">
        <v>2</v>
      </c>
      <c r="J640">
        <v>4523</v>
      </c>
      <c r="K640" s="7">
        <v>0.05</v>
      </c>
      <c r="L640" t="s">
        <v>21</v>
      </c>
      <c r="M640" t="s">
        <v>22</v>
      </c>
      <c r="N640" t="s">
        <v>32</v>
      </c>
      <c r="O640">
        <v>4.0999999999999996</v>
      </c>
      <c r="P640">
        <f>VLOOKUP(Table2[[#This Row],[Product_ID]],Table1[#All],8,TRUE)</f>
        <v>1200</v>
      </c>
    </row>
    <row r="641" spans="1:16" x14ac:dyDescent="0.3">
      <c r="A641" t="s">
        <v>1456</v>
      </c>
      <c r="B641" s="5" t="s">
        <v>1457</v>
      </c>
      <c r="C641" s="3" t="str">
        <f t="shared" si="9"/>
        <v>09-03-2024</v>
      </c>
      <c r="D641" t="s">
        <v>91</v>
      </c>
      <c r="E641" t="s">
        <v>924</v>
      </c>
      <c r="F641" t="s">
        <v>64</v>
      </c>
      <c r="G641" t="s">
        <v>19</v>
      </c>
      <c r="H641" t="s">
        <v>30</v>
      </c>
      <c r="I641">
        <v>5</v>
      </c>
      <c r="J641">
        <v>6480</v>
      </c>
      <c r="K641" s="7">
        <v>0.1</v>
      </c>
      <c r="L641" t="s">
        <v>31</v>
      </c>
      <c r="M641" t="s">
        <v>39</v>
      </c>
      <c r="N641" t="s">
        <v>48</v>
      </c>
      <c r="P641">
        <f>VLOOKUP(Table2[[#This Row],[Product_ID]],Table1[#All],8,TRUE)</f>
        <v>1500</v>
      </c>
    </row>
    <row r="642" spans="1:16" x14ac:dyDescent="0.3">
      <c r="A642" t="s">
        <v>1458</v>
      </c>
      <c r="B642" s="5" t="s">
        <v>935</v>
      </c>
      <c r="C642" s="3" t="str">
        <f t="shared" ref="C642:C705" si="10">TEXT(B642,"dd-mm-yyyy")</f>
        <v>20-07-2024</v>
      </c>
      <c r="D642" t="s">
        <v>114</v>
      </c>
      <c r="E642" t="s">
        <v>348</v>
      </c>
      <c r="F642" t="s">
        <v>64</v>
      </c>
      <c r="G642" t="s">
        <v>19</v>
      </c>
      <c r="H642" t="s">
        <v>20</v>
      </c>
      <c r="I642">
        <v>4</v>
      </c>
      <c r="J642">
        <v>3672</v>
      </c>
      <c r="K642" s="7">
        <v>0.1</v>
      </c>
      <c r="L642" t="s">
        <v>31</v>
      </c>
      <c r="M642" t="s">
        <v>22</v>
      </c>
      <c r="N642" t="s">
        <v>32</v>
      </c>
      <c r="P642">
        <f>VLOOKUP(Table2[[#This Row],[Product_ID]],Table1[#All],8,TRUE)</f>
        <v>900</v>
      </c>
    </row>
    <row r="643" spans="1:16" x14ac:dyDescent="0.3">
      <c r="A643" t="s">
        <v>910</v>
      </c>
      <c r="B643" s="5" t="s">
        <v>1459</v>
      </c>
      <c r="C643" s="3" t="str">
        <f t="shared" si="10"/>
        <v>23-06-2024</v>
      </c>
      <c r="D643" t="s">
        <v>71</v>
      </c>
      <c r="E643" t="s">
        <v>403</v>
      </c>
      <c r="F643" t="s">
        <v>98</v>
      </c>
      <c r="G643" t="s">
        <v>37</v>
      </c>
      <c r="H643" t="s">
        <v>77</v>
      </c>
      <c r="I643">
        <v>3</v>
      </c>
      <c r="J643">
        <v>4492</v>
      </c>
      <c r="K643" s="7">
        <v>0.15</v>
      </c>
      <c r="L643" t="s">
        <v>31</v>
      </c>
      <c r="M643" t="s">
        <v>39</v>
      </c>
      <c r="N643" t="s">
        <v>59</v>
      </c>
      <c r="P643">
        <f>VLOOKUP(Table2[[#This Row],[Product_ID]],Table1[#All],8,TRUE)</f>
        <v>1200</v>
      </c>
    </row>
    <row r="644" spans="1:16" x14ac:dyDescent="0.3">
      <c r="A644" t="s">
        <v>1460</v>
      </c>
      <c r="B644" s="5" t="s">
        <v>1461</v>
      </c>
      <c r="C644" s="3" t="str">
        <f t="shared" si="10"/>
        <v>05-05-2023</v>
      </c>
      <c r="D644" t="s">
        <v>96</v>
      </c>
      <c r="E644" t="s">
        <v>405</v>
      </c>
      <c r="F644" t="s">
        <v>57</v>
      </c>
      <c r="G644" t="s">
        <v>53</v>
      </c>
      <c r="H644" t="s">
        <v>20</v>
      </c>
      <c r="I644">
        <v>4</v>
      </c>
      <c r="J644">
        <v>9920</v>
      </c>
      <c r="K644" s="7">
        <v>0.2</v>
      </c>
      <c r="L644" t="s">
        <v>31</v>
      </c>
      <c r="M644" t="s">
        <v>22</v>
      </c>
      <c r="N644" t="s">
        <v>32</v>
      </c>
      <c r="P644">
        <f>VLOOKUP(Table2[[#This Row],[Product_ID]],Table1[#All],8,TRUE)</f>
        <v>1200</v>
      </c>
    </row>
    <row r="645" spans="1:16" x14ac:dyDescent="0.3">
      <c r="A645" t="s">
        <v>1462</v>
      </c>
      <c r="B645" s="5" t="s">
        <v>1463</v>
      </c>
      <c r="C645" s="3" t="str">
        <f t="shared" si="10"/>
        <v>06-10-2024</v>
      </c>
      <c r="D645" t="s">
        <v>46</v>
      </c>
      <c r="E645" t="s">
        <v>259</v>
      </c>
      <c r="F645" t="s">
        <v>64</v>
      </c>
      <c r="G645" t="s">
        <v>19</v>
      </c>
      <c r="H645" t="s">
        <v>77</v>
      </c>
      <c r="I645">
        <v>1</v>
      </c>
      <c r="J645">
        <v>8701</v>
      </c>
      <c r="K645" s="7">
        <v>0.05</v>
      </c>
      <c r="L645" t="s">
        <v>38</v>
      </c>
      <c r="M645" t="s">
        <v>22</v>
      </c>
      <c r="N645" t="s">
        <v>48</v>
      </c>
      <c r="P645">
        <f>VLOOKUP(Table2[[#This Row],[Product_ID]],Table1[#All],8,TRUE)</f>
        <v>0</v>
      </c>
    </row>
    <row r="646" spans="1:16" x14ac:dyDescent="0.3">
      <c r="A646" t="s">
        <v>623</v>
      </c>
      <c r="B646" s="5" t="s">
        <v>324</v>
      </c>
      <c r="C646" s="3" t="str">
        <f t="shared" si="10"/>
        <v>09-08-2024</v>
      </c>
      <c r="D646" t="s">
        <v>26</v>
      </c>
      <c r="E646" t="s">
        <v>1099</v>
      </c>
      <c r="F646" t="s">
        <v>43</v>
      </c>
      <c r="G646" t="s">
        <v>53</v>
      </c>
      <c r="H646" t="s">
        <v>30</v>
      </c>
      <c r="I646">
        <v>5</v>
      </c>
      <c r="J646">
        <v>1241</v>
      </c>
      <c r="K646" s="7">
        <v>0.2</v>
      </c>
      <c r="L646" t="s">
        <v>58</v>
      </c>
      <c r="M646" t="s">
        <v>39</v>
      </c>
      <c r="N646" t="s">
        <v>32</v>
      </c>
      <c r="O646">
        <v>3.6</v>
      </c>
      <c r="P646">
        <f>VLOOKUP(Table2[[#This Row],[Product_ID]],Table1[#All],8,TRUE)</f>
        <v>0</v>
      </c>
    </row>
    <row r="647" spans="1:16" x14ac:dyDescent="0.3">
      <c r="A647" t="s">
        <v>1464</v>
      </c>
      <c r="B647" s="5" t="s">
        <v>761</v>
      </c>
      <c r="C647" s="3" t="str">
        <f t="shared" si="10"/>
        <v>12-10-2023</v>
      </c>
      <c r="D647" t="s">
        <v>67</v>
      </c>
      <c r="E647" t="s">
        <v>1027</v>
      </c>
      <c r="F647" t="s">
        <v>64</v>
      </c>
      <c r="G647" t="s">
        <v>29</v>
      </c>
      <c r="H647" t="s">
        <v>77</v>
      </c>
      <c r="I647">
        <v>3</v>
      </c>
      <c r="J647">
        <v>3961</v>
      </c>
      <c r="K647" s="7">
        <v>0.2</v>
      </c>
      <c r="L647" t="s">
        <v>21</v>
      </c>
      <c r="M647" t="s">
        <v>39</v>
      </c>
      <c r="N647" t="s">
        <v>32</v>
      </c>
      <c r="O647">
        <v>3.1</v>
      </c>
      <c r="P647">
        <f>VLOOKUP(Table2[[#This Row],[Product_ID]],Table1[#All],8,TRUE)</f>
        <v>1500</v>
      </c>
    </row>
    <row r="648" spans="1:16" x14ac:dyDescent="0.3">
      <c r="A648" t="s">
        <v>1465</v>
      </c>
      <c r="B648" s="5" t="s">
        <v>1466</v>
      </c>
      <c r="C648" s="3" t="str">
        <f t="shared" si="10"/>
        <v>08-06-2023</v>
      </c>
      <c r="D648" t="s">
        <v>91</v>
      </c>
      <c r="E648" t="s">
        <v>1257</v>
      </c>
      <c r="F648" t="s">
        <v>28</v>
      </c>
      <c r="G648" t="s">
        <v>19</v>
      </c>
      <c r="H648" t="s">
        <v>77</v>
      </c>
      <c r="I648">
        <v>3</v>
      </c>
      <c r="J648">
        <v>7547</v>
      </c>
      <c r="K648" s="7">
        <v>0</v>
      </c>
      <c r="L648" t="s">
        <v>58</v>
      </c>
      <c r="M648" t="s">
        <v>39</v>
      </c>
      <c r="N648" t="s">
        <v>32</v>
      </c>
      <c r="P648">
        <f>VLOOKUP(Table2[[#This Row],[Product_ID]],Table1[#All],8,TRUE)</f>
        <v>500</v>
      </c>
    </row>
    <row r="649" spans="1:16" x14ac:dyDescent="0.3">
      <c r="A649" t="s">
        <v>1467</v>
      </c>
      <c r="B649" s="5" t="s">
        <v>1468</v>
      </c>
      <c r="C649" s="3" t="str">
        <f t="shared" si="10"/>
        <v>31-10-2024</v>
      </c>
      <c r="D649" t="s">
        <v>26</v>
      </c>
      <c r="E649" t="s">
        <v>497</v>
      </c>
      <c r="F649" t="s">
        <v>98</v>
      </c>
      <c r="G649" t="s">
        <v>37</v>
      </c>
      <c r="H649" t="s">
        <v>20</v>
      </c>
      <c r="I649">
        <v>5</v>
      </c>
      <c r="J649">
        <v>9525</v>
      </c>
      <c r="K649" s="7">
        <v>0.1</v>
      </c>
      <c r="L649" t="s">
        <v>21</v>
      </c>
      <c r="M649" t="s">
        <v>39</v>
      </c>
      <c r="N649" t="s">
        <v>48</v>
      </c>
      <c r="O649">
        <v>4.2</v>
      </c>
      <c r="P649">
        <f>VLOOKUP(Table2[[#This Row],[Product_ID]],Table1[#All],8,TRUE)</f>
        <v>500</v>
      </c>
    </row>
    <row r="650" spans="1:16" x14ac:dyDescent="0.3">
      <c r="A650" t="s">
        <v>1389</v>
      </c>
      <c r="B650" s="5" t="s">
        <v>1469</v>
      </c>
      <c r="C650" s="3" t="str">
        <f t="shared" si="10"/>
        <v>19-01-2024</v>
      </c>
      <c r="D650" t="s">
        <v>127</v>
      </c>
      <c r="E650" t="s">
        <v>1470</v>
      </c>
      <c r="F650" t="s">
        <v>64</v>
      </c>
      <c r="G650" t="s">
        <v>37</v>
      </c>
      <c r="H650" t="s">
        <v>20</v>
      </c>
      <c r="I650">
        <v>4</v>
      </c>
      <c r="J650">
        <v>8160</v>
      </c>
      <c r="K650" s="7">
        <v>0.2</v>
      </c>
      <c r="L650" t="s">
        <v>21</v>
      </c>
      <c r="M650" t="s">
        <v>22</v>
      </c>
      <c r="N650" t="s">
        <v>59</v>
      </c>
      <c r="P650">
        <f>VLOOKUP(Table2[[#This Row],[Product_ID]],Table1[#All],8,TRUE)</f>
        <v>1200</v>
      </c>
    </row>
    <row r="651" spans="1:16" x14ac:dyDescent="0.3">
      <c r="A651" t="s">
        <v>1471</v>
      </c>
      <c r="B651" s="5" t="s">
        <v>70</v>
      </c>
      <c r="C651" s="3" t="str">
        <f t="shared" si="10"/>
        <v>19-04-2024</v>
      </c>
      <c r="D651" t="s">
        <v>46</v>
      </c>
      <c r="E651" t="s">
        <v>232</v>
      </c>
      <c r="F651" t="s">
        <v>73</v>
      </c>
      <c r="G651" t="s">
        <v>37</v>
      </c>
      <c r="H651" t="s">
        <v>20</v>
      </c>
      <c r="I651">
        <v>5</v>
      </c>
      <c r="J651">
        <v>8309</v>
      </c>
      <c r="K651" s="7">
        <v>0</v>
      </c>
      <c r="L651" t="s">
        <v>31</v>
      </c>
      <c r="M651" t="s">
        <v>22</v>
      </c>
      <c r="N651" t="s">
        <v>23</v>
      </c>
      <c r="O651">
        <v>4.9000000000000004</v>
      </c>
      <c r="P651">
        <f>VLOOKUP(Table2[[#This Row],[Product_ID]],Table1[#All],8,TRUE)</f>
        <v>0</v>
      </c>
    </row>
    <row r="652" spans="1:16" x14ac:dyDescent="0.3">
      <c r="A652" t="s">
        <v>1472</v>
      </c>
      <c r="B652" s="5" t="s">
        <v>1473</v>
      </c>
      <c r="C652" s="3" t="str">
        <f t="shared" si="10"/>
        <v>03-09-2023</v>
      </c>
      <c r="D652" t="s">
        <v>35</v>
      </c>
      <c r="E652" t="s">
        <v>425</v>
      </c>
      <c r="F652" t="s">
        <v>28</v>
      </c>
      <c r="G652" t="s">
        <v>19</v>
      </c>
      <c r="H652" t="s">
        <v>99</v>
      </c>
      <c r="I652">
        <v>5</v>
      </c>
      <c r="J652">
        <v>2793</v>
      </c>
      <c r="K652" s="7">
        <v>0.15</v>
      </c>
      <c r="L652" t="s">
        <v>31</v>
      </c>
      <c r="M652" t="s">
        <v>39</v>
      </c>
      <c r="N652" t="s">
        <v>59</v>
      </c>
      <c r="P652">
        <f>VLOOKUP(Table2[[#This Row],[Product_ID]],Table1[#All],8,TRUE)</f>
        <v>1500</v>
      </c>
    </row>
    <row r="653" spans="1:16" x14ac:dyDescent="0.3">
      <c r="A653" t="s">
        <v>1474</v>
      </c>
      <c r="B653" s="5" t="s">
        <v>733</v>
      </c>
      <c r="C653" s="3" t="str">
        <f t="shared" si="10"/>
        <v>21-01-2024</v>
      </c>
      <c r="D653" t="s">
        <v>67</v>
      </c>
      <c r="E653" t="s">
        <v>146</v>
      </c>
      <c r="F653" t="s">
        <v>64</v>
      </c>
      <c r="G653" t="s">
        <v>19</v>
      </c>
      <c r="H653" t="s">
        <v>20</v>
      </c>
      <c r="I653">
        <v>2</v>
      </c>
      <c r="J653">
        <v>5540</v>
      </c>
      <c r="K653" s="7">
        <v>0.15</v>
      </c>
      <c r="L653" t="s">
        <v>58</v>
      </c>
      <c r="M653" t="s">
        <v>39</v>
      </c>
      <c r="N653" t="s">
        <v>48</v>
      </c>
      <c r="O653">
        <v>4</v>
      </c>
      <c r="P653">
        <f>VLOOKUP(Table2[[#This Row],[Product_ID]],Table1[#All],8,TRUE)</f>
        <v>0</v>
      </c>
    </row>
    <row r="654" spans="1:16" x14ac:dyDescent="0.3">
      <c r="A654" t="s">
        <v>1475</v>
      </c>
      <c r="B654" s="5" t="s">
        <v>1476</v>
      </c>
      <c r="C654" s="3" t="str">
        <f t="shared" si="10"/>
        <v>16-06-2024</v>
      </c>
      <c r="D654" t="s">
        <v>91</v>
      </c>
      <c r="E654" t="s">
        <v>880</v>
      </c>
      <c r="F654" t="s">
        <v>43</v>
      </c>
      <c r="G654" t="s">
        <v>37</v>
      </c>
      <c r="H654" t="s">
        <v>30</v>
      </c>
      <c r="I654">
        <v>4</v>
      </c>
      <c r="J654">
        <v>2232</v>
      </c>
      <c r="K654" s="7">
        <v>0.2</v>
      </c>
      <c r="L654" t="s">
        <v>38</v>
      </c>
      <c r="M654" t="s">
        <v>39</v>
      </c>
      <c r="N654" t="s">
        <v>59</v>
      </c>
      <c r="O654">
        <v>3</v>
      </c>
      <c r="P654">
        <f>VLOOKUP(Table2[[#This Row],[Product_ID]],Table1[#All],8,TRUE)</f>
        <v>1200</v>
      </c>
    </row>
    <row r="655" spans="1:16" x14ac:dyDescent="0.3">
      <c r="A655" t="s">
        <v>669</v>
      </c>
      <c r="B655" s="5" t="s">
        <v>678</v>
      </c>
      <c r="C655" s="3" t="str">
        <f t="shared" si="10"/>
        <v>17-07-2024</v>
      </c>
      <c r="D655" t="s">
        <v>35</v>
      </c>
      <c r="E655" t="s">
        <v>800</v>
      </c>
      <c r="F655" t="s">
        <v>64</v>
      </c>
      <c r="G655" t="s">
        <v>19</v>
      </c>
      <c r="H655" t="s">
        <v>77</v>
      </c>
      <c r="I655">
        <v>2</v>
      </c>
      <c r="J655">
        <v>2232</v>
      </c>
      <c r="K655" s="7">
        <v>0.15</v>
      </c>
      <c r="L655" t="s">
        <v>21</v>
      </c>
      <c r="M655" t="s">
        <v>39</v>
      </c>
      <c r="N655" t="s">
        <v>59</v>
      </c>
      <c r="O655">
        <v>3.1</v>
      </c>
      <c r="P655">
        <f>VLOOKUP(Table2[[#This Row],[Product_ID]],Table1[#All],8,TRUE)</f>
        <v>1200</v>
      </c>
    </row>
    <row r="656" spans="1:16" x14ac:dyDescent="0.3">
      <c r="A656" t="s">
        <v>1477</v>
      </c>
      <c r="B656" s="5" t="s">
        <v>1478</v>
      </c>
      <c r="C656" s="3" t="str">
        <f t="shared" si="10"/>
        <v>06-10-2024</v>
      </c>
      <c r="D656" t="s">
        <v>71</v>
      </c>
      <c r="E656" t="s">
        <v>431</v>
      </c>
      <c r="F656" t="s">
        <v>18</v>
      </c>
      <c r="G656" t="s">
        <v>29</v>
      </c>
      <c r="H656" t="s">
        <v>77</v>
      </c>
      <c r="I656">
        <v>1</v>
      </c>
      <c r="J656">
        <v>3518</v>
      </c>
      <c r="K656" s="7">
        <v>0.1</v>
      </c>
      <c r="L656" t="s">
        <v>31</v>
      </c>
      <c r="M656" t="s">
        <v>39</v>
      </c>
      <c r="N656" t="s">
        <v>32</v>
      </c>
      <c r="P656">
        <f>VLOOKUP(Table2[[#This Row],[Product_ID]],Table1[#All],8,TRUE)</f>
        <v>700</v>
      </c>
    </row>
    <row r="657" spans="1:16" x14ac:dyDescent="0.3">
      <c r="A657" t="s">
        <v>147</v>
      </c>
      <c r="B657" s="5" t="s">
        <v>1479</v>
      </c>
      <c r="C657" s="3" t="str">
        <f t="shared" si="10"/>
        <v>25-07-2024</v>
      </c>
      <c r="D657" t="s">
        <v>131</v>
      </c>
      <c r="E657" t="s">
        <v>557</v>
      </c>
      <c r="F657" t="s">
        <v>64</v>
      </c>
      <c r="G657" t="s">
        <v>53</v>
      </c>
      <c r="H657" t="s">
        <v>99</v>
      </c>
      <c r="I657">
        <v>4</v>
      </c>
      <c r="J657">
        <v>6141</v>
      </c>
      <c r="K657" s="7">
        <v>0.15</v>
      </c>
      <c r="L657" t="s">
        <v>31</v>
      </c>
      <c r="M657" t="s">
        <v>39</v>
      </c>
      <c r="N657" t="s">
        <v>23</v>
      </c>
      <c r="P657">
        <f>VLOOKUP(Table2[[#This Row],[Product_ID]],Table1[#All],8,TRUE)</f>
        <v>1500</v>
      </c>
    </row>
    <row r="658" spans="1:16" x14ac:dyDescent="0.3">
      <c r="A658" t="s">
        <v>949</v>
      </c>
      <c r="B658" s="5" t="s">
        <v>1480</v>
      </c>
      <c r="C658" s="3" t="str">
        <f t="shared" si="10"/>
        <v>10-05-2023</v>
      </c>
      <c r="D658" t="s">
        <v>84</v>
      </c>
      <c r="E658" t="s">
        <v>1481</v>
      </c>
      <c r="F658" t="s">
        <v>64</v>
      </c>
      <c r="G658" t="s">
        <v>19</v>
      </c>
      <c r="H658" t="s">
        <v>99</v>
      </c>
      <c r="I658">
        <v>5</v>
      </c>
      <c r="J658">
        <v>3526</v>
      </c>
      <c r="K658" s="7">
        <v>0.05</v>
      </c>
      <c r="L658" t="s">
        <v>31</v>
      </c>
      <c r="M658" t="s">
        <v>39</v>
      </c>
      <c r="N658" t="s">
        <v>32</v>
      </c>
      <c r="O658">
        <v>3.4</v>
      </c>
      <c r="P658">
        <f>VLOOKUP(Table2[[#This Row],[Product_ID]],Table1[#All],8,TRUE)</f>
        <v>1500</v>
      </c>
    </row>
    <row r="659" spans="1:16" x14ac:dyDescent="0.3">
      <c r="A659" t="s">
        <v>1482</v>
      </c>
      <c r="B659" s="5" t="s">
        <v>1483</v>
      </c>
      <c r="C659" s="3" t="str">
        <f t="shared" si="10"/>
        <v>04-07-2023</v>
      </c>
      <c r="D659" t="s">
        <v>26</v>
      </c>
      <c r="E659" t="s">
        <v>924</v>
      </c>
      <c r="F659" t="s">
        <v>57</v>
      </c>
      <c r="G659" t="s">
        <v>53</v>
      </c>
      <c r="H659" t="s">
        <v>77</v>
      </c>
      <c r="I659">
        <v>2</v>
      </c>
      <c r="J659">
        <v>8130</v>
      </c>
      <c r="K659" s="7">
        <v>0.1</v>
      </c>
      <c r="L659" t="s">
        <v>21</v>
      </c>
      <c r="M659" t="s">
        <v>22</v>
      </c>
      <c r="N659" t="s">
        <v>32</v>
      </c>
      <c r="P659">
        <f>VLOOKUP(Table2[[#This Row],[Product_ID]],Table1[#All],8,TRUE)</f>
        <v>1500</v>
      </c>
    </row>
    <row r="660" spans="1:16" x14ac:dyDescent="0.3">
      <c r="A660" t="s">
        <v>1484</v>
      </c>
      <c r="B660" s="5" t="s">
        <v>1485</v>
      </c>
      <c r="C660" s="3" t="str">
        <f t="shared" si="10"/>
        <v>10-04-2024</v>
      </c>
      <c r="D660" t="s">
        <v>67</v>
      </c>
      <c r="E660" t="s">
        <v>1481</v>
      </c>
      <c r="F660" t="s">
        <v>57</v>
      </c>
      <c r="G660" t="s">
        <v>29</v>
      </c>
      <c r="H660" t="s">
        <v>77</v>
      </c>
      <c r="I660">
        <v>3</v>
      </c>
      <c r="J660">
        <v>6836</v>
      </c>
      <c r="K660" s="7">
        <v>0.15</v>
      </c>
      <c r="L660" t="s">
        <v>31</v>
      </c>
      <c r="M660" t="s">
        <v>39</v>
      </c>
      <c r="N660" t="s">
        <v>59</v>
      </c>
      <c r="P660">
        <f>VLOOKUP(Table2[[#This Row],[Product_ID]],Table1[#All],8,TRUE)</f>
        <v>1500</v>
      </c>
    </row>
    <row r="661" spans="1:16" x14ac:dyDescent="0.3">
      <c r="A661" t="s">
        <v>1486</v>
      </c>
      <c r="B661" s="5" t="s">
        <v>1487</v>
      </c>
      <c r="C661" s="3" t="str">
        <f t="shared" si="10"/>
        <v>04-12-2023</v>
      </c>
      <c r="D661" t="s">
        <v>26</v>
      </c>
      <c r="E661" t="s">
        <v>668</v>
      </c>
      <c r="F661" t="s">
        <v>73</v>
      </c>
      <c r="G661" t="s">
        <v>37</v>
      </c>
      <c r="H661" t="s">
        <v>77</v>
      </c>
      <c r="I661">
        <v>1</v>
      </c>
      <c r="J661">
        <v>1213</v>
      </c>
      <c r="K661" s="7">
        <v>0</v>
      </c>
      <c r="L661" t="s">
        <v>38</v>
      </c>
      <c r="M661" t="s">
        <v>22</v>
      </c>
      <c r="N661" t="s">
        <v>23</v>
      </c>
      <c r="O661">
        <v>4.7</v>
      </c>
      <c r="P661">
        <f>VLOOKUP(Table2[[#This Row],[Product_ID]],Table1[#All],8,TRUE)</f>
        <v>0</v>
      </c>
    </row>
    <row r="662" spans="1:16" x14ac:dyDescent="0.3">
      <c r="A662" t="s">
        <v>1488</v>
      </c>
      <c r="B662" s="5" t="s">
        <v>1489</v>
      </c>
      <c r="C662" s="3" t="str">
        <f t="shared" si="10"/>
        <v>21-01-2023</v>
      </c>
      <c r="D662" t="s">
        <v>51</v>
      </c>
      <c r="E662" t="s">
        <v>184</v>
      </c>
      <c r="F662" t="s">
        <v>18</v>
      </c>
      <c r="G662" t="s">
        <v>29</v>
      </c>
      <c r="H662" t="s">
        <v>30</v>
      </c>
      <c r="I662">
        <v>2</v>
      </c>
      <c r="J662">
        <v>7246</v>
      </c>
      <c r="K662" s="7">
        <v>0.15</v>
      </c>
      <c r="L662" t="s">
        <v>38</v>
      </c>
      <c r="M662" t="s">
        <v>39</v>
      </c>
      <c r="N662" t="s">
        <v>59</v>
      </c>
      <c r="O662">
        <v>3.9</v>
      </c>
      <c r="P662">
        <f>VLOOKUP(Table2[[#This Row],[Product_ID]],Table1[#All],8,TRUE)</f>
        <v>900</v>
      </c>
    </row>
    <row r="663" spans="1:16" x14ac:dyDescent="0.3">
      <c r="A663" t="s">
        <v>1490</v>
      </c>
      <c r="B663" s="5" t="s">
        <v>1491</v>
      </c>
      <c r="C663" s="3" t="str">
        <f t="shared" si="10"/>
        <v>09-04-2024</v>
      </c>
      <c r="D663" t="s">
        <v>26</v>
      </c>
      <c r="E663" t="s">
        <v>417</v>
      </c>
      <c r="F663" t="s">
        <v>43</v>
      </c>
      <c r="G663" t="s">
        <v>53</v>
      </c>
      <c r="H663" t="s">
        <v>77</v>
      </c>
      <c r="I663">
        <v>1</v>
      </c>
      <c r="J663">
        <v>4626</v>
      </c>
      <c r="K663" s="7">
        <v>0.2</v>
      </c>
      <c r="L663" t="s">
        <v>31</v>
      </c>
      <c r="M663" t="s">
        <v>22</v>
      </c>
      <c r="N663" t="s">
        <v>59</v>
      </c>
      <c r="P663">
        <f>VLOOKUP(Table2[[#This Row],[Product_ID]],Table1[#All],8,TRUE)</f>
        <v>1500</v>
      </c>
    </row>
    <row r="664" spans="1:16" x14ac:dyDescent="0.3">
      <c r="A664" t="s">
        <v>1492</v>
      </c>
      <c r="B664" s="5" t="s">
        <v>808</v>
      </c>
      <c r="C664" s="3" t="str">
        <f t="shared" si="10"/>
        <v>26-01-2023</v>
      </c>
      <c r="D664" t="s">
        <v>67</v>
      </c>
      <c r="E664" t="s">
        <v>1493</v>
      </c>
      <c r="F664" t="s">
        <v>18</v>
      </c>
      <c r="G664" t="s">
        <v>29</v>
      </c>
      <c r="H664" t="s">
        <v>20</v>
      </c>
      <c r="I664">
        <v>5</v>
      </c>
      <c r="J664">
        <v>2477</v>
      </c>
      <c r="K664" s="7">
        <v>0.15</v>
      </c>
      <c r="L664" t="s">
        <v>31</v>
      </c>
      <c r="M664" t="s">
        <v>39</v>
      </c>
      <c r="N664" t="s">
        <v>23</v>
      </c>
      <c r="O664">
        <v>3.7</v>
      </c>
      <c r="P664">
        <f>VLOOKUP(Table2[[#This Row],[Product_ID]],Table1[#All],8,TRUE)</f>
        <v>700</v>
      </c>
    </row>
    <row r="665" spans="1:16" x14ac:dyDescent="0.3">
      <c r="A665" t="s">
        <v>1494</v>
      </c>
      <c r="B665" s="5" t="s">
        <v>1495</v>
      </c>
      <c r="C665" s="3" t="str">
        <f t="shared" si="10"/>
        <v>14-06-2024</v>
      </c>
      <c r="D665" t="s">
        <v>127</v>
      </c>
      <c r="E665" t="s">
        <v>1072</v>
      </c>
      <c r="F665" t="s">
        <v>18</v>
      </c>
      <c r="G665" t="s">
        <v>53</v>
      </c>
      <c r="H665" t="s">
        <v>30</v>
      </c>
      <c r="I665">
        <v>5</v>
      </c>
      <c r="J665">
        <v>5665</v>
      </c>
      <c r="K665" s="7">
        <v>0.2</v>
      </c>
      <c r="L665" t="s">
        <v>58</v>
      </c>
      <c r="M665" t="s">
        <v>22</v>
      </c>
      <c r="N665" t="s">
        <v>23</v>
      </c>
      <c r="P665">
        <f>VLOOKUP(Table2[[#This Row],[Product_ID]],Table1[#All],8,TRUE)</f>
        <v>0</v>
      </c>
    </row>
    <row r="666" spans="1:16" x14ac:dyDescent="0.3">
      <c r="A666" t="s">
        <v>1496</v>
      </c>
      <c r="B666" s="5" t="s">
        <v>1497</v>
      </c>
      <c r="C666" s="3" t="str">
        <f t="shared" si="10"/>
        <v>04-08-2023</v>
      </c>
      <c r="D666" t="s">
        <v>80</v>
      </c>
      <c r="E666" t="s">
        <v>1331</v>
      </c>
      <c r="F666" t="s">
        <v>18</v>
      </c>
      <c r="G666" t="s">
        <v>19</v>
      </c>
      <c r="H666" t="s">
        <v>77</v>
      </c>
      <c r="I666">
        <v>4</v>
      </c>
      <c r="J666">
        <v>6512</v>
      </c>
      <c r="K666" s="7">
        <v>0.05</v>
      </c>
      <c r="L666" t="s">
        <v>21</v>
      </c>
      <c r="M666" t="s">
        <v>39</v>
      </c>
      <c r="N666" t="s">
        <v>32</v>
      </c>
      <c r="O666">
        <v>4.2</v>
      </c>
      <c r="P666">
        <f>VLOOKUP(Table2[[#This Row],[Product_ID]],Table1[#All],8,TRUE)</f>
        <v>500</v>
      </c>
    </row>
    <row r="667" spans="1:16" x14ac:dyDescent="0.3">
      <c r="A667" t="s">
        <v>1498</v>
      </c>
      <c r="B667" s="5" t="s">
        <v>948</v>
      </c>
      <c r="C667" s="3" t="str">
        <f t="shared" si="10"/>
        <v>25-09-2023</v>
      </c>
      <c r="D667" t="s">
        <v>67</v>
      </c>
      <c r="E667" t="s">
        <v>964</v>
      </c>
      <c r="F667" t="s">
        <v>64</v>
      </c>
      <c r="G667" t="s">
        <v>37</v>
      </c>
      <c r="H667" t="s">
        <v>20</v>
      </c>
      <c r="I667">
        <v>5</v>
      </c>
      <c r="J667">
        <v>6716</v>
      </c>
      <c r="K667" s="7">
        <v>0</v>
      </c>
      <c r="L667" t="s">
        <v>58</v>
      </c>
      <c r="M667" t="s">
        <v>39</v>
      </c>
      <c r="N667" t="s">
        <v>59</v>
      </c>
      <c r="O667">
        <v>4.2</v>
      </c>
      <c r="P667">
        <f>VLOOKUP(Table2[[#This Row],[Product_ID]],Table1[#All],8,TRUE)</f>
        <v>500</v>
      </c>
    </row>
    <row r="668" spans="1:16" x14ac:dyDescent="0.3">
      <c r="A668" t="s">
        <v>1499</v>
      </c>
      <c r="B668" s="5" t="s">
        <v>1500</v>
      </c>
      <c r="C668" s="3" t="str">
        <f t="shared" si="10"/>
        <v>16-03-2023</v>
      </c>
      <c r="D668" t="s">
        <v>96</v>
      </c>
      <c r="E668" t="s">
        <v>331</v>
      </c>
      <c r="F668" t="s">
        <v>43</v>
      </c>
      <c r="G668" t="s">
        <v>19</v>
      </c>
      <c r="H668" t="s">
        <v>77</v>
      </c>
      <c r="I668">
        <v>2</v>
      </c>
      <c r="J668">
        <v>2928</v>
      </c>
      <c r="K668" s="7">
        <v>0.2</v>
      </c>
      <c r="L668" t="s">
        <v>38</v>
      </c>
      <c r="M668" t="s">
        <v>22</v>
      </c>
      <c r="N668" t="s">
        <v>32</v>
      </c>
      <c r="O668">
        <v>3.8</v>
      </c>
      <c r="P668">
        <f>VLOOKUP(Table2[[#This Row],[Product_ID]],Table1[#All],8,TRUE)</f>
        <v>900</v>
      </c>
    </row>
    <row r="669" spans="1:16" x14ac:dyDescent="0.3">
      <c r="A669" t="s">
        <v>1501</v>
      </c>
      <c r="B669" s="5" t="s">
        <v>1502</v>
      </c>
      <c r="C669" s="3" t="str">
        <f t="shared" si="10"/>
        <v>16-10-2023</v>
      </c>
      <c r="D669" t="s">
        <v>16</v>
      </c>
      <c r="E669" t="s">
        <v>512</v>
      </c>
      <c r="F669" t="s">
        <v>28</v>
      </c>
      <c r="G669" t="s">
        <v>37</v>
      </c>
      <c r="H669" t="s">
        <v>30</v>
      </c>
      <c r="I669">
        <v>3</v>
      </c>
      <c r="J669">
        <v>3294</v>
      </c>
      <c r="K669" s="7">
        <v>0.15</v>
      </c>
      <c r="L669" t="s">
        <v>38</v>
      </c>
      <c r="M669" t="s">
        <v>22</v>
      </c>
      <c r="N669" t="s">
        <v>23</v>
      </c>
      <c r="P669">
        <f>VLOOKUP(Table2[[#This Row],[Product_ID]],Table1[#All],8,TRUE)</f>
        <v>500</v>
      </c>
    </row>
    <row r="670" spans="1:16" x14ac:dyDescent="0.3">
      <c r="A670" t="s">
        <v>1503</v>
      </c>
      <c r="B670" s="5" t="s">
        <v>1504</v>
      </c>
      <c r="C670" s="3" t="str">
        <f t="shared" si="10"/>
        <v>26-06-2024</v>
      </c>
      <c r="D670" t="s">
        <v>131</v>
      </c>
      <c r="E670" t="s">
        <v>1237</v>
      </c>
      <c r="F670" t="s">
        <v>64</v>
      </c>
      <c r="G670" t="s">
        <v>19</v>
      </c>
      <c r="H670" t="s">
        <v>77</v>
      </c>
      <c r="I670">
        <v>3</v>
      </c>
      <c r="J670">
        <v>8193</v>
      </c>
      <c r="K670" s="7">
        <v>0.2</v>
      </c>
      <c r="L670" t="s">
        <v>38</v>
      </c>
      <c r="M670" t="s">
        <v>22</v>
      </c>
      <c r="N670" t="s">
        <v>23</v>
      </c>
      <c r="O670">
        <v>4.5</v>
      </c>
      <c r="P670">
        <f>VLOOKUP(Table2[[#This Row],[Product_ID]],Table1[#All],8,TRUE)</f>
        <v>0</v>
      </c>
    </row>
    <row r="671" spans="1:16" x14ac:dyDescent="0.3">
      <c r="A671" t="s">
        <v>1067</v>
      </c>
      <c r="B671" s="5" t="s">
        <v>1133</v>
      </c>
      <c r="C671" s="3" t="str">
        <f t="shared" si="10"/>
        <v>22-03-2024</v>
      </c>
      <c r="D671" t="s">
        <v>96</v>
      </c>
      <c r="E671" t="s">
        <v>869</v>
      </c>
      <c r="F671" t="s">
        <v>64</v>
      </c>
      <c r="G671" t="s">
        <v>37</v>
      </c>
      <c r="H671" t="s">
        <v>30</v>
      </c>
      <c r="I671">
        <v>5</v>
      </c>
      <c r="J671">
        <v>7667</v>
      </c>
      <c r="K671" s="7">
        <v>0.1</v>
      </c>
      <c r="L671" t="s">
        <v>31</v>
      </c>
      <c r="M671" t="s">
        <v>39</v>
      </c>
      <c r="N671" t="s">
        <v>32</v>
      </c>
      <c r="O671">
        <v>3.8</v>
      </c>
      <c r="P671">
        <f>VLOOKUP(Table2[[#This Row],[Product_ID]],Table1[#All],8,TRUE)</f>
        <v>900</v>
      </c>
    </row>
    <row r="672" spans="1:16" x14ac:dyDescent="0.3">
      <c r="A672" t="s">
        <v>1505</v>
      </c>
      <c r="B672" s="5" t="s">
        <v>1506</v>
      </c>
      <c r="C672" s="3" t="str">
        <f t="shared" si="10"/>
        <v>30-03-2024</v>
      </c>
      <c r="D672" t="s">
        <v>62</v>
      </c>
      <c r="E672" t="s">
        <v>668</v>
      </c>
      <c r="F672" t="s">
        <v>57</v>
      </c>
      <c r="G672" t="s">
        <v>19</v>
      </c>
      <c r="H672" t="s">
        <v>20</v>
      </c>
      <c r="I672">
        <v>1</v>
      </c>
      <c r="J672">
        <v>3864</v>
      </c>
      <c r="K672" s="7">
        <v>0.1</v>
      </c>
      <c r="L672" t="s">
        <v>31</v>
      </c>
      <c r="M672" t="s">
        <v>39</v>
      </c>
      <c r="N672" t="s">
        <v>48</v>
      </c>
      <c r="P672">
        <f>VLOOKUP(Table2[[#This Row],[Product_ID]],Table1[#All],8,TRUE)</f>
        <v>0</v>
      </c>
    </row>
    <row r="673" spans="1:16" x14ac:dyDescent="0.3">
      <c r="A673" t="s">
        <v>1507</v>
      </c>
      <c r="B673" s="5" t="s">
        <v>120</v>
      </c>
      <c r="C673" s="3" t="str">
        <f t="shared" si="10"/>
        <v>08-07-2024</v>
      </c>
      <c r="D673" t="s">
        <v>80</v>
      </c>
      <c r="E673" t="s">
        <v>674</v>
      </c>
      <c r="F673" t="s">
        <v>18</v>
      </c>
      <c r="G673" t="s">
        <v>19</v>
      </c>
      <c r="H673" t="s">
        <v>77</v>
      </c>
      <c r="I673">
        <v>3</v>
      </c>
      <c r="J673">
        <v>2927</v>
      </c>
      <c r="K673" s="7">
        <v>0</v>
      </c>
      <c r="L673" t="s">
        <v>21</v>
      </c>
      <c r="M673" t="s">
        <v>22</v>
      </c>
      <c r="N673" t="s">
        <v>23</v>
      </c>
      <c r="P673">
        <f>VLOOKUP(Table2[[#This Row],[Product_ID]],Table1[#All],8,TRUE)</f>
        <v>1200</v>
      </c>
    </row>
    <row r="674" spans="1:16" x14ac:dyDescent="0.3">
      <c r="A674" t="s">
        <v>1508</v>
      </c>
      <c r="B674" s="5" t="s">
        <v>1509</v>
      </c>
      <c r="C674" s="3" t="str">
        <f t="shared" si="10"/>
        <v>24-11-2023</v>
      </c>
      <c r="D674" t="s">
        <v>51</v>
      </c>
      <c r="E674" t="s">
        <v>210</v>
      </c>
      <c r="F674" t="s">
        <v>18</v>
      </c>
      <c r="G674" t="s">
        <v>53</v>
      </c>
      <c r="H674" t="s">
        <v>99</v>
      </c>
      <c r="I674">
        <v>3</v>
      </c>
      <c r="J674">
        <v>3595</v>
      </c>
      <c r="K674" s="7">
        <v>0.15</v>
      </c>
      <c r="L674" t="s">
        <v>58</v>
      </c>
      <c r="M674" t="s">
        <v>22</v>
      </c>
      <c r="N674" t="s">
        <v>32</v>
      </c>
      <c r="O674">
        <v>5</v>
      </c>
      <c r="P674">
        <f>VLOOKUP(Table2[[#This Row],[Product_ID]],Table1[#All],8,TRUE)</f>
        <v>700</v>
      </c>
    </row>
    <row r="675" spans="1:16" x14ac:dyDescent="0.3">
      <c r="A675" t="s">
        <v>995</v>
      </c>
      <c r="B675" s="5" t="s">
        <v>1510</v>
      </c>
      <c r="C675" s="3" t="str">
        <f t="shared" si="10"/>
        <v>18-10-2023</v>
      </c>
      <c r="D675" t="s">
        <v>62</v>
      </c>
      <c r="E675" t="s">
        <v>497</v>
      </c>
      <c r="F675" t="s">
        <v>73</v>
      </c>
      <c r="G675" t="s">
        <v>53</v>
      </c>
      <c r="H675" t="s">
        <v>99</v>
      </c>
      <c r="I675">
        <v>3</v>
      </c>
      <c r="J675">
        <v>1966</v>
      </c>
      <c r="K675" s="7">
        <v>0.2</v>
      </c>
      <c r="L675" t="s">
        <v>21</v>
      </c>
      <c r="M675" t="s">
        <v>22</v>
      </c>
      <c r="N675" t="s">
        <v>32</v>
      </c>
      <c r="O675">
        <v>4.7</v>
      </c>
      <c r="P675">
        <f>VLOOKUP(Table2[[#This Row],[Product_ID]],Table1[#All],8,TRUE)</f>
        <v>500</v>
      </c>
    </row>
    <row r="676" spans="1:16" x14ac:dyDescent="0.3">
      <c r="A676" t="s">
        <v>1511</v>
      </c>
      <c r="B676" s="5" t="s">
        <v>1512</v>
      </c>
      <c r="C676" s="3" t="str">
        <f t="shared" si="10"/>
        <v>22-12-2024</v>
      </c>
      <c r="D676" t="s">
        <v>51</v>
      </c>
      <c r="E676" t="s">
        <v>731</v>
      </c>
      <c r="F676" t="s">
        <v>73</v>
      </c>
      <c r="G676" t="s">
        <v>19</v>
      </c>
      <c r="H676" t="s">
        <v>77</v>
      </c>
      <c r="I676">
        <v>3</v>
      </c>
      <c r="J676">
        <v>9222</v>
      </c>
      <c r="K676" s="7">
        <v>0.2</v>
      </c>
      <c r="L676" t="s">
        <v>58</v>
      </c>
      <c r="M676" t="s">
        <v>39</v>
      </c>
      <c r="N676" t="s">
        <v>59</v>
      </c>
      <c r="P676">
        <f>VLOOKUP(Table2[[#This Row],[Product_ID]],Table1[#All],8,TRUE)</f>
        <v>1500</v>
      </c>
    </row>
    <row r="677" spans="1:16" x14ac:dyDescent="0.3">
      <c r="A677" t="s">
        <v>1513</v>
      </c>
      <c r="B677" s="5" t="s">
        <v>1514</v>
      </c>
      <c r="C677" s="3" t="str">
        <f t="shared" si="10"/>
        <v>08-10-2023</v>
      </c>
      <c r="D677" t="s">
        <v>84</v>
      </c>
      <c r="E677" t="s">
        <v>270</v>
      </c>
      <c r="F677" t="s">
        <v>43</v>
      </c>
      <c r="G677" t="s">
        <v>37</v>
      </c>
      <c r="H677" t="s">
        <v>99</v>
      </c>
      <c r="I677">
        <v>4</v>
      </c>
      <c r="J677">
        <v>5045</v>
      </c>
      <c r="K677" s="7">
        <v>0.05</v>
      </c>
      <c r="L677" t="s">
        <v>31</v>
      </c>
      <c r="M677" t="s">
        <v>22</v>
      </c>
      <c r="N677" t="s">
        <v>32</v>
      </c>
      <c r="O677">
        <v>4.5999999999999996</v>
      </c>
      <c r="P677">
        <f>VLOOKUP(Table2[[#This Row],[Product_ID]],Table1[#All],8,TRUE)</f>
        <v>500</v>
      </c>
    </row>
    <row r="678" spans="1:16" x14ac:dyDescent="0.3">
      <c r="A678" t="s">
        <v>1515</v>
      </c>
      <c r="B678" s="5" t="s">
        <v>126</v>
      </c>
      <c r="C678" s="3" t="str">
        <f t="shared" si="10"/>
        <v>08-05-2024</v>
      </c>
      <c r="D678" t="s">
        <v>26</v>
      </c>
      <c r="E678" t="s">
        <v>172</v>
      </c>
      <c r="F678" t="s">
        <v>43</v>
      </c>
      <c r="G678" t="s">
        <v>37</v>
      </c>
      <c r="H678" t="s">
        <v>30</v>
      </c>
      <c r="I678">
        <v>4</v>
      </c>
      <c r="J678">
        <v>8649</v>
      </c>
      <c r="K678" s="7">
        <v>0</v>
      </c>
      <c r="L678" t="s">
        <v>31</v>
      </c>
      <c r="M678" t="s">
        <v>22</v>
      </c>
      <c r="N678" t="s">
        <v>59</v>
      </c>
      <c r="P678">
        <f>VLOOKUP(Table2[[#This Row],[Product_ID]],Table1[#All],8,TRUE)</f>
        <v>1200</v>
      </c>
    </row>
    <row r="679" spans="1:16" x14ac:dyDescent="0.3">
      <c r="A679" t="s">
        <v>1516</v>
      </c>
      <c r="B679" s="5" t="s">
        <v>1164</v>
      </c>
      <c r="C679" s="3" t="str">
        <f t="shared" si="10"/>
        <v>19-06-2024</v>
      </c>
      <c r="D679" t="s">
        <v>80</v>
      </c>
      <c r="E679" t="s">
        <v>914</v>
      </c>
      <c r="F679" t="s">
        <v>64</v>
      </c>
      <c r="G679" t="s">
        <v>19</v>
      </c>
      <c r="H679" t="s">
        <v>20</v>
      </c>
      <c r="I679">
        <v>1</v>
      </c>
      <c r="J679">
        <v>4759</v>
      </c>
      <c r="K679" s="7">
        <v>0.2</v>
      </c>
      <c r="L679" t="s">
        <v>21</v>
      </c>
      <c r="M679" t="s">
        <v>39</v>
      </c>
      <c r="N679" t="s">
        <v>48</v>
      </c>
      <c r="P679">
        <f>VLOOKUP(Table2[[#This Row],[Product_ID]],Table1[#All],8,TRUE)</f>
        <v>700</v>
      </c>
    </row>
    <row r="680" spans="1:16" x14ac:dyDescent="0.3">
      <c r="A680" t="s">
        <v>1517</v>
      </c>
      <c r="B680" s="5" t="s">
        <v>1347</v>
      </c>
      <c r="C680" s="3" t="str">
        <f t="shared" si="10"/>
        <v>01-08-2024</v>
      </c>
      <c r="D680" t="s">
        <v>71</v>
      </c>
      <c r="E680" t="s">
        <v>1129</v>
      </c>
      <c r="F680" t="s">
        <v>18</v>
      </c>
      <c r="G680" t="s">
        <v>53</v>
      </c>
      <c r="H680" t="s">
        <v>99</v>
      </c>
      <c r="I680">
        <v>3</v>
      </c>
      <c r="J680">
        <v>1916</v>
      </c>
      <c r="K680" s="7">
        <v>0.2</v>
      </c>
      <c r="L680" t="s">
        <v>58</v>
      </c>
      <c r="M680" t="s">
        <v>22</v>
      </c>
      <c r="N680" t="s">
        <v>32</v>
      </c>
      <c r="O680">
        <v>4.7</v>
      </c>
      <c r="P680">
        <f>VLOOKUP(Table2[[#This Row],[Product_ID]],Table1[#All],8,TRUE)</f>
        <v>1500</v>
      </c>
    </row>
    <row r="681" spans="1:16" x14ac:dyDescent="0.3">
      <c r="A681" t="s">
        <v>1518</v>
      </c>
      <c r="B681" s="5" t="s">
        <v>1519</v>
      </c>
      <c r="C681" s="3" t="str">
        <f t="shared" si="10"/>
        <v>16-12-2023</v>
      </c>
      <c r="D681" t="s">
        <v>80</v>
      </c>
      <c r="E681" t="s">
        <v>1520</v>
      </c>
      <c r="F681" t="s">
        <v>28</v>
      </c>
      <c r="G681" t="s">
        <v>37</v>
      </c>
      <c r="H681" t="s">
        <v>20</v>
      </c>
      <c r="I681">
        <v>5</v>
      </c>
      <c r="J681">
        <v>9985</v>
      </c>
      <c r="K681" s="7">
        <v>0.05</v>
      </c>
      <c r="L681" t="s">
        <v>38</v>
      </c>
      <c r="M681" t="s">
        <v>22</v>
      </c>
      <c r="N681" t="s">
        <v>59</v>
      </c>
      <c r="P681">
        <f>VLOOKUP(Table2[[#This Row],[Product_ID]],Table1[#All],8,TRUE)</f>
        <v>500</v>
      </c>
    </row>
    <row r="682" spans="1:16" x14ac:dyDescent="0.3">
      <c r="A682" t="s">
        <v>1521</v>
      </c>
      <c r="B682" s="5" t="s">
        <v>1522</v>
      </c>
      <c r="C682" s="3" t="str">
        <f t="shared" si="10"/>
        <v>16-05-2023</v>
      </c>
      <c r="D682" t="s">
        <v>80</v>
      </c>
      <c r="E682" t="s">
        <v>135</v>
      </c>
      <c r="F682" t="s">
        <v>28</v>
      </c>
      <c r="G682" t="s">
        <v>53</v>
      </c>
      <c r="H682" t="s">
        <v>20</v>
      </c>
      <c r="I682">
        <v>2</v>
      </c>
      <c r="J682">
        <v>4579</v>
      </c>
      <c r="K682" s="7">
        <v>0.1</v>
      </c>
      <c r="L682" t="s">
        <v>58</v>
      </c>
      <c r="M682" t="s">
        <v>39</v>
      </c>
      <c r="N682" t="s">
        <v>23</v>
      </c>
      <c r="P682">
        <f>VLOOKUP(Table2[[#This Row],[Product_ID]],Table1[#All],8,TRUE)</f>
        <v>1500</v>
      </c>
    </row>
    <row r="683" spans="1:16" x14ac:dyDescent="0.3">
      <c r="A683" t="s">
        <v>1523</v>
      </c>
      <c r="B683" s="5" t="s">
        <v>1524</v>
      </c>
      <c r="C683" s="3" t="str">
        <f t="shared" si="10"/>
        <v>17-03-2024</v>
      </c>
      <c r="D683" t="s">
        <v>51</v>
      </c>
      <c r="E683" t="s">
        <v>647</v>
      </c>
      <c r="F683" t="s">
        <v>98</v>
      </c>
      <c r="G683" t="s">
        <v>19</v>
      </c>
      <c r="H683" t="s">
        <v>20</v>
      </c>
      <c r="I683">
        <v>3</v>
      </c>
      <c r="J683">
        <v>5708</v>
      </c>
      <c r="K683" s="7">
        <v>0.2</v>
      </c>
      <c r="L683" t="s">
        <v>21</v>
      </c>
      <c r="M683" t="s">
        <v>22</v>
      </c>
      <c r="N683" t="s">
        <v>59</v>
      </c>
      <c r="P683">
        <f>VLOOKUP(Table2[[#This Row],[Product_ID]],Table1[#All],8,TRUE)</f>
        <v>700</v>
      </c>
    </row>
    <row r="684" spans="1:16" x14ac:dyDescent="0.3">
      <c r="A684" t="s">
        <v>1525</v>
      </c>
      <c r="B684" s="5" t="s">
        <v>935</v>
      </c>
      <c r="C684" s="3" t="str">
        <f t="shared" si="10"/>
        <v>20-07-2024</v>
      </c>
      <c r="D684" t="s">
        <v>84</v>
      </c>
      <c r="E684" t="s">
        <v>253</v>
      </c>
      <c r="F684" t="s">
        <v>64</v>
      </c>
      <c r="G684" t="s">
        <v>53</v>
      </c>
      <c r="H684" t="s">
        <v>20</v>
      </c>
      <c r="I684">
        <v>2</v>
      </c>
      <c r="J684">
        <v>1883</v>
      </c>
      <c r="K684" s="7">
        <v>0.2</v>
      </c>
      <c r="L684" t="s">
        <v>31</v>
      </c>
      <c r="M684" t="s">
        <v>22</v>
      </c>
      <c r="N684" t="s">
        <v>59</v>
      </c>
      <c r="P684">
        <f>VLOOKUP(Table2[[#This Row],[Product_ID]],Table1[#All],8,TRUE)</f>
        <v>0</v>
      </c>
    </row>
    <row r="685" spans="1:16" x14ac:dyDescent="0.3">
      <c r="A685" t="s">
        <v>1526</v>
      </c>
      <c r="B685" s="5" t="s">
        <v>1527</v>
      </c>
      <c r="C685" s="3" t="str">
        <f t="shared" si="10"/>
        <v>28-12-2024</v>
      </c>
      <c r="D685" t="s">
        <v>96</v>
      </c>
      <c r="E685" t="s">
        <v>336</v>
      </c>
      <c r="F685" t="s">
        <v>64</v>
      </c>
      <c r="G685" t="s">
        <v>37</v>
      </c>
      <c r="H685" t="s">
        <v>20</v>
      </c>
      <c r="I685">
        <v>1</v>
      </c>
      <c r="J685">
        <v>9934</v>
      </c>
      <c r="K685" s="7">
        <v>0.2</v>
      </c>
      <c r="L685" t="s">
        <v>31</v>
      </c>
      <c r="M685" t="s">
        <v>22</v>
      </c>
      <c r="N685" t="s">
        <v>23</v>
      </c>
      <c r="P685">
        <f>VLOOKUP(Table2[[#This Row],[Product_ID]],Table1[#All],8,TRUE)</f>
        <v>0</v>
      </c>
    </row>
    <row r="686" spans="1:16" x14ac:dyDescent="0.3">
      <c r="A686" t="s">
        <v>1528</v>
      </c>
      <c r="B686" s="5" t="s">
        <v>537</v>
      </c>
      <c r="C686" s="3" t="str">
        <f t="shared" si="10"/>
        <v>24-03-2023</v>
      </c>
      <c r="D686" t="s">
        <v>46</v>
      </c>
      <c r="E686" t="s">
        <v>468</v>
      </c>
      <c r="F686" t="s">
        <v>18</v>
      </c>
      <c r="G686" t="s">
        <v>29</v>
      </c>
      <c r="H686" t="s">
        <v>99</v>
      </c>
      <c r="I686">
        <v>2</v>
      </c>
      <c r="J686">
        <v>2447</v>
      </c>
      <c r="K686" s="7">
        <v>0.05</v>
      </c>
      <c r="L686" t="s">
        <v>38</v>
      </c>
      <c r="M686" t="s">
        <v>22</v>
      </c>
      <c r="N686" t="s">
        <v>23</v>
      </c>
      <c r="O686">
        <v>4.8</v>
      </c>
      <c r="P686">
        <f>VLOOKUP(Table2[[#This Row],[Product_ID]],Table1[#All],8,TRUE)</f>
        <v>1200</v>
      </c>
    </row>
    <row r="687" spans="1:16" x14ac:dyDescent="0.3">
      <c r="A687" t="s">
        <v>1529</v>
      </c>
      <c r="B687" s="5" t="s">
        <v>1530</v>
      </c>
      <c r="C687" s="3" t="str">
        <f t="shared" si="10"/>
        <v>11-05-2024</v>
      </c>
      <c r="D687" t="s">
        <v>16</v>
      </c>
      <c r="E687" t="s">
        <v>535</v>
      </c>
      <c r="F687" t="s">
        <v>57</v>
      </c>
      <c r="G687" t="s">
        <v>19</v>
      </c>
      <c r="H687" t="s">
        <v>30</v>
      </c>
      <c r="I687">
        <v>2</v>
      </c>
      <c r="J687">
        <v>4326</v>
      </c>
      <c r="K687" s="7">
        <v>0.05</v>
      </c>
      <c r="L687" t="s">
        <v>38</v>
      </c>
      <c r="M687" t="s">
        <v>22</v>
      </c>
      <c r="N687" t="s">
        <v>48</v>
      </c>
      <c r="P687">
        <f>VLOOKUP(Table2[[#This Row],[Product_ID]],Table1[#All],8,TRUE)</f>
        <v>0</v>
      </c>
    </row>
    <row r="688" spans="1:16" x14ac:dyDescent="0.3">
      <c r="A688" t="s">
        <v>1531</v>
      </c>
      <c r="B688" s="5" t="s">
        <v>1377</v>
      </c>
      <c r="C688" s="3" t="str">
        <f t="shared" si="10"/>
        <v>11-03-2023</v>
      </c>
      <c r="D688" t="s">
        <v>71</v>
      </c>
      <c r="E688" t="s">
        <v>1532</v>
      </c>
      <c r="F688" t="s">
        <v>73</v>
      </c>
      <c r="G688" t="s">
        <v>29</v>
      </c>
      <c r="H688" t="s">
        <v>20</v>
      </c>
      <c r="I688">
        <v>1</v>
      </c>
      <c r="J688">
        <v>6142</v>
      </c>
      <c r="K688" s="7">
        <v>0.1</v>
      </c>
      <c r="L688" t="s">
        <v>38</v>
      </c>
      <c r="M688" t="s">
        <v>22</v>
      </c>
      <c r="N688" t="s">
        <v>32</v>
      </c>
      <c r="O688">
        <v>3.9</v>
      </c>
      <c r="P688">
        <f>VLOOKUP(Table2[[#This Row],[Product_ID]],Table1[#All],8,TRUE)</f>
        <v>1500</v>
      </c>
    </row>
    <row r="689" spans="1:16" x14ac:dyDescent="0.3">
      <c r="A689" t="s">
        <v>1533</v>
      </c>
      <c r="B689" s="5" t="s">
        <v>1534</v>
      </c>
      <c r="C689" s="3" t="str">
        <f t="shared" si="10"/>
        <v>18-06-2023</v>
      </c>
      <c r="D689" t="s">
        <v>26</v>
      </c>
      <c r="E689" t="s">
        <v>132</v>
      </c>
      <c r="F689" t="s">
        <v>64</v>
      </c>
      <c r="G689" t="s">
        <v>29</v>
      </c>
      <c r="H689" t="s">
        <v>30</v>
      </c>
      <c r="I689">
        <v>5</v>
      </c>
      <c r="J689">
        <v>8956</v>
      </c>
      <c r="K689" s="7">
        <v>0.1</v>
      </c>
      <c r="L689" t="s">
        <v>58</v>
      </c>
      <c r="M689" t="s">
        <v>22</v>
      </c>
      <c r="N689" t="s">
        <v>23</v>
      </c>
      <c r="O689">
        <v>4.7</v>
      </c>
      <c r="P689">
        <f>VLOOKUP(Table2[[#This Row],[Product_ID]],Table1[#All],8,TRUE)</f>
        <v>1500</v>
      </c>
    </row>
    <row r="690" spans="1:16" x14ac:dyDescent="0.3">
      <c r="A690" t="s">
        <v>1535</v>
      </c>
      <c r="B690" s="5" t="s">
        <v>1536</v>
      </c>
      <c r="C690" s="3" t="str">
        <f t="shared" si="10"/>
        <v>13-08-2024</v>
      </c>
      <c r="D690" t="s">
        <v>96</v>
      </c>
      <c r="E690" t="s">
        <v>1226</v>
      </c>
      <c r="F690" t="s">
        <v>64</v>
      </c>
      <c r="G690" t="s">
        <v>19</v>
      </c>
      <c r="H690" t="s">
        <v>99</v>
      </c>
      <c r="I690">
        <v>4</v>
      </c>
      <c r="J690">
        <v>4127</v>
      </c>
      <c r="K690" s="7">
        <v>0.15</v>
      </c>
      <c r="L690" t="s">
        <v>58</v>
      </c>
      <c r="M690" t="s">
        <v>22</v>
      </c>
      <c r="N690" t="s">
        <v>23</v>
      </c>
      <c r="O690">
        <v>3.3</v>
      </c>
      <c r="P690">
        <f>VLOOKUP(Table2[[#This Row],[Product_ID]],Table1[#All],8,TRUE)</f>
        <v>700</v>
      </c>
    </row>
    <row r="691" spans="1:16" x14ac:dyDescent="0.3">
      <c r="A691" t="s">
        <v>202</v>
      </c>
      <c r="B691" s="5" t="s">
        <v>120</v>
      </c>
      <c r="C691" s="3" t="str">
        <f t="shared" si="10"/>
        <v>08-07-2024</v>
      </c>
      <c r="D691" t="s">
        <v>46</v>
      </c>
      <c r="E691" t="s">
        <v>1110</v>
      </c>
      <c r="F691" t="s">
        <v>43</v>
      </c>
      <c r="G691" t="s">
        <v>29</v>
      </c>
      <c r="H691" t="s">
        <v>99</v>
      </c>
      <c r="I691">
        <v>2</v>
      </c>
      <c r="J691">
        <v>4378</v>
      </c>
      <c r="K691" s="7">
        <v>0</v>
      </c>
      <c r="L691" t="s">
        <v>38</v>
      </c>
      <c r="M691" t="s">
        <v>22</v>
      </c>
      <c r="N691" t="s">
        <v>48</v>
      </c>
      <c r="P691">
        <f>VLOOKUP(Table2[[#This Row],[Product_ID]],Table1[#All],8,TRUE)</f>
        <v>900</v>
      </c>
    </row>
    <row r="692" spans="1:16" x14ac:dyDescent="0.3">
      <c r="A692" t="s">
        <v>1537</v>
      </c>
      <c r="B692" s="5" t="s">
        <v>1538</v>
      </c>
      <c r="C692" s="3" t="str">
        <f t="shared" si="10"/>
        <v>27-04-2023</v>
      </c>
      <c r="D692" t="s">
        <v>127</v>
      </c>
      <c r="E692" t="s">
        <v>306</v>
      </c>
      <c r="F692" t="s">
        <v>98</v>
      </c>
      <c r="G692" t="s">
        <v>19</v>
      </c>
      <c r="H692" t="s">
        <v>30</v>
      </c>
      <c r="I692">
        <v>2</v>
      </c>
      <c r="J692">
        <v>3954</v>
      </c>
      <c r="K692" s="7">
        <v>0.2</v>
      </c>
      <c r="L692" t="s">
        <v>38</v>
      </c>
      <c r="M692" t="s">
        <v>22</v>
      </c>
      <c r="N692" t="s">
        <v>48</v>
      </c>
      <c r="O692">
        <v>4.2</v>
      </c>
      <c r="P692">
        <f>VLOOKUP(Table2[[#This Row],[Product_ID]],Table1[#All],8,TRUE)</f>
        <v>700</v>
      </c>
    </row>
    <row r="693" spans="1:16" x14ac:dyDescent="0.3">
      <c r="A693" t="s">
        <v>1539</v>
      </c>
      <c r="B693" s="5" t="s">
        <v>1540</v>
      </c>
      <c r="C693" s="3" t="str">
        <f t="shared" si="10"/>
        <v>17-04-2023</v>
      </c>
      <c r="D693" t="s">
        <v>71</v>
      </c>
      <c r="E693" t="s">
        <v>132</v>
      </c>
      <c r="F693" t="s">
        <v>43</v>
      </c>
      <c r="G693" t="s">
        <v>19</v>
      </c>
      <c r="H693" t="s">
        <v>20</v>
      </c>
      <c r="I693">
        <v>5</v>
      </c>
      <c r="J693">
        <v>2460</v>
      </c>
      <c r="K693" s="7">
        <v>0.2</v>
      </c>
      <c r="L693" t="s">
        <v>38</v>
      </c>
      <c r="M693" t="s">
        <v>39</v>
      </c>
      <c r="N693" t="s">
        <v>32</v>
      </c>
      <c r="O693">
        <v>3.9</v>
      </c>
      <c r="P693">
        <f>VLOOKUP(Table2[[#This Row],[Product_ID]],Table1[#All],8,TRUE)</f>
        <v>1500</v>
      </c>
    </row>
    <row r="694" spans="1:16" x14ac:dyDescent="0.3">
      <c r="A694" t="s">
        <v>1541</v>
      </c>
      <c r="B694" s="5" t="s">
        <v>162</v>
      </c>
      <c r="C694" s="3" t="str">
        <f t="shared" si="10"/>
        <v>19-09-2024</v>
      </c>
      <c r="D694" t="s">
        <v>131</v>
      </c>
      <c r="E694" t="s">
        <v>1220</v>
      </c>
      <c r="F694" t="s">
        <v>28</v>
      </c>
      <c r="G694" t="s">
        <v>37</v>
      </c>
      <c r="H694" t="s">
        <v>77</v>
      </c>
      <c r="I694">
        <v>1</v>
      </c>
      <c r="J694">
        <v>8297</v>
      </c>
      <c r="K694" s="7">
        <v>0.1</v>
      </c>
      <c r="L694" t="s">
        <v>58</v>
      </c>
      <c r="M694" t="s">
        <v>22</v>
      </c>
      <c r="N694" t="s">
        <v>23</v>
      </c>
      <c r="P694">
        <f>VLOOKUP(Table2[[#This Row],[Product_ID]],Table1[#All],8,TRUE)</f>
        <v>0</v>
      </c>
    </row>
    <row r="695" spans="1:16" x14ac:dyDescent="0.3">
      <c r="A695" t="s">
        <v>1542</v>
      </c>
      <c r="B695" s="5" t="s">
        <v>1543</v>
      </c>
      <c r="C695" s="3" t="str">
        <f t="shared" si="10"/>
        <v>23-08-2023</v>
      </c>
      <c r="D695" t="s">
        <v>26</v>
      </c>
      <c r="E695" t="s">
        <v>210</v>
      </c>
      <c r="F695" t="s">
        <v>28</v>
      </c>
      <c r="G695" t="s">
        <v>19</v>
      </c>
      <c r="H695" t="s">
        <v>99</v>
      </c>
      <c r="I695">
        <v>5</v>
      </c>
      <c r="J695">
        <v>8416</v>
      </c>
      <c r="K695" s="7">
        <v>0.1</v>
      </c>
      <c r="L695" t="s">
        <v>38</v>
      </c>
      <c r="M695" t="s">
        <v>22</v>
      </c>
      <c r="N695" t="s">
        <v>32</v>
      </c>
      <c r="P695">
        <f>VLOOKUP(Table2[[#This Row],[Product_ID]],Table1[#All],8,TRUE)</f>
        <v>700</v>
      </c>
    </row>
    <row r="696" spans="1:16" x14ac:dyDescent="0.3">
      <c r="A696" t="s">
        <v>1544</v>
      </c>
      <c r="B696" s="5" t="s">
        <v>1545</v>
      </c>
      <c r="C696" s="3" t="str">
        <f t="shared" si="10"/>
        <v>07-12-2023</v>
      </c>
      <c r="D696" t="s">
        <v>26</v>
      </c>
      <c r="E696" t="s">
        <v>417</v>
      </c>
      <c r="F696" t="s">
        <v>28</v>
      </c>
      <c r="G696" t="s">
        <v>53</v>
      </c>
      <c r="H696" t="s">
        <v>77</v>
      </c>
      <c r="I696">
        <v>4</v>
      </c>
      <c r="J696">
        <v>4300</v>
      </c>
      <c r="K696" s="7">
        <v>0</v>
      </c>
      <c r="L696" t="s">
        <v>31</v>
      </c>
      <c r="M696" t="s">
        <v>22</v>
      </c>
      <c r="N696" t="s">
        <v>59</v>
      </c>
      <c r="O696">
        <v>3.6</v>
      </c>
      <c r="P696">
        <f>VLOOKUP(Table2[[#This Row],[Product_ID]],Table1[#All],8,TRUE)</f>
        <v>1500</v>
      </c>
    </row>
    <row r="697" spans="1:16" x14ac:dyDescent="0.3">
      <c r="A697" t="s">
        <v>1546</v>
      </c>
      <c r="B697" s="5" t="s">
        <v>1547</v>
      </c>
      <c r="C697" s="3" t="str">
        <f t="shared" si="10"/>
        <v>09-01-2023</v>
      </c>
      <c r="D697" t="s">
        <v>35</v>
      </c>
      <c r="E697" t="s">
        <v>626</v>
      </c>
      <c r="F697" t="s">
        <v>28</v>
      </c>
      <c r="G697" t="s">
        <v>37</v>
      </c>
      <c r="H697" t="s">
        <v>30</v>
      </c>
      <c r="I697">
        <v>1</v>
      </c>
      <c r="J697">
        <v>8515</v>
      </c>
      <c r="K697" s="7">
        <v>0.2</v>
      </c>
      <c r="L697" t="s">
        <v>38</v>
      </c>
      <c r="M697" t="s">
        <v>22</v>
      </c>
      <c r="N697" t="s">
        <v>59</v>
      </c>
      <c r="O697">
        <v>3.5</v>
      </c>
      <c r="P697">
        <f>VLOOKUP(Table2[[#This Row],[Product_ID]],Table1[#All],8,TRUE)</f>
        <v>1200</v>
      </c>
    </row>
    <row r="698" spans="1:16" x14ac:dyDescent="0.3">
      <c r="A698" t="s">
        <v>1548</v>
      </c>
      <c r="B698" s="5" t="s">
        <v>990</v>
      </c>
      <c r="C698" s="3" t="str">
        <f t="shared" si="10"/>
        <v>04-10-2024</v>
      </c>
      <c r="D698" t="s">
        <v>16</v>
      </c>
      <c r="E698" t="s">
        <v>1549</v>
      </c>
      <c r="F698" t="s">
        <v>18</v>
      </c>
      <c r="G698" t="s">
        <v>29</v>
      </c>
      <c r="H698" t="s">
        <v>30</v>
      </c>
      <c r="I698">
        <v>3</v>
      </c>
      <c r="J698">
        <v>2394</v>
      </c>
      <c r="K698" s="7">
        <v>0.2</v>
      </c>
      <c r="L698" t="s">
        <v>31</v>
      </c>
      <c r="M698" t="s">
        <v>22</v>
      </c>
      <c r="N698" t="s">
        <v>48</v>
      </c>
      <c r="O698">
        <v>4.5</v>
      </c>
      <c r="P698">
        <f>VLOOKUP(Table2[[#This Row],[Product_ID]],Table1[#All],8,TRUE)</f>
        <v>1200</v>
      </c>
    </row>
    <row r="699" spans="1:16" x14ac:dyDescent="0.3">
      <c r="A699" t="s">
        <v>1279</v>
      </c>
      <c r="B699" s="5" t="s">
        <v>1550</v>
      </c>
      <c r="C699" s="3" t="str">
        <f t="shared" si="10"/>
        <v>22-11-2023</v>
      </c>
      <c r="D699" t="s">
        <v>35</v>
      </c>
      <c r="E699" t="s">
        <v>709</v>
      </c>
      <c r="F699" t="s">
        <v>98</v>
      </c>
      <c r="G699" t="s">
        <v>29</v>
      </c>
      <c r="H699" t="s">
        <v>20</v>
      </c>
      <c r="I699">
        <v>4</v>
      </c>
      <c r="J699">
        <v>8021</v>
      </c>
      <c r="K699" s="7">
        <v>0.1</v>
      </c>
      <c r="L699" t="s">
        <v>58</v>
      </c>
      <c r="M699" t="s">
        <v>22</v>
      </c>
      <c r="N699" t="s">
        <v>59</v>
      </c>
      <c r="P699">
        <f>VLOOKUP(Table2[[#This Row],[Product_ID]],Table1[#All],8,TRUE)</f>
        <v>1500</v>
      </c>
    </row>
    <row r="700" spans="1:16" x14ac:dyDescent="0.3">
      <c r="A700" t="s">
        <v>1114</v>
      </c>
      <c r="B700" s="5" t="s">
        <v>1551</v>
      </c>
      <c r="C700" s="3" t="str">
        <f t="shared" si="10"/>
        <v>16-11-2024</v>
      </c>
      <c r="D700" t="s">
        <v>71</v>
      </c>
      <c r="E700" t="s">
        <v>1552</v>
      </c>
      <c r="F700" t="s">
        <v>28</v>
      </c>
      <c r="G700" t="s">
        <v>53</v>
      </c>
      <c r="H700" t="s">
        <v>30</v>
      </c>
      <c r="I700">
        <v>1</v>
      </c>
      <c r="J700">
        <v>6759</v>
      </c>
      <c r="K700" s="7">
        <v>0.1</v>
      </c>
      <c r="L700" t="s">
        <v>21</v>
      </c>
      <c r="M700" t="s">
        <v>22</v>
      </c>
      <c r="N700" t="s">
        <v>48</v>
      </c>
      <c r="O700">
        <v>4.0999999999999996</v>
      </c>
      <c r="P700">
        <f>VLOOKUP(Table2[[#This Row],[Product_ID]],Table1[#All],8,TRUE)</f>
        <v>1200</v>
      </c>
    </row>
    <row r="701" spans="1:16" x14ac:dyDescent="0.3">
      <c r="A701" t="s">
        <v>390</v>
      </c>
      <c r="B701" s="5" t="s">
        <v>1017</v>
      </c>
      <c r="C701" s="3" t="str">
        <f t="shared" si="10"/>
        <v>20-11-2023</v>
      </c>
      <c r="D701" t="s">
        <v>51</v>
      </c>
      <c r="E701" t="s">
        <v>643</v>
      </c>
      <c r="F701" t="s">
        <v>28</v>
      </c>
      <c r="G701" t="s">
        <v>53</v>
      </c>
      <c r="H701" t="s">
        <v>99</v>
      </c>
      <c r="I701">
        <v>4</v>
      </c>
      <c r="J701">
        <v>9831</v>
      </c>
      <c r="K701" s="7">
        <v>0</v>
      </c>
      <c r="L701" t="s">
        <v>38</v>
      </c>
      <c r="M701" t="s">
        <v>22</v>
      </c>
      <c r="N701" t="s">
        <v>59</v>
      </c>
      <c r="P701">
        <f>VLOOKUP(Table2[[#This Row],[Product_ID]],Table1[#All],8,TRUE)</f>
        <v>1200</v>
      </c>
    </row>
    <row r="702" spans="1:16" x14ac:dyDescent="0.3">
      <c r="A702" t="s">
        <v>558</v>
      </c>
      <c r="B702" s="5" t="s">
        <v>1553</v>
      </c>
      <c r="C702" s="3" t="str">
        <f t="shared" si="10"/>
        <v>11-06-2023</v>
      </c>
      <c r="D702" t="s">
        <v>127</v>
      </c>
      <c r="E702" t="s">
        <v>178</v>
      </c>
      <c r="F702" t="s">
        <v>28</v>
      </c>
      <c r="G702" t="s">
        <v>37</v>
      </c>
      <c r="H702" t="s">
        <v>30</v>
      </c>
      <c r="I702">
        <v>1</v>
      </c>
      <c r="J702">
        <v>1716</v>
      </c>
      <c r="K702" s="7">
        <v>0.15</v>
      </c>
      <c r="L702" t="s">
        <v>38</v>
      </c>
      <c r="M702" t="s">
        <v>22</v>
      </c>
      <c r="N702" t="s">
        <v>59</v>
      </c>
      <c r="O702">
        <v>4</v>
      </c>
      <c r="P702">
        <f>VLOOKUP(Table2[[#This Row],[Product_ID]],Table1[#All],8,TRUE)</f>
        <v>1200</v>
      </c>
    </row>
    <row r="703" spans="1:16" x14ac:dyDescent="0.3">
      <c r="A703" t="s">
        <v>1554</v>
      </c>
      <c r="B703" s="5" t="s">
        <v>1555</v>
      </c>
      <c r="C703" s="3" t="str">
        <f t="shared" si="10"/>
        <v>25-05-2023</v>
      </c>
      <c r="D703" t="s">
        <v>16</v>
      </c>
      <c r="E703" t="s">
        <v>712</v>
      </c>
      <c r="F703" t="s">
        <v>28</v>
      </c>
      <c r="G703" t="s">
        <v>29</v>
      </c>
      <c r="H703" t="s">
        <v>99</v>
      </c>
      <c r="I703">
        <v>5</v>
      </c>
      <c r="J703">
        <v>6007</v>
      </c>
      <c r="K703" s="7">
        <v>0.1</v>
      </c>
      <c r="L703" t="s">
        <v>58</v>
      </c>
      <c r="M703" t="s">
        <v>22</v>
      </c>
      <c r="N703" t="s">
        <v>32</v>
      </c>
      <c r="P703">
        <f>VLOOKUP(Table2[[#This Row],[Product_ID]],Table1[#All],8,TRUE)</f>
        <v>700</v>
      </c>
    </row>
    <row r="704" spans="1:16" x14ac:dyDescent="0.3">
      <c r="A704" t="s">
        <v>1556</v>
      </c>
      <c r="B704" s="5" t="s">
        <v>1557</v>
      </c>
      <c r="C704" s="3" t="str">
        <f t="shared" si="10"/>
        <v>30-11-2023</v>
      </c>
      <c r="D704" t="s">
        <v>131</v>
      </c>
      <c r="E704" t="s">
        <v>572</v>
      </c>
      <c r="F704" t="s">
        <v>28</v>
      </c>
      <c r="G704" t="s">
        <v>19</v>
      </c>
      <c r="H704" t="s">
        <v>77</v>
      </c>
      <c r="I704">
        <v>2</v>
      </c>
      <c r="J704">
        <v>5597</v>
      </c>
      <c r="K704" s="7">
        <v>0.05</v>
      </c>
      <c r="L704" t="s">
        <v>58</v>
      </c>
      <c r="M704" t="s">
        <v>39</v>
      </c>
      <c r="N704" t="s">
        <v>32</v>
      </c>
      <c r="O704">
        <v>3</v>
      </c>
      <c r="P704">
        <f>VLOOKUP(Table2[[#This Row],[Product_ID]],Table1[#All],8,TRUE)</f>
        <v>700</v>
      </c>
    </row>
    <row r="705" spans="1:16" x14ac:dyDescent="0.3">
      <c r="A705" t="s">
        <v>1558</v>
      </c>
      <c r="B705" s="5" t="s">
        <v>1559</v>
      </c>
      <c r="C705" s="3" t="str">
        <f t="shared" si="10"/>
        <v>25-09-2023</v>
      </c>
      <c r="D705" t="s">
        <v>127</v>
      </c>
      <c r="E705" t="s">
        <v>431</v>
      </c>
      <c r="F705" t="s">
        <v>64</v>
      </c>
      <c r="G705" t="s">
        <v>29</v>
      </c>
      <c r="H705" t="s">
        <v>99</v>
      </c>
      <c r="I705">
        <v>3</v>
      </c>
      <c r="J705">
        <v>7432</v>
      </c>
      <c r="K705" s="7">
        <v>0.05</v>
      </c>
      <c r="L705" t="s">
        <v>21</v>
      </c>
      <c r="M705" t="s">
        <v>22</v>
      </c>
      <c r="N705" t="s">
        <v>59</v>
      </c>
      <c r="P705">
        <f>VLOOKUP(Table2[[#This Row],[Product_ID]],Table1[#All],8,TRUE)</f>
        <v>700</v>
      </c>
    </row>
    <row r="706" spans="1:16" x14ac:dyDescent="0.3">
      <c r="A706" t="s">
        <v>1560</v>
      </c>
      <c r="B706" s="5" t="s">
        <v>1153</v>
      </c>
      <c r="C706" s="3" t="str">
        <f t="shared" ref="C706:C769" si="11">TEXT(B706,"dd-mm-yyyy")</f>
        <v>28-01-2023</v>
      </c>
      <c r="D706" t="s">
        <v>91</v>
      </c>
      <c r="E706" t="s">
        <v>1561</v>
      </c>
      <c r="F706" t="s">
        <v>73</v>
      </c>
      <c r="G706" t="s">
        <v>53</v>
      </c>
      <c r="H706" t="s">
        <v>77</v>
      </c>
      <c r="I706">
        <v>4</v>
      </c>
      <c r="J706">
        <v>5753</v>
      </c>
      <c r="K706" s="7">
        <v>0.2</v>
      </c>
      <c r="L706" t="s">
        <v>31</v>
      </c>
      <c r="M706" t="s">
        <v>22</v>
      </c>
      <c r="N706" t="s">
        <v>48</v>
      </c>
      <c r="O706">
        <v>4.3</v>
      </c>
      <c r="P706">
        <f>VLOOKUP(Table2[[#This Row],[Product_ID]],Table1[#All],8,TRUE)</f>
        <v>900</v>
      </c>
    </row>
    <row r="707" spans="1:16" x14ac:dyDescent="0.3">
      <c r="A707" t="s">
        <v>1562</v>
      </c>
      <c r="B707" s="5" t="s">
        <v>1173</v>
      </c>
      <c r="C707" s="3" t="str">
        <f t="shared" si="11"/>
        <v>24-03-2024</v>
      </c>
      <c r="D707" t="s">
        <v>67</v>
      </c>
      <c r="E707" t="s">
        <v>577</v>
      </c>
      <c r="F707" t="s">
        <v>64</v>
      </c>
      <c r="G707" t="s">
        <v>19</v>
      </c>
      <c r="H707" t="s">
        <v>20</v>
      </c>
      <c r="I707">
        <v>3</v>
      </c>
      <c r="J707">
        <v>4590</v>
      </c>
      <c r="K707" s="7">
        <v>0.1</v>
      </c>
      <c r="L707" t="s">
        <v>31</v>
      </c>
      <c r="M707" t="s">
        <v>22</v>
      </c>
      <c r="N707" t="s">
        <v>59</v>
      </c>
      <c r="P707">
        <f>VLOOKUP(Table2[[#This Row],[Product_ID]],Table1[#All],8,TRUE)</f>
        <v>900</v>
      </c>
    </row>
    <row r="708" spans="1:16" x14ac:dyDescent="0.3">
      <c r="A708" t="s">
        <v>1563</v>
      </c>
      <c r="B708" s="5" t="s">
        <v>1564</v>
      </c>
      <c r="C708" s="3" t="str">
        <f t="shared" si="11"/>
        <v>23-06-2024</v>
      </c>
      <c r="D708" t="s">
        <v>114</v>
      </c>
      <c r="E708" t="s">
        <v>704</v>
      </c>
      <c r="F708" t="s">
        <v>57</v>
      </c>
      <c r="G708" t="s">
        <v>29</v>
      </c>
      <c r="H708" t="s">
        <v>30</v>
      </c>
      <c r="I708">
        <v>1</v>
      </c>
      <c r="J708">
        <v>1718</v>
      </c>
      <c r="K708" s="7">
        <v>0.05</v>
      </c>
      <c r="L708" t="s">
        <v>58</v>
      </c>
      <c r="M708" t="s">
        <v>39</v>
      </c>
      <c r="N708" t="s">
        <v>59</v>
      </c>
      <c r="O708">
        <v>4.4000000000000004</v>
      </c>
      <c r="P708">
        <f>VLOOKUP(Table2[[#This Row],[Product_ID]],Table1[#All],8,TRUE)</f>
        <v>1200</v>
      </c>
    </row>
    <row r="709" spans="1:16" x14ac:dyDescent="0.3">
      <c r="A709" t="s">
        <v>1565</v>
      </c>
      <c r="B709" s="5" t="s">
        <v>970</v>
      </c>
      <c r="C709" s="3" t="str">
        <f t="shared" si="11"/>
        <v>31-01-2023</v>
      </c>
      <c r="D709" t="s">
        <v>51</v>
      </c>
      <c r="E709" t="s">
        <v>582</v>
      </c>
      <c r="F709" t="s">
        <v>18</v>
      </c>
      <c r="G709" t="s">
        <v>19</v>
      </c>
      <c r="H709" t="s">
        <v>77</v>
      </c>
      <c r="I709">
        <v>2</v>
      </c>
      <c r="J709">
        <v>6145</v>
      </c>
      <c r="K709" s="7">
        <v>0.1</v>
      </c>
      <c r="L709" t="s">
        <v>21</v>
      </c>
      <c r="M709" t="s">
        <v>39</v>
      </c>
      <c r="N709" t="s">
        <v>48</v>
      </c>
      <c r="P709">
        <f>VLOOKUP(Table2[[#This Row],[Product_ID]],Table1[#All],8,TRUE)</f>
        <v>900</v>
      </c>
    </row>
    <row r="710" spans="1:16" x14ac:dyDescent="0.3">
      <c r="A710" t="s">
        <v>548</v>
      </c>
      <c r="B710" s="5" t="s">
        <v>1566</v>
      </c>
      <c r="C710" s="3" t="str">
        <f t="shared" si="11"/>
        <v>27-11-2024</v>
      </c>
      <c r="D710" t="s">
        <v>35</v>
      </c>
      <c r="E710" t="s">
        <v>204</v>
      </c>
      <c r="F710" t="s">
        <v>98</v>
      </c>
      <c r="G710" t="s">
        <v>37</v>
      </c>
      <c r="H710" t="s">
        <v>30</v>
      </c>
      <c r="I710">
        <v>1</v>
      </c>
      <c r="J710">
        <v>8705</v>
      </c>
      <c r="K710" s="7">
        <v>0</v>
      </c>
      <c r="L710" t="s">
        <v>21</v>
      </c>
      <c r="M710" t="s">
        <v>39</v>
      </c>
      <c r="N710" t="s">
        <v>23</v>
      </c>
      <c r="P710">
        <f>VLOOKUP(Table2[[#This Row],[Product_ID]],Table1[#All],8,TRUE)</f>
        <v>0</v>
      </c>
    </row>
    <row r="711" spans="1:16" x14ac:dyDescent="0.3">
      <c r="A711" t="s">
        <v>1567</v>
      </c>
      <c r="B711" s="5" t="s">
        <v>1568</v>
      </c>
      <c r="C711" s="3" t="str">
        <f t="shared" si="11"/>
        <v>21-05-2024</v>
      </c>
      <c r="D711" t="s">
        <v>35</v>
      </c>
      <c r="E711" t="s">
        <v>42</v>
      </c>
      <c r="F711" t="s">
        <v>18</v>
      </c>
      <c r="G711" t="s">
        <v>53</v>
      </c>
      <c r="H711" t="s">
        <v>77</v>
      </c>
      <c r="I711">
        <v>5</v>
      </c>
      <c r="J711">
        <v>1569</v>
      </c>
      <c r="K711" s="7">
        <v>0.1</v>
      </c>
      <c r="L711" t="s">
        <v>31</v>
      </c>
      <c r="M711" t="s">
        <v>22</v>
      </c>
      <c r="N711" t="s">
        <v>59</v>
      </c>
      <c r="P711">
        <f>VLOOKUP(Table2[[#This Row],[Product_ID]],Table1[#All],8,TRUE)</f>
        <v>900</v>
      </c>
    </row>
    <row r="712" spans="1:16" x14ac:dyDescent="0.3">
      <c r="A712" t="s">
        <v>1569</v>
      </c>
      <c r="B712" s="5" t="s">
        <v>1570</v>
      </c>
      <c r="C712" s="3" t="str">
        <f t="shared" si="11"/>
        <v>12-02-2024</v>
      </c>
      <c r="D712" t="s">
        <v>16</v>
      </c>
      <c r="E712" t="s">
        <v>1571</v>
      </c>
      <c r="F712" t="s">
        <v>18</v>
      </c>
      <c r="G712" t="s">
        <v>19</v>
      </c>
      <c r="H712" t="s">
        <v>20</v>
      </c>
      <c r="I712">
        <v>3</v>
      </c>
      <c r="J712">
        <v>7151</v>
      </c>
      <c r="K712" s="7">
        <v>0.2</v>
      </c>
      <c r="L712" t="s">
        <v>31</v>
      </c>
      <c r="M712" t="s">
        <v>39</v>
      </c>
      <c r="N712" t="s">
        <v>59</v>
      </c>
      <c r="O712">
        <v>4.7</v>
      </c>
      <c r="P712">
        <f>VLOOKUP(Table2[[#This Row],[Product_ID]],Table1[#All],8,TRUE)</f>
        <v>1500</v>
      </c>
    </row>
    <row r="713" spans="1:16" x14ac:dyDescent="0.3">
      <c r="A713" t="s">
        <v>1572</v>
      </c>
      <c r="B713" s="5" t="s">
        <v>424</v>
      </c>
      <c r="C713" s="3" t="str">
        <f t="shared" si="11"/>
        <v>12-06-2024</v>
      </c>
      <c r="D713" t="s">
        <v>96</v>
      </c>
      <c r="E713" t="s">
        <v>575</v>
      </c>
      <c r="F713" t="s">
        <v>28</v>
      </c>
      <c r="G713" t="s">
        <v>19</v>
      </c>
      <c r="H713" t="s">
        <v>20</v>
      </c>
      <c r="I713">
        <v>4</v>
      </c>
      <c r="J713">
        <v>8315</v>
      </c>
      <c r="K713" s="7">
        <v>0.05</v>
      </c>
      <c r="L713" t="s">
        <v>38</v>
      </c>
      <c r="M713" t="s">
        <v>39</v>
      </c>
      <c r="N713" t="s">
        <v>48</v>
      </c>
      <c r="O713">
        <v>3.2</v>
      </c>
      <c r="P713">
        <f>VLOOKUP(Table2[[#This Row],[Product_ID]],Table1[#All],8,TRUE)</f>
        <v>0</v>
      </c>
    </row>
    <row r="714" spans="1:16" x14ac:dyDescent="0.3">
      <c r="A714" t="s">
        <v>1573</v>
      </c>
      <c r="B714" s="5" t="s">
        <v>1405</v>
      </c>
      <c r="C714" s="3" t="str">
        <f t="shared" si="11"/>
        <v>14-04-2023</v>
      </c>
      <c r="D714" t="s">
        <v>51</v>
      </c>
      <c r="E714" t="s">
        <v>56</v>
      </c>
      <c r="F714" t="s">
        <v>64</v>
      </c>
      <c r="G714" t="s">
        <v>19</v>
      </c>
      <c r="H714" t="s">
        <v>99</v>
      </c>
      <c r="I714">
        <v>5</v>
      </c>
      <c r="J714">
        <v>7027</v>
      </c>
      <c r="K714" s="7">
        <v>0</v>
      </c>
      <c r="L714" t="s">
        <v>31</v>
      </c>
      <c r="M714" t="s">
        <v>22</v>
      </c>
      <c r="N714" t="s">
        <v>59</v>
      </c>
      <c r="P714">
        <f>VLOOKUP(Table2[[#This Row],[Product_ID]],Table1[#All],8,TRUE)</f>
        <v>700</v>
      </c>
    </row>
    <row r="715" spans="1:16" x14ac:dyDescent="0.3">
      <c r="A715" t="s">
        <v>1574</v>
      </c>
      <c r="B715" s="5" t="s">
        <v>1575</v>
      </c>
      <c r="C715" s="3" t="str">
        <f t="shared" si="11"/>
        <v>16-04-2024</v>
      </c>
      <c r="D715" t="s">
        <v>80</v>
      </c>
      <c r="E715" t="s">
        <v>17</v>
      </c>
      <c r="F715" t="s">
        <v>98</v>
      </c>
      <c r="G715" t="s">
        <v>37</v>
      </c>
      <c r="H715" t="s">
        <v>99</v>
      </c>
      <c r="I715">
        <v>4</v>
      </c>
      <c r="J715">
        <v>5996</v>
      </c>
      <c r="K715" s="7">
        <v>0</v>
      </c>
      <c r="L715" t="s">
        <v>31</v>
      </c>
      <c r="M715" t="s">
        <v>22</v>
      </c>
      <c r="N715" t="s">
        <v>59</v>
      </c>
      <c r="O715">
        <v>3.3</v>
      </c>
      <c r="P715">
        <f>VLOOKUP(Table2[[#This Row],[Product_ID]],Table1[#All],8,TRUE)</f>
        <v>700</v>
      </c>
    </row>
    <row r="716" spans="1:16" x14ac:dyDescent="0.3">
      <c r="A716" t="s">
        <v>1576</v>
      </c>
      <c r="B716" s="5" t="s">
        <v>1577</v>
      </c>
      <c r="C716" s="3" t="str">
        <f t="shared" si="11"/>
        <v>05-04-2024</v>
      </c>
      <c r="D716" t="s">
        <v>80</v>
      </c>
      <c r="E716" t="s">
        <v>543</v>
      </c>
      <c r="F716" t="s">
        <v>18</v>
      </c>
      <c r="G716" t="s">
        <v>37</v>
      </c>
      <c r="H716" t="s">
        <v>77</v>
      </c>
      <c r="I716">
        <v>2</v>
      </c>
      <c r="J716">
        <v>2983</v>
      </c>
      <c r="K716" s="7">
        <v>0</v>
      </c>
      <c r="L716" t="s">
        <v>31</v>
      </c>
      <c r="M716" t="s">
        <v>39</v>
      </c>
      <c r="N716" t="s">
        <v>48</v>
      </c>
      <c r="O716">
        <v>4.7</v>
      </c>
      <c r="P716">
        <f>VLOOKUP(Table2[[#This Row],[Product_ID]],Table1[#All],8,TRUE)</f>
        <v>1500</v>
      </c>
    </row>
    <row r="717" spans="1:16" x14ac:dyDescent="0.3">
      <c r="A717" t="s">
        <v>1578</v>
      </c>
      <c r="B717" s="5" t="s">
        <v>288</v>
      </c>
      <c r="C717" s="3" t="str">
        <f t="shared" si="11"/>
        <v>26-01-2023</v>
      </c>
      <c r="D717" t="s">
        <v>127</v>
      </c>
      <c r="E717" t="s">
        <v>674</v>
      </c>
      <c r="F717" t="s">
        <v>43</v>
      </c>
      <c r="G717" t="s">
        <v>53</v>
      </c>
      <c r="H717" t="s">
        <v>99</v>
      </c>
      <c r="I717">
        <v>3</v>
      </c>
      <c r="J717">
        <v>2151</v>
      </c>
      <c r="K717" s="7">
        <v>0</v>
      </c>
      <c r="L717" t="s">
        <v>31</v>
      </c>
      <c r="M717" t="s">
        <v>39</v>
      </c>
      <c r="N717" t="s">
        <v>48</v>
      </c>
      <c r="P717">
        <f>VLOOKUP(Table2[[#This Row],[Product_ID]],Table1[#All],8,TRUE)</f>
        <v>1200</v>
      </c>
    </row>
    <row r="718" spans="1:16" x14ac:dyDescent="0.3">
      <c r="A718" t="s">
        <v>1579</v>
      </c>
      <c r="B718" s="5" t="s">
        <v>1118</v>
      </c>
      <c r="C718" s="3" t="str">
        <f t="shared" si="11"/>
        <v>07-05-2023</v>
      </c>
      <c r="D718" t="s">
        <v>51</v>
      </c>
      <c r="E718" t="s">
        <v>1151</v>
      </c>
      <c r="F718" t="s">
        <v>43</v>
      </c>
      <c r="G718" t="s">
        <v>53</v>
      </c>
      <c r="H718" t="s">
        <v>30</v>
      </c>
      <c r="I718">
        <v>3</v>
      </c>
      <c r="J718">
        <v>6137</v>
      </c>
      <c r="K718" s="7">
        <v>0.05</v>
      </c>
      <c r="L718" t="s">
        <v>21</v>
      </c>
      <c r="M718" t="s">
        <v>39</v>
      </c>
      <c r="N718" t="s">
        <v>32</v>
      </c>
      <c r="P718">
        <f>VLOOKUP(Table2[[#This Row],[Product_ID]],Table1[#All],8,TRUE)</f>
        <v>700</v>
      </c>
    </row>
    <row r="719" spans="1:16" x14ac:dyDescent="0.3">
      <c r="A719" t="s">
        <v>1580</v>
      </c>
      <c r="B719" s="5" t="s">
        <v>1581</v>
      </c>
      <c r="C719" s="3" t="str">
        <f t="shared" si="11"/>
        <v>12-09-2023</v>
      </c>
      <c r="D719" t="s">
        <v>80</v>
      </c>
      <c r="E719" t="s">
        <v>1582</v>
      </c>
      <c r="F719" t="s">
        <v>57</v>
      </c>
      <c r="G719" t="s">
        <v>37</v>
      </c>
      <c r="H719" t="s">
        <v>30</v>
      </c>
      <c r="I719">
        <v>2</v>
      </c>
      <c r="J719">
        <v>8998</v>
      </c>
      <c r="K719" s="7">
        <v>0.1</v>
      </c>
      <c r="L719" t="s">
        <v>31</v>
      </c>
      <c r="M719" t="s">
        <v>22</v>
      </c>
      <c r="N719" t="s">
        <v>48</v>
      </c>
      <c r="P719">
        <f>VLOOKUP(Table2[[#This Row],[Product_ID]],Table1[#All],8,TRUE)</f>
        <v>900</v>
      </c>
    </row>
    <row r="720" spans="1:16" x14ac:dyDescent="0.3">
      <c r="A720" t="s">
        <v>1583</v>
      </c>
      <c r="B720" s="5" t="s">
        <v>299</v>
      </c>
      <c r="C720" s="3" t="str">
        <f t="shared" si="11"/>
        <v>12-05-2023</v>
      </c>
      <c r="D720" t="s">
        <v>46</v>
      </c>
      <c r="E720" t="s">
        <v>1212</v>
      </c>
      <c r="F720" t="s">
        <v>73</v>
      </c>
      <c r="G720" t="s">
        <v>53</v>
      </c>
      <c r="H720" t="s">
        <v>30</v>
      </c>
      <c r="I720">
        <v>2</v>
      </c>
      <c r="J720">
        <v>7009</v>
      </c>
      <c r="K720" s="7">
        <v>0</v>
      </c>
      <c r="L720" t="s">
        <v>38</v>
      </c>
      <c r="M720" t="s">
        <v>22</v>
      </c>
      <c r="N720" t="s">
        <v>23</v>
      </c>
      <c r="P720">
        <f>VLOOKUP(Table2[[#This Row],[Product_ID]],Table1[#All],8,TRUE)</f>
        <v>700</v>
      </c>
    </row>
    <row r="721" spans="1:16" x14ac:dyDescent="0.3">
      <c r="A721" t="s">
        <v>1584</v>
      </c>
      <c r="B721" s="5" t="s">
        <v>1585</v>
      </c>
      <c r="C721" s="3" t="str">
        <f t="shared" si="11"/>
        <v>26-07-2023</v>
      </c>
      <c r="D721" t="s">
        <v>114</v>
      </c>
      <c r="E721" t="s">
        <v>976</v>
      </c>
      <c r="F721" t="s">
        <v>57</v>
      </c>
      <c r="G721" t="s">
        <v>19</v>
      </c>
      <c r="H721" t="s">
        <v>77</v>
      </c>
      <c r="I721">
        <v>4</v>
      </c>
      <c r="J721">
        <v>9534</v>
      </c>
      <c r="K721" s="7">
        <v>0</v>
      </c>
      <c r="L721" t="s">
        <v>38</v>
      </c>
      <c r="M721" t="s">
        <v>22</v>
      </c>
      <c r="N721" t="s">
        <v>59</v>
      </c>
      <c r="P721">
        <f>VLOOKUP(Table2[[#This Row],[Product_ID]],Table1[#All],8,TRUE)</f>
        <v>1200</v>
      </c>
    </row>
    <row r="722" spans="1:16" x14ac:dyDescent="0.3">
      <c r="A722" t="s">
        <v>1586</v>
      </c>
      <c r="B722" s="5" t="s">
        <v>1587</v>
      </c>
      <c r="C722" s="3" t="str">
        <f t="shared" si="11"/>
        <v>02-05-2023</v>
      </c>
      <c r="D722" t="s">
        <v>127</v>
      </c>
      <c r="E722" t="s">
        <v>47</v>
      </c>
      <c r="F722" t="s">
        <v>57</v>
      </c>
      <c r="G722" t="s">
        <v>53</v>
      </c>
      <c r="H722" t="s">
        <v>20</v>
      </c>
      <c r="I722">
        <v>2</v>
      </c>
      <c r="J722">
        <v>5426</v>
      </c>
      <c r="K722" s="7">
        <v>0.1</v>
      </c>
      <c r="L722" t="s">
        <v>38</v>
      </c>
      <c r="M722" t="s">
        <v>22</v>
      </c>
      <c r="N722" t="s">
        <v>48</v>
      </c>
      <c r="O722">
        <v>3.8</v>
      </c>
      <c r="P722">
        <f>VLOOKUP(Table2[[#This Row],[Product_ID]],Table1[#All],8,TRUE)</f>
        <v>700</v>
      </c>
    </row>
    <row r="723" spans="1:16" x14ac:dyDescent="0.3">
      <c r="A723" t="s">
        <v>844</v>
      </c>
      <c r="B723" s="5" t="s">
        <v>1029</v>
      </c>
      <c r="C723" s="3" t="str">
        <f t="shared" si="11"/>
        <v>03-11-2024</v>
      </c>
      <c r="D723" t="s">
        <v>91</v>
      </c>
      <c r="E723" t="s">
        <v>1237</v>
      </c>
      <c r="F723" t="s">
        <v>28</v>
      </c>
      <c r="G723" t="s">
        <v>29</v>
      </c>
      <c r="H723" t="s">
        <v>30</v>
      </c>
      <c r="I723">
        <v>1</v>
      </c>
      <c r="J723">
        <v>2868</v>
      </c>
      <c r="K723" s="7">
        <v>0</v>
      </c>
      <c r="L723" t="s">
        <v>58</v>
      </c>
      <c r="M723" t="s">
        <v>39</v>
      </c>
      <c r="N723" t="s">
        <v>32</v>
      </c>
      <c r="O723">
        <v>3.1</v>
      </c>
      <c r="P723">
        <f>VLOOKUP(Table2[[#This Row],[Product_ID]],Table1[#All],8,TRUE)</f>
        <v>0</v>
      </c>
    </row>
    <row r="724" spans="1:16" x14ac:dyDescent="0.3">
      <c r="A724" t="s">
        <v>1588</v>
      </c>
      <c r="B724" s="5" t="s">
        <v>1185</v>
      </c>
      <c r="C724" s="3" t="str">
        <f t="shared" si="11"/>
        <v>01-05-2024</v>
      </c>
      <c r="D724" t="s">
        <v>35</v>
      </c>
      <c r="E724" t="s">
        <v>528</v>
      </c>
      <c r="F724" t="s">
        <v>57</v>
      </c>
      <c r="G724" t="s">
        <v>37</v>
      </c>
      <c r="H724" t="s">
        <v>20</v>
      </c>
      <c r="I724">
        <v>5</v>
      </c>
      <c r="J724">
        <v>1450</v>
      </c>
      <c r="K724" s="7">
        <v>0.05</v>
      </c>
      <c r="L724" t="s">
        <v>31</v>
      </c>
      <c r="M724" t="s">
        <v>22</v>
      </c>
      <c r="N724" t="s">
        <v>32</v>
      </c>
      <c r="P724">
        <f>VLOOKUP(Table2[[#This Row],[Product_ID]],Table1[#All],8,TRUE)</f>
        <v>500</v>
      </c>
    </row>
    <row r="725" spans="1:16" x14ac:dyDescent="0.3">
      <c r="A725" t="s">
        <v>1589</v>
      </c>
      <c r="B725" s="5" t="s">
        <v>1590</v>
      </c>
      <c r="C725" s="3" t="str">
        <f t="shared" si="11"/>
        <v>12-07-2024</v>
      </c>
      <c r="D725" t="s">
        <v>91</v>
      </c>
      <c r="E725" t="s">
        <v>577</v>
      </c>
      <c r="F725" t="s">
        <v>98</v>
      </c>
      <c r="G725" t="s">
        <v>19</v>
      </c>
      <c r="H725" t="s">
        <v>30</v>
      </c>
      <c r="I725">
        <v>3</v>
      </c>
      <c r="J725">
        <v>7717</v>
      </c>
      <c r="K725" s="7">
        <v>0.05</v>
      </c>
      <c r="L725" t="s">
        <v>38</v>
      </c>
      <c r="M725" t="s">
        <v>22</v>
      </c>
      <c r="N725" t="s">
        <v>48</v>
      </c>
      <c r="P725">
        <f>VLOOKUP(Table2[[#This Row],[Product_ID]],Table1[#All],8,TRUE)</f>
        <v>900</v>
      </c>
    </row>
    <row r="726" spans="1:16" x14ac:dyDescent="0.3">
      <c r="A726" t="s">
        <v>1591</v>
      </c>
      <c r="B726" s="5" t="s">
        <v>1592</v>
      </c>
      <c r="C726" s="3" t="str">
        <f t="shared" si="11"/>
        <v>21-07-2024</v>
      </c>
      <c r="D726" t="s">
        <v>131</v>
      </c>
      <c r="E726" t="s">
        <v>1593</v>
      </c>
      <c r="F726" t="s">
        <v>64</v>
      </c>
      <c r="G726" t="s">
        <v>53</v>
      </c>
      <c r="H726" t="s">
        <v>99</v>
      </c>
      <c r="I726">
        <v>2</v>
      </c>
      <c r="J726">
        <v>3090</v>
      </c>
      <c r="K726" s="7">
        <v>0.05</v>
      </c>
      <c r="L726" t="s">
        <v>38</v>
      </c>
      <c r="M726" t="s">
        <v>22</v>
      </c>
      <c r="N726" t="s">
        <v>48</v>
      </c>
      <c r="O726">
        <v>3.5</v>
      </c>
      <c r="P726">
        <f>VLOOKUP(Table2[[#This Row],[Product_ID]],Table1[#All],8,TRUE)</f>
        <v>1500</v>
      </c>
    </row>
    <row r="727" spans="1:16" x14ac:dyDescent="0.3">
      <c r="A727" t="s">
        <v>1594</v>
      </c>
      <c r="B727" s="5" t="s">
        <v>447</v>
      </c>
      <c r="C727" s="3" t="str">
        <f t="shared" si="11"/>
        <v>14-06-2023</v>
      </c>
      <c r="D727" t="s">
        <v>67</v>
      </c>
      <c r="E727" t="s">
        <v>1297</v>
      </c>
      <c r="F727" t="s">
        <v>73</v>
      </c>
      <c r="G727" t="s">
        <v>19</v>
      </c>
      <c r="H727" t="s">
        <v>20</v>
      </c>
      <c r="I727">
        <v>1</v>
      </c>
      <c r="J727">
        <v>3736</v>
      </c>
      <c r="K727" s="7">
        <v>0.05</v>
      </c>
      <c r="L727" t="s">
        <v>31</v>
      </c>
      <c r="M727" t="s">
        <v>22</v>
      </c>
      <c r="N727" t="s">
        <v>23</v>
      </c>
      <c r="O727">
        <v>3.2</v>
      </c>
      <c r="P727">
        <f>VLOOKUP(Table2[[#This Row],[Product_ID]],Table1[#All],8,TRUE)</f>
        <v>1200</v>
      </c>
    </row>
    <row r="728" spans="1:16" x14ac:dyDescent="0.3">
      <c r="A728" t="s">
        <v>1595</v>
      </c>
      <c r="B728" s="5" t="s">
        <v>1596</v>
      </c>
      <c r="C728" s="3" t="str">
        <f t="shared" si="11"/>
        <v>10-10-2023</v>
      </c>
      <c r="D728" t="s">
        <v>91</v>
      </c>
      <c r="E728" t="s">
        <v>709</v>
      </c>
      <c r="F728" t="s">
        <v>43</v>
      </c>
      <c r="G728" t="s">
        <v>19</v>
      </c>
      <c r="H728" t="s">
        <v>30</v>
      </c>
      <c r="I728">
        <v>1</v>
      </c>
      <c r="J728">
        <v>7412</v>
      </c>
      <c r="K728" s="7">
        <v>0.05</v>
      </c>
      <c r="L728" t="s">
        <v>38</v>
      </c>
      <c r="M728" t="s">
        <v>22</v>
      </c>
      <c r="N728" t="s">
        <v>23</v>
      </c>
      <c r="O728">
        <v>4.0999999999999996</v>
      </c>
      <c r="P728">
        <f>VLOOKUP(Table2[[#This Row],[Product_ID]],Table1[#All],8,TRUE)</f>
        <v>1500</v>
      </c>
    </row>
    <row r="729" spans="1:16" x14ac:dyDescent="0.3">
      <c r="A729" t="s">
        <v>1597</v>
      </c>
      <c r="B729" s="5" t="s">
        <v>879</v>
      </c>
      <c r="C729" s="3" t="str">
        <f t="shared" si="11"/>
        <v>25-12-2023</v>
      </c>
      <c r="D729" t="s">
        <v>62</v>
      </c>
      <c r="E729" t="s">
        <v>105</v>
      </c>
      <c r="F729" t="s">
        <v>28</v>
      </c>
      <c r="G729" t="s">
        <v>53</v>
      </c>
      <c r="H729" t="s">
        <v>30</v>
      </c>
      <c r="I729">
        <v>2</v>
      </c>
      <c r="J729">
        <v>3692</v>
      </c>
      <c r="K729" s="7">
        <v>0.15</v>
      </c>
      <c r="L729" t="s">
        <v>58</v>
      </c>
      <c r="M729" t="s">
        <v>39</v>
      </c>
      <c r="N729" t="s">
        <v>23</v>
      </c>
      <c r="O729">
        <v>4.8</v>
      </c>
      <c r="P729">
        <f>VLOOKUP(Table2[[#This Row],[Product_ID]],Table1[#All],8,TRUE)</f>
        <v>1200</v>
      </c>
    </row>
    <row r="730" spans="1:16" x14ac:dyDescent="0.3">
      <c r="A730" t="s">
        <v>1598</v>
      </c>
      <c r="B730" s="5" t="s">
        <v>1599</v>
      </c>
      <c r="C730" s="3" t="str">
        <f t="shared" si="11"/>
        <v>02-05-2023</v>
      </c>
      <c r="D730" t="s">
        <v>26</v>
      </c>
      <c r="E730" t="s">
        <v>1226</v>
      </c>
      <c r="F730" t="s">
        <v>64</v>
      </c>
      <c r="G730" t="s">
        <v>19</v>
      </c>
      <c r="H730" t="s">
        <v>99</v>
      </c>
      <c r="I730">
        <v>1</v>
      </c>
      <c r="J730">
        <v>2404</v>
      </c>
      <c r="K730" s="7">
        <v>0</v>
      </c>
      <c r="L730" t="s">
        <v>38</v>
      </c>
      <c r="M730" t="s">
        <v>22</v>
      </c>
      <c r="N730" t="s">
        <v>48</v>
      </c>
      <c r="O730">
        <v>5</v>
      </c>
      <c r="P730">
        <f>VLOOKUP(Table2[[#This Row],[Product_ID]],Table1[#All],8,TRUE)</f>
        <v>700</v>
      </c>
    </row>
    <row r="731" spans="1:16" x14ac:dyDescent="0.3">
      <c r="A731" t="s">
        <v>1600</v>
      </c>
      <c r="B731" s="5" t="s">
        <v>1601</v>
      </c>
      <c r="C731" s="3" t="str">
        <f t="shared" si="11"/>
        <v>16-07-2023</v>
      </c>
      <c r="D731" t="s">
        <v>80</v>
      </c>
      <c r="E731" t="s">
        <v>1602</v>
      </c>
      <c r="F731" t="s">
        <v>18</v>
      </c>
      <c r="G731" t="s">
        <v>53</v>
      </c>
      <c r="H731" t="s">
        <v>99</v>
      </c>
      <c r="I731">
        <v>5</v>
      </c>
      <c r="J731">
        <v>5062</v>
      </c>
      <c r="K731" s="7">
        <v>0.15</v>
      </c>
      <c r="L731" t="s">
        <v>58</v>
      </c>
      <c r="M731" t="s">
        <v>39</v>
      </c>
      <c r="N731" t="s">
        <v>59</v>
      </c>
      <c r="P731">
        <f>VLOOKUP(Table2[[#This Row],[Product_ID]],Table1[#All],8,TRUE)</f>
        <v>500</v>
      </c>
    </row>
    <row r="732" spans="1:16" x14ac:dyDescent="0.3">
      <c r="A732" t="s">
        <v>441</v>
      </c>
      <c r="B732" s="5" t="s">
        <v>1603</v>
      </c>
      <c r="C732" s="3" t="str">
        <f t="shared" si="11"/>
        <v>29-06-2024</v>
      </c>
      <c r="D732" t="s">
        <v>84</v>
      </c>
      <c r="E732" t="s">
        <v>1493</v>
      </c>
      <c r="F732" t="s">
        <v>98</v>
      </c>
      <c r="G732" t="s">
        <v>19</v>
      </c>
      <c r="H732" t="s">
        <v>99</v>
      </c>
      <c r="I732">
        <v>1</v>
      </c>
      <c r="J732">
        <v>2735</v>
      </c>
      <c r="K732" s="7">
        <v>0.05</v>
      </c>
      <c r="L732" t="s">
        <v>38</v>
      </c>
      <c r="M732" t="s">
        <v>39</v>
      </c>
      <c r="N732" t="s">
        <v>23</v>
      </c>
      <c r="O732">
        <v>4.0999999999999996</v>
      </c>
      <c r="P732">
        <f>VLOOKUP(Table2[[#This Row],[Product_ID]],Table1[#All],8,TRUE)</f>
        <v>700</v>
      </c>
    </row>
    <row r="733" spans="1:16" x14ac:dyDescent="0.3">
      <c r="A733" t="s">
        <v>1604</v>
      </c>
      <c r="B733" s="5" t="s">
        <v>1605</v>
      </c>
      <c r="C733" s="3" t="str">
        <f t="shared" si="11"/>
        <v>19-09-2023</v>
      </c>
      <c r="D733" t="s">
        <v>127</v>
      </c>
      <c r="E733" t="s">
        <v>1043</v>
      </c>
      <c r="F733" t="s">
        <v>57</v>
      </c>
      <c r="G733" t="s">
        <v>19</v>
      </c>
      <c r="H733" t="s">
        <v>99</v>
      </c>
      <c r="I733">
        <v>5</v>
      </c>
      <c r="J733">
        <v>7190</v>
      </c>
      <c r="K733" s="7">
        <v>0</v>
      </c>
      <c r="L733" t="s">
        <v>21</v>
      </c>
      <c r="M733" t="s">
        <v>39</v>
      </c>
      <c r="N733" t="s">
        <v>48</v>
      </c>
      <c r="O733">
        <v>4.5</v>
      </c>
      <c r="P733">
        <f>VLOOKUP(Table2[[#This Row],[Product_ID]],Table1[#All],8,TRUE)</f>
        <v>1500</v>
      </c>
    </row>
    <row r="734" spans="1:16" x14ac:dyDescent="0.3">
      <c r="A734" t="s">
        <v>1606</v>
      </c>
      <c r="B734" s="5" t="s">
        <v>1607</v>
      </c>
      <c r="C734" s="3" t="str">
        <f t="shared" si="11"/>
        <v>13-07-2024</v>
      </c>
      <c r="D734" t="s">
        <v>62</v>
      </c>
      <c r="E734" t="s">
        <v>1608</v>
      </c>
      <c r="F734" t="s">
        <v>18</v>
      </c>
      <c r="G734" t="s">
        <v>37</v>
      </c>
      <c r="H734" t="s">
        <v>30</v>
      </c>
      <c r="I734">
        <v>4</v>
      </c>
      <c r="J734">
        <v>7742</v>
      </c>
      <c r="K734" s="7">
        <v>0.1</v>
      </c>
      <c r="L734" t="s">
        <v>38</v>
      </c>
      <c r="M734" t="s">
        <v>39</v>
      </c>
      <c r="N734" t="s">
        <v>23</v>
      </c>
      <c r="O734">
        <v>3.7</v>
      </c>
      <c r="P734">
        <f>VLOOKUP(Table2[[#This Row],[Product_ID]],Table1[#All],8,TRUE)</f>
        <v>0</v>
      </c>
    </row>
    <row r="735" spans="1:16" x14ac:dyDescent="0.3">
      <c r="A735" t="s">
        <v>1609</v>
      </c>
      <c r="B735" s="5" t="s">
        <v>1610</v>
      </c>
      <c r="C735" s="3" t="str">
        <f t="shared" si="11"/>
        <v>25-08-2024</v>
      </c>
      <c r="D735" t="s">
        <v>26</v>
      </c>
      <c r="E735" t="s">
        <v>1066</v>
      </c>
      <c r="F735" t="s">
        <v>98</v>
      </c>
      <c r="G735" t="s">
        <v>37</v>
      </c>
      <c r="H735" t="s">
        <v>30</v>
      </c>
      <c r="I735">
        <v>4</v>
      </c>
      <c r="J735">
        <v>1603</v>
      </c>
      <c r="K735" s="7">
        <v>0.1</v>
      </c>
      <c r="L735" t="s">
        <v>31</v>
      </c>
      <c r="M735" t="s">
        <v>39</v>
      </c>
      <c r="N735" t="s">
        <v>23</v>
      </c>
      <c r="P735">
        <f>VLOOKUP(Table2[[#This Row],[Product_ID]],Table1[#All],8,TRUE)</f>
        <v>700</v>
      </c>
    </row>
    <row r="736" spans="1:16" x14ac:dyDescent="0.3">
      <c r="A736" t="s">
        <v>1611</v>
      </c>
      <c r="B736" s="5" t="s">
        <v>1612</v>
      </c>
      <c r="C736" s="3" t="str">
        <f t="shared" si="11"/>
        <v>08-03-2023</v>
      </c>
      <c r="D736" t="s">
        <v>35</v>
      </c>
      <c r="E736" t="s">
        <v>1324</v>
      </c>
      <c r="F736" t="s">
        <v>43</v>
      </c>
      <c r="G736" t="s">
        <v>19</v>
      </c>
      <c r="H736" t="s">
        <v>99</v>
      </c>
      <c r="I736">
        <v>3</v>
      </c>
      <c r="J736">
        <v>1450</v>
      </c>
      <c r="K736" s="7">
        <v>0.15</v>
      </c>
      <c r="L736" t="s">
        <v>38</v>
      </c>
      <c r="M736" t="s">
        <v>39</v>
      </c>
      <c r="N736" t="s">
        <v>59</v>
      </c>
      <c r="P736">
        <f>VLOOKUP(Table2[[#This Row],[Product_ID]],Table1[#All],8,TRUE)</f>
        <v>1500</v>
      </c>
    </row>
    <row r="737" spans="1:16" x14ac:dyDescent="0.3">
      <c r="A737" t="s">
        <v>1037</v>
      </c>
      <c r="B737" s="5" t="s">
        <v>821</v>
      </c>
      <c r="C737" s="3" t="str">
        <f t="shared" si="11"/>
        <v>19-05-2023</v>
      </c>
      <c r="D737" t="s">
        <v>26</v>
      </c>
      <c r="E737" t="s">
        <v>175</v>
      </c>
      <c r="F737" t="s">
        <v>43</v>
      </c>
      <c r="G737" t="s">
        <v>53</v>
      </c>
      <c r="H737" t="s">
        <v>99</v>
      </c>
      <c r="I737">
        <v>3</v>
      </c>
      <c r="J737">
        <v>5783</v>
      </c>
      <c r="K737" s="7">
        <v>0.05</v>
      </c>
      <c r="L737" t="s">
        <v>31</v>
      </c>
      <c r="M737" t="s">
        <v>39</v>
      </c>
      <c r="N737" t="s">
        <v>59</v>
      </c>
      <c r="O737">
        <v>5</v>
      </c>
      <c r="P737">
        <f>VLOOKUP(Table2[[#This Row],[Product_ID]],Table1[#All],8,TRUE)</f>
        <v>1500</v>
      </c>
    </row>
    <row r="738" spans="1:16" x14ac:dyDescent="0.3">
      <c r="A738" t="s">
        <v>1613</v>
      </c>
      <c r="B738" s="5" t="s">
        <v>1197</v>
      </c>
      <c r="C738" s="3" t="str">
        <f t="shared" si="11"/>
        <v>12-02-2024</v>
      </c>
      <c r="D738" t="s">
        <v>51</v>
      </c>
      <c r="E738" t="s">
        <v>1084</v>
      </c>
      <c r="F738" t="s">
        <v>28</v>
      </c>
      <c r="G738" t="s">
        <v>29</v>
      </c>
      <c r="H738" t="s">
        <v>30</v>
      </c>
      <c r="I738">
        <v>3</v>
      </c>
      <c r="J738">
        <v>1758</v>
      </c>
      <c r="K738" s="7">
        <v>0.1</v>
      </c>
      <c r="L738" t="s">
        <v>31</v>
      </c>
      <c r="M738" t="s">
        <v>22</v>
      </c>
      <c r="N738" t="s">
        <v>23</v>
      </c>
      <c r="O738">
        <v>3.8</v>
      </c>
      <c r="P738">
        <f>VLOOKUP(Table2[[#This Row],[Product_ID]],Table1[#All],8,TRUE)</f>
        <v>0</v>
      </c>
    </row>
    <row r="739" spans="1:16" x14ac:dyDescent="0.3">
      <c r="A739" t="s">
        <v>1614</v>
      </c>
      <c r="B739" s="5" t="s">
        <v>1615</v>
      </c>
      <c r="C739" s="3" t="str">
        <f t="shared" si="11"/>
        <v>11-03-2024</v>
      </c>
      <c r="D739" t="s">
        <v>84</v>
      </c>
      <c r="E739" t="s">
        <v>437</v>
      </c>
      <c r="F739" t="s">
        <v>43</v>
      </c>
      <c r="G739" t="s">
        <v>37</v>
      </c>
      <c r="H739" t="s">
        <v>20</v>
      </c>
      <c r="I739">
        <v>3</v>
      </c>
      <c r="J739">
        <v>3291</v>
      </c>
      <c r="K739" s="7">
        <v>0.2</v>
      </c>
      <c r="L739" t="s">
        <v>31</v>
      </c>
      <c r="M739" t="s">
        <v>22</v>
      </c>
      <c r="N739" t="s">
        <v>59</v>
      </c>
      <c r="O739">
        <v>4.4000000000000004</v>
      </c>
      <c r="P739">
        <f>VLOOKUP(Table2[[#This Row],[Product_ID]],Table1[#All],8,TRUE)</f>
        <v>0</v>
      </c>
    </row>
    <row r="740" spans="1:16" x14ac:dyDescent="0.3">
      <c r="A740" t="s">
        <v>1616</v>
      </c>
      <c r="B740" s="5" t="s">
        <v>530</v>
      </c>
      <c r="C740" s="3" t="str">
        <f t="shared" si="11"/>
        <v>14-11-2023</v>
      </c>
      <c r="D740" t="s">
        <v>114</v>
      </c>
      <c r="E740" t="s">
        <v>300</v>
      </c>
      <c r="F740" t="s">
        <v>57</v>
      </c>
      <c r="G740" t="s">
        <v>37</v>
      </c>
      <c r="H740" t="s">
        <v>30</v>
      </c>
      <c r="I740">
        <v>3</v>
      </c>
      <c r="J740">
        <v>4471</v>
      </c>
      <c r="K740" s="7">
        <v>0</v>
      </c>
      <c r="L740" t="s">
        <v>31</v>
      </c>
      <c r="M740" t="s">
        <v>22</v>
      </c>
      <c r="N740" t="s">
        <v>59</v>
      </c>
      <c r="O740">
        <v>3.6</v>
      </c>
      <c r="P740">
        <f>VLOOKUP(Table2[[#This Row],[Product_ID]],Table1[#All],8,TRUE)</f>
        <v>500</v>
      </c>
    </row>
    <row r="741" spans="1:16" x14ac:dyDescent="0.3">
      <c r="A741" t="s">
        <v>406</v>
      </c>
      <c r="B741" s="5" t="s">
        <v>1617</v>
      </c>
      <c r="C741" s="3" t="str">
        <f t="shared" si="11"/>
        <v>06-03-2023</v>
      </c>
      <c r="D741" t="s">
        <v>46</v>
      </c>
      <c r="E741" t="s">
        <v>149</v>
      </c>
      <c r="F741" t="s">
        <v>43</v>
      </c>
      <c r="G741" t="s">
        <v>29</v>
      </c>
      <c r="H741" t="s">
        <v>30</v>
      </c>
      <c r="I741">
        <v>1</v>
      </c>
      <c r="J741">
        <v>3493</v>
      </c>
      <c r="K741" s="7">
        <v>0.1</v>
      </c>
      <c r="L741" t="s">
        <v>31</v>
      </c>
      <c r="M741" t="s">
        <v>39</v>
      </c>
      <c r="N741" t="s">
        <v>23</v>
      </c>
      <c r="P741">
        <f>VLOOKUP(Table2[[#This Row],[Product_ID]],Table1[#All],8,TRUE)</f>
        <v>500</v>
      </c>
    </row>
    <row r="742" spans="1:16" x14ac:dyDescent="0.3">
      <c r="A742" t="s">
        <v>1618</v>
      </c>
      <c r="B742" s="5" t="s">
        <v>1619</v>
      </c>
      <c r="C742" s="3" t="str">
        <f t="shared" si="11"/>
        <v>26-02-2023</v>
      </c>
      <c r="D742" t="s">
        <v>114</v>
      </c>
      <c r="E742" t="s">
        <v>97</v>
      </c>
      <c r="F742" t="s">
        <v>28</v>
      </c>
      <c r="G742" t="s">
        <v>19</v>
      </c>
      <c r="H742" t="s">
        <v>99</v>
      </c>
      <c r="I742">
        <v>2</v>
      </c>
      <c r="J742">
        <v>7028</v>
      </c>
      <c r="K742" s="7">
        <v>0.1</v>
      </c>
      <c r="L742" t="s">
        <v>21</v>
      </c>
      <c r="M742" t="s">
        <v>39</v>
      </c>
      <c r="N742" t="s">
        <v>48</v>
      </c>
      <c r="O742">
        <v>4.7</v>
      </c>
      <c r="P742">
        <f>VLOOKUP(Table2[[#This Row],[Product_ID]],Table1[#All],8,TRUE)</f>
        <v>500</v>
      </c>
    </row>
    <row r="743" spans="1:16" x14ac:dyDescent="0.3">
      <c r="A743" t="s">
        <v>1620</v>
      </c>
      <c r="B743" s="5" t="s">
        <v>888</v>
      </c>
      <c r="C743" s="3" t="str">
        <f t="shared" si="11"/>
        <v>05-10-2023</v>
      </c>
      <c r="D743" t="s">
        <v>80</v>
      </c>
      <c r="E743" t="s">
        <v>342</v>
      </c>
      <c r="F743" t="s">
        <v>57</v>
      </c>
      <c r="G743" t="s">
        <v>37</v>
      </c>
      <c r="H743" t="s">
        <v>20</v>
      </c>
      <c r="I743">
        <v>5</v>
      </c>
      <c r="J743">
        <v>7605</v>
      </c>
      <c r="K743" s="7">
        <v>0.15</v>
      </c>
      <c r="L743" t="s">
        <v>31</v>
      </c>
      <c r="M743" t="s">
        <v>22</v>
      </c>
      <c r="N743" t="s">
        <v>59</v>
      </c>
      <c r="O743">
        <v>4.7</v>
      </c>
      <c r="P743">
        <f>VLOOKUP(Table2[[#This Row],[Product_ID]],Table1[#All],8,TRUE)</f>
        <v>0</v>
      </c>
    </row>
    <row r="744" spans="1:16" x14ac:dyDescent="0.3">
      <c r="A744" t="s">
        <v>1621</v>
      </c>
      <c r="B744" s="5" t="s">
        <v>1622</v>
      </c>
      <c r="C744" s="3" t="str">
        <f t="shared" si="11"/>
        <v>15-11-2024</v>
      </c>
      <c r="D744" t="s">
        <v>127</v>
      </c>
      <c r="E744" t="s">
        <v>704</v>
      </c>
      <c r="F744" t="s">
        <v>98</v>
      </c>
      <c r="G744" t="s">
        <v>53</v>
      </c>
      <c r="H744" t="s">
        <v>77</v>
      </c>
      <c r="I744">
        <v>2</v>
      </c>
      <c r="J744">
        <v>8431</v>
      </c>
      <c r="K744" s="7">
        <v>0.15</v>
      </c>
      <c r="L744" t="s">
        <v>58</v>
      </c>
      <c r="M744" t="s">
        <v>39</v>
      </c>
      <c r="N744" t="s">
        <v>48</v>
      </c>
      <c r="O744">
        <v>3.7</v>
      </c>
      <c r="P744">
        <f>VLOOKUP(Table2[[#This Row],[Product_ID]],Table1[#All],8,TRUE)</f>
        <v>1200</v>
      </c>
    </row>
    <row r="745" spans="1:16" x14ac:dyDescent="0.3">
      <c r="A745" t="s">
        <v>60</v>
      </c>
      <c r="B745" s="5" t="s">
        <v>1623</v>
      </c>
      <c r="C745" s="3" t="str">
        <f t="shared" si="11"/>
        <v>05-10-2024</v>
      </c>
      <c r="D745" t="s">
        <v>131</v>
      </c>
      <c r="E745" t="s">
        <v>736</v>
      </c>
      <c r="F745" t="s">
        <v>43</v>
      </c>
      <c r="G745" t="s">
        <v>37</v>
      </c>
      <c r="H745" t="s">
        <v>20</v>
      </c>
      <c r="I745">
        <v>2</v>
      </c>
      <c r="J745">
        <v>1826</v>
      </c>
      <c r="K745" s="7">
        <v>0.1</v>
      </c>
      <c r="L745" t="s">
        <v>38</v>
      </c>
      <c r="M745" t="s">
        <v>39</v>
      </c>
      <c r="N745" t="s">
        <v>59</v>
      </c>
      <c r="O745">
        <v>3.7</v>
      </c>
      <c r="P745">
        <f>VLOOKUP(Table2[[#This Row],[Product_ID]],Table1[#All],8,TRUE)</f>
        <v>0</v>
      </c>
    </row>
    <row r="746" spans="1:16" x14ac:dyDescent="0.3">
      <c r="A746" t="s">
        <v>1624</v>
      </c>
      <c r="B746" s="5" t="s">
        <v>1625</v>
      </c>
      <c r="C746" s="3" t="str">
        <f t="shared" si="11"/>
        <v>22-05-2024</v>
      </c>
      <c r="D746" t="s">
        <v>84</v>
      </c>
      <c r="E746" t="s">
        <v>577</v>
      </c>
      <c r="F746" t="s">
        <v>73</v>
      </c>
      <c r="G746" t="s">
        <v>29</v>
      </c>
      <c r="H746" t="s">
        <v>77</v>
      </c>
      <c r="I746">
        <v>4</v>
      </c>
      <c r="J746">
        <v>6067</v>
      </c>
      <c r="K746" s="7">
        <v>0</v>
      </c>
      <c r="L746" t="s">
        <v>21</v>
      </c>
      <c r="M746" t="s">
        <v>39</v>
      </c>
      <c r="N746" t="s">
        <v>48</v>
      </c>
      <c r="O746">
        <v>4.7</v>
      </c>
      <c r="P746">
        <f>VLOOKUP(Table2[[#This Row],[Product_ID]],Table1[#All],8,TRUE)</f>
        <v>900</v>
      </c>
    </row>
    <row r="747" spans="1:16" x14ac:dyDescent="0.3">
      <c r="A747" t="s">
        <v>1626</v>
      </c>
      <c r="B747" s="5" t="s">
        <v>1627</v>
      </c>
      <c r="C747" s="3" t="str">
        <f t="shared" si="11"/>
        <v>24-12-2023</v>
      </c>
      <c r="D747" t="s">
        <v>127</v>
      </c>
      <c r="E747" t="s">
        <v>1101</v>
      </c>
      <c r="F747" t="s">
        <v>18</v>
      </c>
      <c r="G747" t="s">
        <v>19</v>
      </c>
      <c r="H747" t="s">
        <v>77</v>
      </c>
      <c r="I747">
        <v>2</v>
      </c>
      <c r="J747">
        <v>7392</v>
      </c>
      <c r="K747" s="7">
        <v>0.1</v>
      </c>
      <c r="L747" t="s">
        <v>21</v>
      </c>
      <c r="M747" t="s">
        <v>22</v>
      </c>
      <c r="N747" t="s">
        <v>23</v>
      </c>
      <c r="O747">
        <v>3.6</v>
      </c>
      <c r="P747">
        <f>VLOOKUP(Table2[[#This Row],[Product_ID]],Table1[#All],8,TRUE)</f>
        <v>0</v>
      </c>
    </row>
    <row r="748" spans="1:16" x14ac:dyDescent="0.3">
      <c r="A748" t="s">
        <v>1516</v>
      </c>
      <c r="B748" s="5" t="s">
        <v>1628</v>
      </c>
      <c r="C748" s="3" t="str">
        <f t="shared" si="11"/>
        <v>15-09-2023</v>
      </c>
      <c r="D748" t="s">
        <v>127</v>
      </c>
      <c r="E748" t="s">
        <v>768</v>
      </c>
      <c r="F748" t="s">
        <v>64</v>
      </c>
      <c r="G748" t="s">
        <v>53</v>
      </c>
      <c r="H748" t="s">
        <v>20</v>
      </c>
      <c r="I748">
        <v>1</v>
      </c>
      <c r="J748">
        <v>1246</v>
      </c>
      <c r="K748" s="7">
        <v>0.05</v>
      </c>
      <c r="L748" t="s">
        <v>38</v>
      </c>
      <c r="M748" t="s">
        <v>22</v>
      </c>
      <c r="N748" t="s">
        <v>23</v>
      </c>
      <c r="P748">
        <f>VLOOKUP(Table2[[#This Row],[Product_ID]],Table1[#All],8,TRUE)</f>
        <v>900</v>
      </c>
    </row>
    <row r="749" spans="1:16" x14ac:dyDescent="0.3">
      <c r="A749" t="s">
        <v>1629</v>
      </c>
      <c r="B749" s="5" t="s">
        <v>1630</v>
      </c>
      <c r="C749" s="3" t="str">
        <f t="shared" si="11"/>
        <v>29-05-2024</v>
      </c>
      <c r="D749" t="s">
        <v>84</v>
      </c>
      <c r="E749" t="s">
        <v>476</v>
      </c>
      <c r="F749" t="s">
        <v>43</v>
      </c>
      <c r="G749" t="s">
        <v>37</v>
      </c>
      <c r="H749" t="s">
        <v>99</v>
      </c>
      <c r="I749">
        <v>5</v>
      </c>
      <c r="J749">
        <v>9446</v>
      </c>
      <c r="K749" s="7">
        <v>0.05</v>
      </c>
      <c r="L749" t="s">
        <v>38</v>
      </c>
      <c r="M749" t="s">
        <v>39</v>
      </c>
      <c r="N749" t="s">
        <v>59</v>
      </c>
      <c r="P749">
        <f>VLOOKUP(Table2[[#This Row],[Product_ID]],Table1[#All],8,TRUE)</f>
        <v>1200</v>
      </c>
    </row>
    <row r="750" spans="1:16" x14ac:dyDescent="0.3">
      <c r="A750" t="s">
        <v>1631</v>
      </c>
      <c r="B750" s="5" t="s">
        <v>1632</v>
      </c>
      <c r="C750" s="3" t="str">
        <f t="shared" si="11"/>
        <v>18-02-2023</v>
      </c>
      <c r="D750" t="s">
        <v>67</v>
      </c>
      <c r="E750" t="s">
        <v>1331</v>
      </c>
      <c r="F750" t="s">
        <v>28</v>
      </c>
      <c r="G750" t="s">
        <v>29</v>
      </c>
      <c r="H750" t="s">
        <v>20</v>
      </c>
      <c r="I750">
        <v>4</v>
      </c>
      <c r="J750">
        <v>2893</v>
      </c>
      <c r="K750" s="7">
        <v>0.15</v>
      </c>
      <c r="L750" t="s">
        <v>58</v>
      </c>
      <c r="M750" t="s">
        <v>22</v>
      </c>
      <c r="N750" t="s">
        <v>23</v>
      </c>
      <c r="P750">
        <f>VLOOKUP(Table2[[#This Row],[Product_ID]],Table1[#All],8,TRUE)</f>
        <v>500</v>
      </c>
    </row>
    <row r="751" spans="1:16" x14ac:dyDescent="0.3">
      <c r="A751" t="s">
        <v>1633</v>
      </c>
      <c r="B751" s="5" t="s">
        <v>1634</v>
      </c>
      <c r="C751" s="3" t="str">
        <f t="shared" si="11"/>
        <v>07-07-2023</v>
      </c>
      <c r="D751" t="s">
        <v>91</v>
      </c>
      <c r="E751" t="s">
        <v>1635</v>
      </c>
      <c r="F751" t="s">
        <v>43</v>
      </c>
      <c r="G751" t="s">
        <v>29</v>
      </c>
      <c r="H751" t="s">
        <v>77</v>
      </c>
      <c r="I751">
        <v>3</v>
      </c>
      <c r="J751">
        <v>2013</v>
      </c>
      <c r="K751" s="7">
        <v>0.05</v>
      </c>
      <c r="L751" t="s">
        <v>31</v>
      </c>
      <c r="M751" t="s">
        <v>39</v>
      </c>
      <c r="N751" t="s">
        <v>32</v>
      </c>
      <c r="P751">
        <f>VLOOKUP(Table2[[#This Row],[Product_ID]],Table1[#All],8,TRUE)</f>
        <v>500</v>
      </c>
    </row>
    <row r="752" spans="1:16" x14ac:dyDescent="0.3">
      <c r="A752" t="s">
        <v>1636</v>
      </c>
      <c r="B752" s="5" t="s">
        <v>1637</v>
      </c>
      <c r="C752" s="3" t="str">
        <f t="shared" si="11"/>
        <v>16-06-2023</v>
      </c>
      <c r="D752" t="s">
        <v>67</v>
      </c>
      <c r="E752" t="s">
        <v>1571</v>
      </c>
      <c r="F752" t="s">
        <v>43</v>
      </c>
      <c r="G752" t="s">
        <v>19</v>
      </c>
      <c r="H752" t="s">
        <v>77</v>
      </c>
      <c r="I752">
        <v>3</v>
      </c>
      <c r="J752">
        <v>1954</v>
      </c>
      <c r="K752" s="7">
        <v>0.2</v>
      </c>
      <c r="L752" t="s">
        <v>31</v>
      </c>
      <c r="M752" t="s">
        <v>22</v>
      </c>
      <c r="N752" t="s">
        <v>23</v>
      </c>
      <c r="P752">
        <f>VLOOKUP(Table2[[#This Row],[Product_ID]],Table1[#All],8,TRUE)</f>
        <v>1500</v>
      </c>
    </row>
    <row r="753" spans="1:16" x14ac:dyDescent="0.3">
      <c r="A753" t="s">
        <v>1638</v>
      </c>
      <c r="B753" s="5" t="s">
        <v>1639</v>
      </c>
      <c r="C753" s="3" t="str">
        <f t="shared" si="11"/>
        <v>03-03-2024</v>
      </c>
      <c r="D753" t="s">
        <v>96</v>
      </c>
      <c r="E753" t="s">
        <v>758</v>
      </c>
      <c r="F753" t="s">
        <v>64</v>
      </c>
      <c r="G753" t="s">
        <v>29</v>
      </c>
      <c r="H753" t="s">
        <v>99</v>
      </c>
      <c r="I753">
        <v>5</v>
      </c>
      <c r="J753">
        <v>9713</v>
      </c>
      <c r="K753" s="7">
        <v>0.2</v>
      </c>
      <c r="L753" t="s">
        <v>38</v>
      </c>
      <c r="M753" t="s">
        <v>22</v>
      </c>
      <c r="N753" t="s">
        <v>23</v>
      </c>
      <c r="P753">
        <f>VLOOKUP(Table2[[#This Row],[Product_ID]],Table1[#All],8,TRUE)</f>
        <v>1500</v>
      </c>
    </row>
    <row r="754" spans="1:16" x14ac:dyDescent="0.3">
      <c r="A754" t="s">
        <v>1640</v>
      </c>
      <c r="B754" s="5" t="s">
        <v>1641</v>
      </c>
      <c r="C754" s="3" t="str">
        <f t="shared" si="11"/>
        <v>19-11-2023</v>
      </c>
      <c r="D754" t="s">
        <v>84</v>
      </c>
      <c r="E754" t="s">
        <v>765</v>
      </c>
      <c r="F754" t="s">
        <v>64</v>
      </c>
      <c r="G754" t="s">
        <v>37</v>
      </c>
      <c r="H754" t="s">
        <v>30</v>
      </c>
      <c r="I754">
        <v>4</v>
      </c>
      <c r="J754">
        <v>4367</v>
      </c>
      <c r="K754" s="7">
        <v>0.15</v>
      </c>
      <c r="L754" t="s">
        <v>38</v>
      </c>
      <c r="M754" t="s">
        <v>22</v>
      </c>
      <c r="N754" t="s">
        <v>23</v>
      </c>
      <c r="O754">
        <v>4.9000000000000004</v>
      </c>
      <c r="P754">
        <f>VLOOKUP(Table2[[#This Row],[Product_ID]],Table1[#All],8,TRUE)</f>
        <v>500</v>
      </c>
    </row>
    <row r="755" spans="1:16" x14ac:dyDescent="0.3">
      <c r="A755" t="s">
        <v>1418</v>
      </c>
      <c r="B755" s="5" t="s">
        <v>1642</v>
      </c>
      <c r="C755" s="3" t="str">
        <f t="shared" si="11"/>
        <v>20-05-2023</v>
      </c>
      <c r="D755" t="s">
        <v>35</v>
      </c>
      <c r="E755" t="s">
        <v>695</v>
      </c>
      <c r="F755" t="s">
        <v>18</v>
      </c>
      <c r="G755" t="s">
        <v>37</v>
      </c>
      <c r="H755" t="s">
        <v>77</v>
      </c>
      <c r="I755">
        <v>1</v>
      </c>
      <c r="J755">
        <v>2452</v>
      </c>
      <c r="K755" s="7">
        <v>0.1</v>
      </c>
      <c r="L755" t="s">
        <v>58</v>
      </c>
      <c r="M755" t="s">
        <v>22</v>
      </c>
      <c r="N755" t="s">
        <v>59</v>
      </c>
      <c r="O755">
        <v>3.4</v>
      </c>
      <c r="P755">
        <f>VLOOKUP(Table2[[#This Row],[Product_ID]],Table1[#All],8,TRUE)</f>
        <v>0</v>
      </c>
    </row>
    <row r="756" spans="1:16" x14ac:dyDescent="0.3">
      <c r="A756" t="s">
        <v>1180</v>
      </c>
      <c r="B756" s="5" t="s">
        <v>1643</v>
      </c>
      <c r="C756" s="3" t="str">
        <f t="shared" si="11"/>
        <v>20-01-2024</v>
      </c>
      <c r="D756" t="s">
        <v>91</v>
      </c>
      <c r="E756" t="s">
        <v>250</v>
      </c>
      <c r="F756" t="s">
        <v>98</v>
      </c>
      <c r="G756" t="s">
        <v>29</v>
      </c>
      <c r="H756" t="s">
        <v>77</v>
      </c>
      <c r="I756">
        <v>3</v>
      </c>
      <c r="J756">
        <v>8817</v>
      </c>
      <c r="K756" s="7">
        <v>0</v>
      </c>
      <c r="L756" t="s">
        <v>31</v>
      </c>
      <c r="M756" t="s">
        <v>39</v>
      </c>
      <c r="N756" t="s">
        <v>59</v>
      </c>
      <c r="P756">
        <f>VLOOKUP(Table2[[#This Row],[Product_ID]],Table1[#All],8,TRUE)</f>
        <v>1200</v>
      </c>
    </row>
    <row r="757" spans="1:16" x14ac:dyDescent="0.3">
      <c r="A757" t="s">
        <v>1644</v>
      </c>
      <c r="B757" s="5" t="s">
        <v>1645</v>
      </c>
      <c r="C757" s="3" t="str">
        <f t="shared" si="11"/>
        <v>21-01-2023</v>
      </c>
      <c r="D757" t="s">
        <v>80</v>
      </c>
      <c r="E757" t="s">
        <v>1481</v>
      </c>
      <c r="F757" t="s">
        <v>18</v>
      </c>
      <c r="G757" t="s">
        <v>19</v>
      </c>
      <c r="H757" t="s">
        <v>30</v>
      </c>
      <c r="I757">
        <v>5</v>
      </c>
      <c r="J757">
        <v>2056</v>
      </c>
      <c r="K757" s="7">
        <v>0.05</v>
      </c>
      <c r="L757" t="s">
        <v>31</v>
      </c>
      <c r="M757" t="s">
        <v>39</v>
      </c>
      <c r="N757" t="s">
        <v>23</v>
      </c>
      <c r="P757">
        <f>VLOOKUP(Table2[[#This Row],[Product_ID]],Table1[#All],8,TRUE)</f>
        <v>1500</v>
      </c>
    </row>
    <row r="758" spans="1:16" x14ac:dyDescent="0.3">
      <c r="A758" t="s">
        <v>1646</v>
      </c>
      <c r="B758" s="5" t="s">
        <v>1647</v>
      </c>
      <c r="C758" s="3" t="str">
        <f t="shared" si="11"/>
        <v>27-12-2023</v>
      </c>
      <c r="D758" t="s">
        <v>96</v>
      </c>
      <c r="E758" t="s">
        <v>1179</v>
      </c>
      <c r="F758" t="s">
        <v>28</v>
      </c>
      <c r="G758" t="s">
        <v>29</v>
      </c>
      <c r="H758" t="s">
        <v>20</v>
      </c>
      <c r="I758">
        <v>3</v>
      </c>
      <c r="J758">
        <v>3216</v>
      </c>
      <c r="K758" s="7">
        <v>0</v>
      </c>
      <c r="L758" t="s">
        <v>38</v>
      </c>
      <c r="M758" t="s">
        <v>39</v>
      </c>
      <c r="N758" t="s">
        <v>32</v>
      </c>
      <c r="O758">
        <v>4.3</v>
      </c>
      <c r="P758">
        <f>VLOOKUP(Table2[[#This Row],[Product_ID]],Table1[#All],8,TRUE)</f>
        <v>1200</v>
      </c>
    </row>
    <row r="759" spans="1:16" x14ac:dyDescent="0.3">
      <c r="A759" t="s">
        <v>1648</v>
      </c>
      <c r="B759" s="5" t="s">
        <v>1649</v>
      </c>
      <c r="C759" s="3" t="str">
        <f t="shared" si="11"/>
        <v>15-06-2023</v>
      </c>
      <c r="D759" t="s">
        <v>62</v>
      </c>
      <c r="E759" t="s">
        <v>869</v>
      </c>
      <c r="F759" t="s">
        <v>64</v>
      </c>
      <c r="G759" t="s">
        <v>29</v>
      </c>
      <c r="H759" t="s">
        <v>99</v>
      </c>
      <c r="I759">
        <v>1</v>
      </c>
      <c r="J759">
        <v>1025</v>
      </c>
      <c r="K759" s="7">
        <v>0.05</v>
      </c>
      <c r="L759" t="s">
        <v>31</v>
      </c>
      <c r="M759" t="s">
        <v>22</v>
      </c>
      <c r="N759" t="s">
        <v>59</v>
      </c>
      <c r="O759">
        <v>4.4000000000000004</v>
      </c>
      <c r="P759">
        <f>VLOOKUP(Table2[[#This Row],[Product_ID]],Table1[#All],8,TRUE)</f>
        <v>900</v>
      </c>
    </row>
    <row r="760" spans="1:16" x14ac:dyDescent="0.3">
      <c r="A760" t="s">
        <v>1650</v>
      </c>
      <c r="B760" s="5" t="s">
        <v>715</v>
      </c>
      <c r="C760" s="3" t="str">
        <f t="shared" si="11"/>
        <v>20-03-2023</v>
      </c>
      <c r="D760" t="s">
        <v>62</v>
      </c>
      <c r="E760" t="s">
        <v>1651</v>
      </c>
      <c r="F760" t="s">
        <v>98</v>
      </c>
      <c r="G760" t="s">
        <v>53</v>
      </c>
      <c r="H760" t="s">
        <v>99</v>
      </c>
      <c r="I760">
        <v>4</v>
      </c>
      <c r="J760">
        <v>6046</v>
      </c>
      <c r="K760" s="7">
        <v>0.15</v>
      </c>
      <c r="L760" t="s">
        <v>58</v>
      </c>
      <c r="M760" t="s">
        <v>22</v>
      </c>
      <c r="N760" t="s">
        <v>23</v>
      </c>
      <c r="O760">
        <v>4.0999999999999996</v>
      </c>
      <c r="P760">
        <f>VLOOKUP(Table2[[#This Row],[Product_ID]],Table1[#All],8,TRUE)</f>
        <v>500</v>
      </c>
    </row>
    <row r="761" spans="1:16" x14ac:dyDescent="0.3">
      <c r="A761" t="s">
        <v>1652</v>
      </c>
      <c r="B761" s="5" t="s">
        <v>488</v>
      </c>
      <c r="C761" s="3" t="str">
        <f t="shared" si="11"/>
        <v>24-04-2023</v>
      </c>
      <c r="D761" t="s">
        <v>131</v>
      </c>
      <c r="E761" t="s">
        <v>1653</v>
      </c>
      <c r="F761" t="s">
        <v>98</v>
      </c>
      <c r="G761" t="s">
        <v>53</v>
      </c>
      <c r="H761" t="s">
        <v>99</v>
      </c>
      <c r="I761">
        <v>5</v>
      </c>
      <c r="J761">
        <v>8544</v>
      </c>
      <c r="K761" s="7">
        <v>0.05</v>
      </c>
      <c r="L761" t="s">
        <v>31</v>
      </c>
      <c r="M761" t="s">
        <v>39</v>
      </c>
      <c r="N761" t="s">
        <v>32</v>
      </c>
      <c r="P761">
        <f>VLOOKUP(Table2[[#This Row],[Product_ID]],Table1[#All],8,TRUE)</f>
        <v>700</v>
      </c>
    </row>
    <row r="762" spans="1:16" x14ac:dyDescent="0.3">
      <c r="A762" t="s">
        <v>1409</v>
      </c>
      <c r="B762" s="5" t="s">
        <v>1654</v>
      </c>
      <c r="C762" s="3" t="str">
        <f t="shared" si="11"/>
        <v>02-06-2023</v>
      </c>
      <c r="D762" t="s">
        <v>80</v>
      </c>
      <c r="E762" t="s">
        <v>883</v>
      </c>
      <c r="F762" t="s">
        <v>43</v>
      </c>
      <c r="G762" t="s">
        <v>37</v>
      </c>
      <c r="H762" t="s">
        <v>20</v>
      </c>
      <c r="I762">
        <v>4</v>
      </c>
      <c r="J762">
        <v>9636</v>
      </c>
      <c r="K762" s="7">
        <v>0.05</v>
      </c>
      <c r="L762" t="s">
        <v>38</v>
      </c>
      <c r="M762" t="s">
        <v>39</v>
      </c>
      <c r="N762" t="s">
        <v>32</v>
      </c>
      <c r="O762">
        <v>3.6</v>
      </c>
      <c r="P762">
        <f>VLOOKUP(Table2[[#This Row],[Product_ID]],Table1[#All],8,TRUE)</f>
        <v>500</v>
      </c>
    </row>
    <row r="763" spans="1:16" x14ac:dyDescent="0.3">
      <c r="A763" t="s">
        <v>1218</v>
      </c>
      <c r="B763" s="5" t="s">
        <v>1655</v>
      </c>
      <c r="C763" s="3" t="str">
        <f t="shared" si="11"/>
        <v>01-05-2023</v>
      </c>
      <c r="D763" t="s">
        <v>80</v>
      </c>
      <c r="E763" t="s">
        <v>1097</v>
      </c>
      <c r="F763" t="s">
        <v>98</v>
      </c>
      <c r="G763" t="s">
        <v>53</v>
      </c>
      <c r="H763" t="s">
        <v>20</v>
      </c>
      <c r="I763">
        <v>2</v>
      </c>
      <c r="J763">
        <v>3772</v>
      </c>
      <c r="K763" s="7">
        <v>0.05</v>
      </c>
      <c r="L763" t="s">
        <v>21</v>
      </c>
      <c r="M763" t="s">
        <v>39</v>
      </c>
      <c r="N763" t="s">
        <v>48</v>
      </c>
      <c r="O763">
        <v>4.5</v>
      </c>
      <c r="P763">
        <f>VLOOKUP(Table2[[#This Row],[Product_ID]],Table1[#All],8,TRUE)</f>
        <v>1500</v>
      </c>
    </row>
    <row r="764" spans="1:16" x14ac:dyDescent="0.3">
      <c r="A764" t="s">
        <v>1656</v>
      </c>
      <c r="B764" s="5" t="s">
        <v>1657</v>
      </c>
      <c r="C764" s="3" t="str">
        <f t="shared" si="11"/>
        <v>11-06-2024</v>
      </c>
      <c r="D764" t="s">
        <v>16</v>
      </c>
      <c r="E764" t="s">
        <v>201</v>
      </c>
      <c r="F764" t="s">
        <v>18</v>
      </c>
      <c r="G764" t="s">
        <v>19</v>
      </c>
      <c r="H764" t="s">
        <v>99</v>
      </c>
      <c r="I764">
        <v>1</v>
      </c>
      <c r="J764">
        <v>3443</v>
      </c>
      <c r="K764" s="7">
        <v>0.2</v>
      </c>
      <c r="L764" t="s">
        <v>58</v>
      </c>
      <c r="M764" t="s">
        <v>39</v>
      </c>
      <c r="N764" t="s">
        <v>48</v>
      </c>
      <c r="P764">
        <f>VLOOKUP(Table2[[#This Row],[Product_ID]],Table1[#All],8,TRUE)</f>
        <v>1200</v>
      </c>
    </row>
    <row r="765" spans="1:16" x14ac:dyDescent="0.3">
      <c r="A765" t="s">
        <v>1658</v>
      </c>
      <c r="B765" s="5" t="s">
        <v>1659</v>
      </c>
      <c r="C765" s="3" t="str">
        <f t="shared" si="11"/>
        <v>09-08-2024</v>
      </c>
      <c r="D765" t="s">
        <v>67</v>
      </c>
      <c r="E765" t="s">
        <v>1270</v>
      </c>
      <c r="F765" t="s">
        <v>28</v>
      </c>
      <c r="G765" t="s">
        <v>29</v>
      </c>
      <c r="H765" t="s">
        <v>99</v>
      </c>
      <c r="I765">
        <v>2</v>
      </c>
      <c r="J765">
        <v>9731</v>
      </c>
      <c r="K765" s="7">
        <v>0</v>
      </c>
      <c r="L765" t="s">
        <v>38</v>
      </c>
      <c r="M765" t="s">
        <v>22</v>
      </c>
      <c r="N765" t="s">
        <v>23</v>
      </c>
      <c r="P765">
        <f>VLOOKUP(Table2[[#This Row],[Product_ID]],Table1[#All],8,TRUE)</f>
        <v>500</v>
      </c>
    </row>
    <row r="766" spans="1:16" x14ac:dyDescent="0.3">
      <c r="A766" t="s">
        <v>1660</v>
      </c>
      <c r="B766" s="5" t="s">
        <v>1661</v>
      </c>
      <c r="C766" s="3" t="str">
        <f t="shared" si="11"/>
        <v>04-01-2023</v>
      </c>
      <c r="D766" t="s">
        <v>91</v>
      </c>
      <c r="E766" t="s">
        <v>1662</v>
      </c>
      <c r="F766" t="s">
        <v>98</v>
      </c>
      <c r="G766" t="s">
        <v>29</v>
      </c>
      <c r="H766" t="s">
        <v>20</v>
      </c>
      <c r="I766">
        <v>3</v>
      </c>
      <c r="J766">
        <v>1347</v>
      </c>
      <c r="K766" s="7">
        <v>0.2</v>
      </c>
      <c r="L766" t="s">
        <v>58</v>
      </c>
      <c r="M766" t="s">
        <v>22</v>
      </c>
      <c r="N766" t="s">
        <v>59</v>
      </c>
      <c r="O766">
        <v>3.8</v>
      </c>
      <c r="P766">
        <f>VLOOKUP(Table2[[#This Row],[Product_ID]],Table1[#All],8,TRUE)</f>
        <v>1500</v>
      </c>
    </row>
    <row r="767" spans="1:16" x14ac:dyDescent="0.3">
      <c r="A767" t="s">
        <v>1663</v>
      </c>
      <c r="B767" s="5" t="s">
        <v>168</v>
      </c>
      <c r="C767" s="3" t="str">
        <f t="shared" si="11"/>
        <v>17-12-2024</v>
      </c>
      <c r="D767" t="s">
        <v>46</v>
      </c>
      <c r="E767" t="s">
        <v>917</v>
      </c>
      <c r="F767" t="s">
        <v>18</v>
      </c>
      <c r="G767" t="s">
        <v>37</v>
      </c>
      <c r="H767" t="s">
        <v>77</v>
      </c>
      <c r="I767">
        <v>4</v>
      </c>
      <c r="J767">
        <v>8965</v>
      </c>
      <c r="K767" s="7">
        <v>0</v>
      </c>
      <c r="L767" t="s">
        <v>58</v>
      </c>
      <c r="M767" t="s">
        <v>22</v>
      </c>
      <c r="N767" t="s">
        <v>23</v>
      </c>
      <c r="O767">
        <v>3.2</v>
      </c>
      <c r="P767">
        <f>VLOOKUP(Table2[[#This Row],[Product_ID]],Table1[#All],8,TRUE)</f>
        <v>900</v>
      </c>
    </row>
    <row r="768" spans="1:16" x14ac:dyDescent="0.3">
      <c r="A768" t="s">
        <v>1505</v>
      </c>
      <c r="B768" s="5" t="s">
        <v>1664</v>
      </c>
      <c r="C768" s="3" t="str">
        <f t="shared" si="11"/>
        <v>09-11-2024</v>
      </c>
      <c r="D768" t="s">
        <v>127</v>
      </c>
      <c r="E768" t="s">
        <v>577</v>
      </c>
      <c r="F768" t="s">
        <v>64</v>
      </c>
      <c r="G768" t="s">
        <v>29</v>
      </c>
      <c r="H768" t="s">
        <v>30</v>
      </c>
      <c r="I768">
        <v>5</v>
      </c>
      <c r="J768">
        <v>3062</v>
      </c>
      <c r="K768" s="7">
        <v>0.05</v>
      </c>
      <c r="L768" t="s">
        <v>58</v>
      </c>
      <c r="M768" t="s">
        <v>22</v>
      </c>
      <c r="N768" t="s">
        <v>48</v>
      </c>
      <c r="O768">
        <v>3</v>
      </c>
      <c r="P768">
        <f>VLOOKUP(Table2[[#This Row],[Product_ID]],Table1[#All],8,TRUE)</f>
        <v>900</v>
      </c>
    </row>
    <row r="769" spans="1:16" x14ac:dyDescent="0.3">
      <c r="A769" t="s">
        <v>1665</v>
      </c>
      <c r="B769" s="5" t="s">
        <v>318</v>
      </c>
      <c r="C769" s="3" t="str">
        <f t="shared" si="11"/>
        <v>21-02-2024</v>
      </c>
      <c r="D769" t="s">
        <v>62</v>
      </c>
      <c r="E769" t="s">
        <v>1129</v>
      </c>
      <c r="F769" t="s">
        <v>57</v>
      </c>
      <c r="G769" t="s">
        <v>19</v>
      </c>
      <c r="H769" t="s">
        <v>77</v>
      </c>
      <c r="I769">
        <v>1</v>
      </c>
      <c r="J769">
        <v>4278</v>
      </c>
      <c r="K769" s="7">
        <v>0.05</v>
      </c>
      <c r="L769" t="s">
        <v>38</v>
      </c>
      <c r="M769" t="s">
        <v>22</v>
      </c>
      <c r="N769" t="s">
        <v>48</v>
      </c>
      <c r="P769">
        <f>VLOOKUP(Table2[[#This Row],[Product_ID]],Table1[#All],8,TRUE)</f>
        <v>1500</v>
      </c>
    </row>
    <row r="770" spans="1:16" x14ac:dyDescent="0.3">
      <c r="A770" t="s">
        <v>1579</v>
      </c>
      <c r="B770" s="5" t="s">
        <v>1666</v>
      </c>
      <c r="C770" s="3" t="str">
        <f t="shared" ref="C770:C833" si="12">TEXT(B770,"dd-mm-yyyy")</f>
        <v>18-06-2024</v>
      </c>
      <c r="D770" t="s">
        <v>131</v>
      </c>
      <c r="E770" t="s">
        <v>342</v>
      </c>
      <c r="F770" t="s">
        <v>73</v>
      </c>
      <c r="G770" t="s">
        <v>53</v>
      </c>
      <c r="H770" t="s">
        <v>30</v>
      </c>
      <c r="I770">
        <v>4</v>
      </c>
      <c r="J770">
        <v>6621</v>
      </c>
      <c r="K770" s="7">
        <v>0</v>
      </c>
      <c r="L770" t="s">
        <v>58</v>
      </c>
      <c r="M770" t="s">
        <v>39</v>
      </c>
      <c r="N770" t="s">
        <v>59</v>
      </c>
      <c r="P770">
        <f>VLOOKUP(Table2[[#This Row],[Product_ID]],Table1[#All],8,TRUE)</f>
        <v>0</v>
      </c>
    </row>
    <row r="771" spans="1:16" x14ac:dyDescent="0.3">
      <c r="A771" t="s">
        <v>1667</v>
      </c>
      <c r="B771" s="5" t="s">
        <v>1668</v>
      </c>
      <c r="C771" s="3" t="str">
        <f t="shared" si="12"/>
        <v>22-08-2024</v>
      </c>
      <c r="D771" t="s">
        <v>131</v>
      </c>
      <c r="E771" t="s">
        <v>201</v>
      </c>
      <c r="F771" t="s">
        <v>64</v>
      </c>
      <c r="G771" t="s">
        <v>53</v>
      </c>
      <c r="H771" t="s">
        <v>20</v>
      </c>
      <c r="I771">
        <v>1</v>
      </c>
      <c r="J771">
        <v>3619</v>
      </c>
      <c r="K771" s="7">
        <v>0.05</v>
      </c>
      <c r="L771" t="s">
        <v>21</v>
      </c>
      <c r="M771" t="s">
        <v>22</v>
      </c>
      <c r="N771" t="s">
        <v>23</v>
      </c>
      <c r="P771">
        <f>VLOOKUP(Table2[[#This Row],[Product_ID]],Table1[#All],8,TRUE)</f>
        <v>1200</v>
      </c>
    </row>
    <row r="772" spans="1:16" x14ac:dyDescent="0.3">
      <c r="A772" t="s">
        <v>1669</v>
      </c>
      <c r="B772" s="5" t="s">
        <v>1670</v>
      </c>
      <c r="C772" s="3" t="str">
        <f t="shared" si="12"/>
        <v>06-08-2024</v>
      </c>
      <c r="D772" t="s">
        <v>131</v>
      </c>
      <c r="E772" t="s">
        <v>518</v>
      </c>
      <c r="F772" t="s">
        <v>57</v>
      </c>
      <c r="G772" t="s">
        <v>19</v>
      </c>
      <c r="H772" t="s">
        <v>99</v>
      </c>
      <c r="I772">
        <v>1</v>
      </c>
      <c r="J772">
        <v>9794</v>
      </c>
      <c r="K772" s="7">
        <v>0.1</v>
      </c>
      <c r="L772" t="s">
        <v>38</v>
      </c>
      <c r="M772" t="s">
        <v>22</v>
      </c>
      <c r="N772" t="s">
        <v>48</v>
      </c>
      <c r="O772">
        <v>4.8</v>
      </c>
      <c r="P772">
        <f>VLOOKUP(Table2[[#This Row],[Product_ID]],Table1[#All],8,TRUE)</f>
        <v>1200</v>
      </c>
    </row>
    <row r="773" spans="1:16" x14ac:dyDescent="0.3">
      <c r="A773" t="s">
        <v>505</v>
      </c>
      <c r="B773" s="5" t="s">
        <v>1671</v>
      </c>
      <c r="C773" s="3" t="str">
        <f t="shared" si="12"/>
        <v>09-08-2024</v>
      </c>
      <c r="D773" t="s">
        <v>62</v>
      </c>
      <c r="E773" t="s">
        <v>420</v>
      </c>
      <c r="F773" t="s">
        <v>43</v>
      </c>
      <c r="G773" t="s">
        <v>37</v>
      </c>
      <c r="H773" t="s">
        <v>77</v>
      </c>
      <c r="I773">
        <v>1</v>
      </c>
      <c r="J773">
        <v>1712</v>
      </c>
      <c r="K773" s="7">
        <v>0.1</v>
      </c>
      <c r="L773" t="s">
        <v>58</v>
      </c>
      <c r="M773" t="s">
        <v>39</v>
      </c>
      <c r="N773" t="s">
        <v>48</v>
      </c>
      <c r="O773">
        <v>3.2</v>
      </c>
      <c r="P773">
        <f>VLOOKUP(Table2[[#This Row],[Product_ID]],Table1[#All],8,TRUE)</f>
        <v>500</v>
      </c>
    </row>
    <row r="774" spans="1:16" x14ac:dyDescent="0.3">
      <c r="A774" t="s">
        <v>1332</v>
      </c>
      <c r="B774" s="5" t="s">
        <v>1672</v>
      </c>
      <c r="C774" s="3" t="str">
        <f t="shared" si="12"/>
        <v>07-01-2024</v>
      </c>
      <c r="D774" t="s">
        <v>35</v>
      </c>
      <c r="E774" t="s">
        <v>434</v>
      </c>
      <c r="F774" t="s">
        <v>18</v>
      </c>
      <c r="G774" t="s">
        <v>37</v>
      </c>
      <c r="H774" t="s">
        <v>30</v>
      </c>
      <c r="I774">
        <v>1</v>
      </c>
      <c r="J774">
        <v>9538</v>
      </c>
      <c r="K774" s="7">
        <v>0.05</v>
      </c>
      <c r="L774" t="s">
        <v>38</v>
      </c>
      <c r="M774" t="s">
        <v>22</v>
      </c>
      <c r="N774" t="s">
        <v>23</v>
      </c>
      <c r="P774">
        <f>VLOOKUP(Table2[[#This Row],[Product_ID]],Table1[#All],8,TRUE)</f>
        <v>700</v>
      </c>
    </row>
    <row r="775" spans="1:16" x14ac:dyDescent="0.3">
      <c r="A775" t="s">
        <v>1673</v>
      </c>
      <c r="B775" s="5" t="s">
        <v>1674</v>
      </c>
      <c r="C775" s="3" t="str">
        <f t="shared" si="12"/>
        <v>05-11-2023</v>
      </c>
      <c r="D775" t="s">
        <v>96</v>
      </c>
      <c r="E775" t="s">
        <v>351</v>
      </c>
      <c r="F775" t="s">
        <v>18</v>
      </c>
      <c r="G775" t="s">
        <v>19</v>
      </c>
      <c r="H775" t="s">
        <v>20</v>
      </c>
      <c r="I775">
        <v>1</v>
      </c>
      <c r="J775">
        <v>6706</v>
      </c>
      <c r="K775" s="7">
        <v>0.05</v>
      </c>
      <c r="L775" t="s">
        <v>21</v>
      </c>
      <c r="M775" t="s">
        <v>22</v>
      </c>
      <c r="N775" t="s">
        <v>59</v>
      </c>
      <c r="P775">
        <f>VLOOKUP(Table2[[#This Row],[Product_ID]],Table1[#All],8,TRUE)</f>
        <v>900</v>
      </c>
    </row>
    <row r="776" spans="1:16" x14ac:dyDescent="0.3">
      <c r="A776" t="s">
        <v>939</v>
      </c>
      <c r="B776" s="5" t="s">
        <v>1675</v>
      </c>
      <c r="C776" s="3" t="str">
        <f t="shared" si="12"/>
        <v>27-10-2024</v>
      </c>
      <c r="D776" t="s">
        <v>114</v>
      </c>
      <c r="E776" t="s">
        <v>342</v>
      </c>
      <c r="F776" t="s">
        <v>28</v>
      </c>
      <c r="G776" t="s">
        <v>37</v>
      </c>
      <c r="H776" t="s">
        <v>77</v>
      </c>
      <c r="I776">
        <v>5</v>
      </c>
      <c r="J776">
        <v>6470</v>
      </c>
      <c r="K776" s="7">
        <v>0.1</v>
      </c>
      <c r="L776" t="s">
        <v>38</v>
      </c>
      <c r="M776" t="s">
        <v>22</v>
      </c>
      <c r="N776" t="s">
        <v>23</v>
      </c>
      <c r="O776">
        <v>3.3</v>
      </c>
      <c r="P776">
        <f>VLOOKUP(Table2[[#This Row],[Product_ID]],Table1[#All],8,TRUE)</f>
        <v>0</v>
      </c>
    </row>
    <row r="777" spans="1:16" x14ac:dyDescent="0.3">
      <c r="A777" t="s">
        <v>1676</v>
      </c>
      <c r="B777" s="5" t="s">
        <v>1677</v>
      </c>
      <c r="C777" s="3" t="str">
        <f t="shared" si="12"/>
        <v>10-06-2023</v>
      </c>
      <c r="D777" t="s">
        <v>127</v>
      </c>
      <c r="E777" t="s">
        <v>1324</v>
      </c>
      <c r="F777" t="s">
        <v>73</v>
      </c>
      <c r="G777" t="s">
        <v>19</v>
      </c>
      <c r="H777" t="s">
        <v>77</v>
      </c>
      <c r="I777">
        <v>1</v>
      </c>
      <c r="J777">
        <v>3483</v>
      </c>
      <c r="K777" s="7">
        <v>0.05</v>
      </c>
      <c r="L777" t="s">
        <v>58</v>
      </c>
      <c r="M777" t="s">
        <v>39</v>
      </c>
      <c r="N777" t="s">
        <v>59</v>
      </c>
      <c r="P777">
        <f>VLOOKUP(Table2[[#This Row],[Product_ID]],Table1[#All],8,TRUE)</f>
        <v>1500</v>
      </c>
    </row>
    <row r="778" spans="1:16" x14ac:dyDescent="0.3">
      <c r="A778" t="s">
        <v>1678</v>
      </c>
      <c r="B778" s="5" t="s">
        <v>1679</v>
      </c>
      <c r="C778" s="3" t="str">
        <f t="shared" si="12"/>
        <v>20-12-2024</v>
      </c>
      <c r="D778" t="s">
        <v>131</v>
      </c>
      <c r="E778" t="s">
        <v>494</v>
      </c>
      <c r="F778" t="s">
        <v>18</v>
      </c>
      <c r="G778" t="s">
        <v>37</v>
      </c>
      <c r="H778" t="s">
        <v>99</v>
      </c>
      <c r="I778">
        <v>2</v>
      </c>
      <c r="J778">
        <v>6892</v>
      </c>
      <c r="K778" s="7">
        <v>0.2</v>
      </c>
      <c r="L778" t="s">
        <v>21</v>
      </c>
      <c r="M778" t="s">
        <v>22</v>
      </c>
      <c r="N778" t="s">
        <v>23</v>
      </c>
      <c r="P778">
        <f>VLOOKUP(Table2[[#This Row],[Product_ID]],Table1[#All],8,TRUE)</f>
        <v>0</v>
      </c>
    </row>
    <row r="779" spans="1:16" x14ac:dyDescent="0.3">
      <c r="A779" t="s">
        <v>1680</v>
      </c>
      <c r="B779" s="5" t="s">
        <v>833</v>
      </c>
      <c r="C779" s="3" t="str">
        <f t="shared" si="12"/>
        <v>14-10-2024</v>
      </c>
      <c r="D779" t="s">
        <v>71</v>
      </c>
      <c r="E779" t="s">
        <v>68</v>
      </c>
      <c r="F779" t="s">
        <v>64</v>
      </c>
      <c r="G779" t="s">
        <v>37</v>
      </c>
      <c r="H779" t="s">
        <v>99</v>
      </c>
      <c r="I779">
        <v>5</v>
      </c>
      <c r="J779">
        <v>1750</v>
      </c>
      <c r="K779" s="7">
        <v>0.15</v>
      </c>
      <c r="L779" t="s">
        <v>31</v>
      </c>
      <c r="M779" t="s">
        <v>39</v>
      </c>
      <c r="N779" t="s">
        <v>23</v>
      </c>
      <c r="O779">
        <v>3.3</v>
      </c>
      <c r="P779">
        <f>VLOOKUP(Table2[[#This Row],[Product_ID]],Table1[#All],8,TRUE)</f>
        <v>700</v>
      </c>
    </row>
    <row r="780" spans="1:16" x14ac:dyDescent="0.3">
      <c r="A780" t="s">
        <v>1467</v>
      </c>
      <c r="B780" s="5" t="s">
        <v>1412</v>
      </c>
      <c r="C780" s="3" t="str">
        <f t="shared" si="12"/>
        <v>26-07-2024</v>
      </c>
      <c r="D780" t="s">
        <v>16</v>
      </c>
      <c r="E780" t="s">
        <v>309</v>
      </c>
      <c r="F780" t="s">
        <v>98</v>
      </c>
      <c r="G780" t="s">
        <v>37</v>
      </c>
      <c r="H780" t="s">
        <v>99</v>
      </c>
      <c r="I780">
        <v>4</v>
      </c>
      <c r="J780">
        <v>7616</v>
      </c>
      <c r="K780" s="7">
        <v>0.1</v>
      </c>
      <c r="L780" t="s">
        <v>21</v>
      </c>
      <c r="M780" t="s">
        <v>39</v>
      </c>
      <c r="N780" t="s">
        <v>59</v>
      </c>
      <c r="O780">
        <v>3.3</v>
      </c>
      <c r="P780">
        <f>VLOOKUP(Table2[[#This Row],[Product_ID]],Table1[#All],8,TRUE)</f>
        <v>700</v>
      </c>
    </row>
    <row r="781" spans="1:16" x14ac:dyDescent="0.3">
      <c r="A781" t="s">
        <v>1681</v>
      </c>
      <c r="B781" s="5" t="s">
        <v>1682</v>
      </c>
      <c r="C781" s="3" t="str">
        <f t="shared" si="12"/>
        <v>26-05-2024</v>
      </c>
      <c r="D781" t="s">
        <v>51</v>
      </c>
      <c r="E781" t="s">
        <v>1683</v>
      </c>
      <c r="F781" t="s">
        <v>64</v>
      </c>
      <c r="G781" t="s">
        <v>29</v>
      </c>
      <c r="H781" t="s">
        <v>99</v>
      </c>
      <c r="I781">
        <v>3</v>
      </c>
      <c r="J781">
        <v>2885</v>
      </c>
      <c r="K781" s="7">
        <v>0.15</v>
      </c>
      <c r="L781" t="s">
        <v>21</v>
      </c>
      <c r="M781" t="s">
        <v>39</v>
      </c>
      <c r="N781" t="s">
        <v>59</v>
      </c>
      <c r="P781">
        <f>VLOOKUP(Table2[[#This Row],[Product_ID]],Table1[#All],8,TRUE)</f>
        <v>900</v>
      </c>
    </row>
    <row r="782" spans="1:16" x14ac:dyDescent="0.3">
      <c r="A782" t="s">
        <v>129</v>
      </c>
      <c r="B782" s="5" t="s">
        <v>1133</v>
      </c>
      <c r="C782" s="3" t="str">
        <f t="shared" si="12"/>
        <v>22-03-2024</v>
      </c>
      <c r="D782" t="s">
        <v>114</v>
      </c>
      <c r="E782" t="s">
        <v>362</v>
      </c>
      <c r="F782" t="s">
        <v>28</v>
      </c>
      <c r="G782" t="s">
        <v>19</v>
      </c>
      <c r="H782" t="s">
        <v>77</v>
      </c>
      <c r="I782">
        <v>1</v>
      </c>
      <c r="J782">
        <v>2155</v>
      </c>
      <c r="K782" s="7">
        <v>0</v>
      </c>
      <c r="L782" t="s">
        <v>58</v>
      </c>
      <c r="M782" t="s">
        <v>22</v>
      </c>
      <c r="N782" t="s">
        <v>48</v>
      </c>
      <c r="P782">
        <f>VLOOKUP(Table2[[#This Row],[Product_ID]],Table1[#All],8,TRUE)</f>
        <v>500</v>
      </c>
    </row>
    <row r="783" spans="1:16" x14ac:dyDescent="0.3">
      <c r="A783" t="s">
        <v>1684</v>
      </c>
      <c r="B783" s="5" t="s">
        <v>1685</v>
      </c>
      <c r="C783" s="3" t="str">
        <f t="shared" si="12"/>
        <v>18-10-2023</v>
      </c>
      <c r="D783" t="s">
        <v>62</v>
      </c>
      <c r="E783" t="s">
        <v>724</v>
      </c>
      <c r="F783" t="s">
        <v>28</v>
      </c>
      <c r="G783" t="s">
        <v>37</v>
      </c>
      <c r="H783" t="s">
        <v>77</v>
      </c>
      <c r="I783">
        <v>3</v>
      </c>
      <c r="J783">
        <v>4392</v>
      </c>
      <c r="K783" s="7">
        <v>0.1</v>
      </c>
      <c r="L783" t="s">
        <v>58</v>
      </c>
      <c r="M783" t="s">
        <v>39</v>
      </c>
      <c r="N783" t="s">
        <v>59</v>
      </c>
      <c r="P783">
        <f>VLOOKUP(Table2[[#This Row],[Product_ID]],Table1[#All],8,TRUE)</f>
        <v>900</v>
      </c>
    </row>
    <row r="784" spans="1:16" x14ac:dyDescent="0.3">
      <c r="A784" t="s">
        <v>355</v>
      </c>
      <c r="B784" s="5" t="s">
        <v>1686</v>
      </c>
      <c r="C784" s="3" t="str">
        <f t="shared" si="12"/>
        <v>09-05-2023</v>
      </c>
      <c r="D784" t="s">
        <v>127</v>
      </c>
      <c r="E784" t="s">
        <v>336</v>
      </c>
      <c r="F784" t="s">
        <v>73</v>
      </c>
      <c r="G784" t="s">
        <v>53</v>
      </c>
      <c r="H784" t="s">
        <v>99</v>
      </c>
      <c r="I784">
        <v>1</v>
      </c>
      <c r="J784">
        <v>4066</v>
      </c>
      <c r="K784" s="7">
        <v>0</v>
      </c>
      <c r="L784" t="s">
        <v>21</v>
      </c>
      <c r="M784" t="s">
        <v>22</v>
      </c>
      <c r="N784" t="s">
        <v>59</v>
      </c>
      <c r="O784">
        <v>4.0999999999999996</v>
      </c>
      <c r="P784">
        <f>VLOOKUP(Table2[[#This Row],[Product_ID]],Table1[#All],8,TRUE)</f>
        <v>0</v>
      </c>
    </row>
    <row r="785" spans="1:16" x14ac:dyDescent="0.3">
      <c r="A785" t="s">
        <v>1687</v>
      </c>
      <c r="B785" s="5" t="s">
        <v>1688</v>
      </c>
      <c r="C785" s="3" t="str">
        <f t="shared" si="12"/>
        <v>10-08-2024</v>
      </c>
      <c r="D785" t="s">
        <v>62</v>
      </c>
      <c r="E785" t="s">
        <v>765</v>
      </c>
      <c r="F785" t="s">
        <v>57</v>
      </c>
      <c r="G785" t="s">
        <v>37</v>
      </c>
      <c r="H785" t="s">
        <v>20</v>
      </c>
      <c r="I785">
        <v>1</v>
      </c>
      <c r="J785">
        <v>9813</v>
      </c>
      <c r="K785" s="7">
        <v>0.1</v>
      </c>
      <c r="L785" t="s">
        <v>38</v>
      </c>
      <c r="M785" t="s">
        <v>22</v>
      </c>
      <c r="N785" t="s">
        <v>59</v>
      </c>
      <c r="O785">
        <v>3.3</v>
      </c>
      <c r="P785">
        <f>VLOOKUP(Table2[[#This Row],[Product_ID]],Table1[#All],8,TRUE)</f>
        <v>500</v>
      </c>
    </row>
    <row r="786" spans="1:16" x14ac:dyDescent="0.3">
      <c r="A786" t="s">
        <v>1689</v>
      </c>
      <c r="B786" s="5" t="s">
        <v>1146</v>
      </c>
      <c r="C786" s="3" t="str">
        <f t="shared" si="12"/>
        <v>09-10-2023</v>
      </c>
      <c r="D786" t="s">
        <v>131</v>
      </c>
      <c r="E786" t="s">
        <v>476</v>
      </c>
      <c r="F786" t="s">
        <v>18</v>
      </c>
      <c r="G786" t="s">
        <v>29</v>
      </c>
      <c r="H786" t="s">
        <v>77</v>
      </c>
      <c r="I786">
        <v>5</v>
      </c>
      <c r="J786">
        <v>2737</v>
      </c>
      <c r="K786" s="7">
        <v>0.05</v>
      </c>
      <c r="L786" t="s">
        <v>21</v>
      </c>
      <c r="M786" t="s">
        <v>39</v>
      </c>
      <c r="N786" t="s">
        <v>32</v>
      </c>
      <c r="P786">
        <f>VLOOKUP(Table2[[#This Row],[Product_ID]],Table1[#All],8,TRUE)</f>
        <v>1200</v>
      </c>
    </row>
    <row r="787" spans="1:16" x14ac:dyDescent="0.3">
      <c r="A787" t="s">
        <v>1690</v>
      </c>
      <c r="B787" s="5" t="s">
        <v>1691</v>
      </c>
      <c r="C787" s="3" t="str">
        <f t="shared" si="12"/>
        <v>14-10-2023</v>
      </c>
      <c r="D787" t="s">
        <v>67</v>
      </c>
      <c r="E787" t="s">
        <v>943</v>
      </c>
      <c r="F787" t="s">
        <v>64</v>
      </c>
      <c r="G787" t="s">
        <v>29</v>
      </c>
      <c r="H787" t="s">
        <v>99</v>
      </c>
      <c r="I787">
        <v>2</v>
      </c>
      <c r="J787">
        <v>6393</v>
      </c>
      <c r="K787" s="7">
        <v>0.05</v>
      </c>
      <c r="L787" t="s">
        <v>31</v>
      </c>
      <c r="M787" t="s">
        <v>39</v>
      </c>
      <c r="N787" t="s">
        <v>32</v>
      </c>
      <c r="O787">
        <v>4.5</v>
      </c>
      <c r="P787">
        <f>VLOOKUP(Table2[[#This Row],[Product_ID]],Table1[#All],8,TRUE)</f>
        <v>0</v>
      </c>
    </row>
    <row r="788" spans="1:16" x14ac:dyDescent="0.3">
      <c r="A788" t="s">
        <v>1329</v>
      </c>
      <c r="B788" s="5" t="s">
        <v>1487</v>
      </c>
      <c r="C788" s="3" t="str">
        <f t="shared" si="12"/>
        <v>04-12-2023</v>
      </c>
      <c r="D788" t="s">
        <v>35</v>
      </c>
      <c r="E788" t="s">
        <v>63</v>
      </c>
      <c r="F788" t="s">
        <v>98</v>
      </c>
      <c r="G788" t="s">
        <v>53</v>
      </c>
      <c r="H788" t="s">
        <v>77</v>
      </c>
      <c r="I788">
        <v>5</v>
      </c>
      <c r="J788">
        <v>1298</v>
      </c>
      <c r="K788" s="7">
        <v>0</v>
      </c>
      <c r="L788" t="s">
        <v>21</v>
      </c>
      <c r="M788" t="s">
        <v>22</v>
      </c>
      <c r="N788" t="s">
        <v>48</v>
      </c>
      <c r="P788">
        <f>VLOOKUP(Table2[[#This Row],[Product_ID]],Table1[#All],8,TRUE)</f>
        <v>500</v>
      </c>
    </row>
    <row r="789" spans="1:16" x14ac:dyDescent="0.3">
      <c r="A789" t="s">
        <v>1692</v>
      </c>
      <c r="B789" s="5" t="s">
        <v>1693</v>
      </c>
      <c r="C789" s="3" t="str">
        <f t="shared" si="12"/>
        <v>22-07-2024</v>
      </c>
      <c r="D789" t="s">
        <v>26</v>
      </c>
      <c r="E789" t="s">
        <v>973</v>
      </c>
      <c r="F789" t="s">
        <v>18</v>
      </c>
      <c r="G789" t="s">
        <v>37</v>
      </c>
      <c r="H789" t="s">
        <v>30</v>
      </c>
      <c r="I789">
        <v>5</v>
      </c>
      <c r="J789">
        <v>1525</v>
      </c>
      <c r="K789" s="7">
        <v>0</v>
      </c>
      <c r="L789" t="s">
        <v>31</v>
      </c>
      <c r="M789" t="s">
        <v>39</v>
      </c>
      <c r="N789" t="s">
        <v>48</v>
      </c>
      <c r="O789">
        <v>3</v>
      </c>
      <c r="P789">
        <f>VLOOKUP(Table2[[#This Row],[Product_ID]],Table1[#All],8,TRUE)</f>
        <v>700</v>
      </c>
    </row>
    <row r="790" spans="1:16" x14ac:dyDescent="0.3">
      <c r="A790" t="s">
        <v>1694</v>
      </c>
      <c r="B790" s="5" t="s">
        <v>1695</v>
      </c>
      <c r="C790" s="3" t="str">
        <f t="shared" si="12"/>
        <v>16-05-2024</v>
      </c>
      <c r="D790" t="s">
        <v>91</v>
      </c>
      <c r="E790" t="s">
        <v>758</v>
      </c>
      <c r="F790" t="s">
        <v>43</v>
      </c>
      <c r="G790" t="s">
        <v>29</v>
      </c>
      <c r="H790" t="s">
        <v>99</v>
      </c>
      <c r="I790">
        <v>5</v>
      </c>
      <c r="J790">
        <v>9220</v>
      </c>
      <c r="K790" s="7">
        <v>0.2</v>
      </c>
      <c r="L790" t="s">
        <v>38</v>
      </c>
      <c r="M790" t="s">
        <v>22</v>
      </c>
      <c r="N790" t="s">
        <v>32</v>
      </c>
      <c r="P790">
        <f>VLOOKUP(Table2[[#This Row],[Product_ID]],Table1[#All],8,TRUE)</f>
        <v>1500</v>
      </c>
    </row>
    <row r="791" spans="1:16" x14ac:dyDescent="0.3">
      <c r="A791" t="s">
        <v>1696</v>
      </c>
      <c r="B791" s="5" t="s">
        <v>1697</v>
      </c>
      <c r="C791" s="3" t="str">
        <f t="shared" si="12"/>
        <v>22-10-2023</v>
      </c>
      <c r="D791" t="s">
        <v>114</v>
      </c>
      <c r="E791" t="s">
        <v>546</v>
      </c>
      <c r="F791" t="s">
        <v>18</v>
      </c>
      <c r="G791" t="s">
        <v>53</v>
      </c>
      <c r="H791" t="s">
        <v>30</v>
      </c>
      <c r="I791">
        <v>1</v>
      </c>
      <c r="J791">
        <v>2864</v>
      </c>
      <c r="K791" s="7">
        <v>0</v>
      </c>
      <c r="L791" t="s">
        <v>21</v>
      </c>
      <c r="M791" t="s">
        <v>39</v>
      </c>
      <c r="N791" t="s">
        <v>48</v>
      </c>
      <c r="O791">
        <v>4.8</v>
      </c>
      <c r="P791">
        <f>VLOOKUP(Table2[[#This Row],[Product_ID]],Table1[#All],8,TRUE)</f>
        <v>900</v>
      </c>
    </row>
    <row r="792" spans="1:16" x14ac:dyDescent="0.3">
      <c r="A792" t="s">
        <v>1698</v>
      </c>
      <c r="B792" s="5" t="s">
        <v>1699</v>
      </c>
      <c r="C792" s="3" t="str">
        <f t="shared" si="12"/>
        <v>18-02-2023</v>
      </c>
      <c r="D792" t="s">
        <v>71</v>
      </c>
      <c r="E792" t="s">
        <v>1148</v>
      </c>
      <c r="F792" t="s">
        <v>28</v>
      </c>
      <c r="G792" t="s">
        <v>19</v>
      </c>
      <c r="H792" t="s">
        <v>99</v>
      </c>
      <c r="I792">
        <v>5</v>
      </c>
      <c r="J792">
        <v>7340</v>
      </c>
      <c r="K792" s="7">
        <v>0.15</v>
      </c>
      <c r="L792" t="s">
        <v>38</v>
      </c>
      <c r="M792" t="s">
        <v>39</v>
      </c>
      <c r="N792" t="s">
        <v>32</v>
      </c>
      <c r="O792">
        <v>4.5999999999999996</v>
      </c>
      <c r="P792">
        <f>VLOOKUP(Table2[[#This Row],[Product_ID]],Table1[#All],8,TRUE)</f>
        <v>700</v>
      </c>
    </row>
    <row r="793" spans="1:16" x14ac:dyDescent="0.3">
      <c r="A793" t="s">
        <v>1700</v>
      </c>
      <c r="B793" s="5" t="s">
        <v>990</v>
      </c>
      <c r="C793" s="3" t="str">
        <f t="shared" si="12"/>
        <v>04-10-2024</v>
      </c>
      <c r="D793" t="s">
        <v>127</v>
      </c>
      <c r="E793" t="s">
        <v>445</v>
      </c>
      <c r="F793" t="s">
        <v>73</v>
      </c>
      <c r="G793" t="s">
        <v>19</v>
      </c>
      <c r="H793" t="s">
        <v>30</v>
      </c>
      <c r="I793">
        <v>1</v>
      </c>
      <c r="J793">
        <v>5241</v>
      </c>
      <c r="K793" s="7">
        <v>0</v>
      </c>
      <c r="L793" t="s">
        <v>21</v>
      </c>
      <c r="M793" t="s">
        <v>22</v>
      </c>
      <c r="N793" t="s">
        <v>59</v>
      </c>
      <c r="O793">
        <v>4.3</v>
      </c>
      <c r="P793">
        <f>VLOOKUP(Table2[[#This Row],[Product_ID]],Table1[#All],8,TRUE)</f>
        <v>1500</v>
      </c>
    </row>
    <row r="794" spans="1:16" x14ac:dyDescent="0.3">
      <c r="A794" t="s">
        <v>1701</v>
      </c>
      <c r="B794" s="5" t="s">
        <v>982</v>
      </c>
      <c r="C794" s="3" t="str">
        <f t="shared" si="12"/>
        <v>27-11-2023</v>
      </c>
      <c r="D794" t="s">
        <v>80</v>
      </c>
      <c r="E794" t="s">
        <v>936</v>
      </c>
      <c r="F794" t="s">
        <v>98</v>
      </c>
      <c r="G794" t="s">
        <v>29</v>
      </c>
      <c r="H794" t="s">
        <v>30</v>
      </c>
      <c r="I794">
        <v>4</v>
      </c>
      <c r="J794">
        <v>2943</v>
      </c>
      <c r="K794" s="7">
        <v>0</v>
      </c>
      <c r="L794" t="s">
        <v>38</v>
      </c>
      <c r="M794" t="s">
        <v>39</v>
      </c>
      <c r="N794" t="s">
        <v>59</v>
      </c>
      <c r="O794">
        <v>3.1</v>
      </c>
      <c r="P794">
        <f>VLOOKUP(Table2[[#This Row],[Product_ID]],Table1[#All],8,TRUE)</f>
        <v>1200</v>
      </c>
    </row>
    <row r="795" spans="1:16" x14ac:dyDescent="0.3">
      <c r="A795" t="s">
        <v>1702</v>
      </c>
      <c r="B795" s="5" t="s">
        <v>1703</v>
      </c>
      <c r="C795" s="3" t="str">
        <f t="shared" si="12"/>
        <v>26-03-2023</v>
      </c>
      <c r="D795" t="s">
        <v>91</v>
      </c>
      <c r="E795" t="s">
        <v>1481</v>
      </c>
      <c r="F795" t="s">
        <v>43</v>
      </c>
      <c r="G795" t="s">
        <v>37</v>
      </c>
      <c r="H795" t="s">
        <v>77</v>
      </c>
      <c r="I795">
        <v>4</v>
      </c>
      <c r="J795">
        <v>1476</v>
      </c>
      <c r="K795" s="7">
        <v>0</v>
      </c>
      <c r="L795" t="s">
        <v>58</v>
      </c>
      <c r="M795" t="s">
        <v>22</v>
      </c>
      <c r="N795" t="s">
        <v>59</v>
      </c>
      <c r="P795">
        <f>VLOOKUP(Table2[[#This Row],[Product_ID]],Table1[#All],8,TRUE)</f>
        <v>1500</v>
      </c>
    </row>
    <row r="796" spans="1:16" x14ac:dyDescent="0.3">
      <c r="A796" t="s">
        <v>1329</v>
      </c>
      <c r="B796" s="5" t="s">
        <v>1704</v>
      </c>
      <c r="C796" s="3" t="str">
        <f t="shared" si="12"/>
        <v>11-02-2024</v>
      </c>
      <c r="D796" t="s">
        <v>91</v>
      </c>
      <c r="E796" t="s">
        <v>869</v>
      </c>
      <c r="F796" t="s">
        <v>57</v>
      </c>
      <c r="G796" t="s">
        <v>19</v>
      </c>
      <c r="H796" t="s">
        <v>30</v>
      </c>
      <c r="I796">
        <v>3</v>
      </c>
      <c r="J796">
        <v>6022</v>
      </c>
      <c r="K796" s="7">
        <v>0</v>
      </c>
      <c r="L796" t="s">
        <v>38</v>
      </c>
      <c r="M796" t="s">
        <v>39</v>
      </c>
      <c r="N796" t="s">
        <v>32</v>
      </c>
      <c r="P796">
        <f>VLOOKUP(Table2[[#This Row],[Product_ID]],Table1[#All],8,TRUE)</f>
        <v>900</v>
      </c>
    </row>
    <row r="797" spans="1:16" x14ac:dyDescent="0.3">
      <c r="A797" t="s">
        <v>1216</v>
      </c>
      <c r="B797" s="5" t="s">
        <v>1705</v>
      </c>
      <c r="C797" s="3" t="str">
        <f t="shared" si="12"/>
        <v>17-10-2023</v>
      </c>
      <c r="D797" t="s">
        <v>16</v>
      </c>
      <c r="E797" t="s">
        <v>27</v>
      </c>
      <c r="F797" t="s">
        <v>43</v>
      </c>
      <c r="G797" t="s">
        <v>19</v>
      </c>
      <c r="H797" t="s">
        <v>30</v>
      </c>
      <c r="I797">
        <v>2</v>
      </c>
      <c r="J797">
        <v>1030</v>
      </c>
      <c r="K797" s="7">
        <v>0.15</v>
      </c>
      <c r="L797" t="s">
        <v>31</v>
      </c>
      <c r="M797" t="s">
        <v>39</v>
      </c>
      <c r="N797" t="s">
        <v>32</v>
      </c>
      <c r="O797">
        <v>3.2</v>
      </c>
      <c r="P797">
        <f>VLOOKUP(Table2[[#This Row],[Product_ID]],Table1[#All],8,TRUE)</f>
        <v>900</v>
      </c>
    </row>
    <row r="798" spans="1:16" x14ac:dyDescent="0.3">
      <c r="A798" t="s">
        <v>1706</v>
      </c>
      <c r="B798" s="5" t="s">
        <v>1707</v>
      </c>
      <c r="C798" s="3" t="str">
        <f t="shared" si="12"/>
        <v>08-10-2023</v>
      </c>
      <c r="D798" t="s">
        <v>127</v>
      </c>
      <c r="E798" t="s">
        <v>1549</v>
      </c>
      <c r="F798" t="s">
        <v>18</v>
      </c>
      <c r="G798" t="s">
        <v>53</v>
      </c>
      <c r="H798" t="s">
        <v>30</v>
      </c>
      <c r="I798">
        <v>5</v>
      </c>
      <c r="J798">
        <v>3431</v>
      </c>
      <c r="K798" s="7">
        <v>0.05</v>
      </c>
      <c r="L798" t="s">
        <v>31</v>
      </c>
      <c r="M798" t="s">
        <v>39</v>
      </c>
      <c r="N798" t="s">
        <v>48</v>
      </c>
      <c r="O798">
        <v>3.4</v>
      </c>
      <c r="P798">
        <f>VLOOKUP(Table2[[#This Row],[Product_ID]],Table1[#All],8,TRUE)</f>
        <v>1200</v>
      </c>
    </row>
    <row r="799" spans="1:16" x14ac:dyDescent="0.3">
      <c r="A799" t="s">
        <v>1708</v>
      </c>
      <c r="B799" s="5" t="s">
        <v>1709</v>
      </c>
      <c r="C799" s="3" t="str">
        <f t="shared" si="12"/>
        <v>31-05-2023</v>
      </c>
      <c r="D799" t="s">
        <v>16</v>
      </c>
      <c r="E799" t="s">
        <v>1710</v>
      </c>
      <c r="F799" t="s">
        <v>43</v>
      </c>
      <c r="G799" t="s">
        <v>19</v>
      </c>
      <c r="H799" t="s">
        <v>20</v>
      </c>
      <c r="I799">
        <v>5</v>
      </c>
      <c r="J799">
        <v>8049</v>
      </c>
      <c r="K799" s="7">
        <v>0.2</v>
      </c>
      <c r="L799" t="s">
        <v>31</v>
      </c>
      <c r="M799" t="s">
        <v>39</v>
      </c>
      <c r="N799" t="s">
        <v>32</v>
      </c>
      <c r="O799">
        <v>4.5999999999999996</v>
      </c>
      <c r="P799">
        <f>VLOOKUP(Table2[[#This Row],[Product_ID]],Table1[#All],8,TRUE)</f>
        <v>1500</v>
      </c>
    </row>
    <row r="800" spans="1:16" x14ac:dyDescent="0.3">
      <c r="A800" t="s">
        <v>1711</v>
      </c>
      <c r="B800" s="5" t="s">
        <v>874</v>
      </c>
      <c r="C800" s="3" t="str">
        <f t="shared" si="12"/>
        <v>20-04-2024</v>
      </c>
      <c r="D800" t="s">
        <v>51</v>
      </c>
      <c r="E800" t="s">
        <v>526</v>
      </c>
      <c r="F800" t="s">
        <v>98</v>
      </c>
      <c r="G800" t="s">
        <v>29</v>
      </c>
      <c r="H800" t="s">
        <v>20</v>
      </c>
      <c r="I800">
        <v>4</v>
      </c>
      <c r="J800">
        <v>8787</v>
      </c>
      <c r="K800" s="7">
        <v>0.15</v>
      </c>
      <c r="L800" t="s">
        <v>21</v>
      </c>
      <c r="M800" t="s">
        <v>39</v>
      </c>
      <c r="N800" t="s">
        <v>48</v>
      </c>
      <c r="P800">
        <f>VLOOKUP(Table2[[#This Row],[Product_ID]],Table1[#All],8,TRUE)</f>
        <v>1200</v>
      </c>
    </row>
    <row r="801" spans="1:16" x14ac:dyDescent="0.3">
      <c r="A801" t="s">
        <v>1712</v>
      </c>
      <c r="B801" s="5" t="s">
        <v>1713</v>
      </c>
      <c r="C801" s="3" t="str">
        <f t="shared" si="12"/>
        <v>10-10-2023</v>
      </c>
      <c r="D801" t="s">
        <v>46</v>
      </c>
      <c r="E801" t="s">
        <v>124</v>
      </c>
      <c r="F801" t="s">
        <v>73</v>
      </c>
      <c r="G801" t="s">
        <v>29</v>
      </c>
      <c r="H801" t="s">
        <v>20</v>
      </c>
      <c r="I801">
        <v>1</v>
      </c>
      <c r="J801">
        <v>3372</v>
      </c>
      <c r="K801" s="7">
        <v>0.15</v>
      </c>
      <c r="L801" t="s">
        <v>21</v>
      </c>
      <c r="M801" t="s">
        <v>39</v>
      </c>
      <c r="N801" t="s">
        <v>23</v>
      </c>
      <c r="O801">
        <v>4.7</v>
      </c>
      <c r="P801">
        <f>VLOOKUP(Table2[[#This Row],[Product_ID]],Table1[#All],8,TRUE)</f>
        <v>0</v>
      </c>
    </row>
    <row r="802" spans="1:16" x14ac:dyDescent="0.3">
      <c r="A802" t="s">
        <v>1714</v>
      </c>
      <c r="B802" s="5" t="s">
        <v>275</v>
      </c>
      <c r="C802" s="3" t="str">
        <f t="shared" si="12"/>
        <v>08-01-2023</v>
      </c>
      <c r="D802" t="s">
        <v>51</v>
      </c>
      <c r="E802" t="s">
        <v>1520</v>
      </c>
      <c r="F802" t="s">
        <v>43</v>
      </c>
      <c r="G802" t="s">
        <v>29</v>
      </c>
      <c r="H802" t="s">
        <v>77</v>
      </c>
      <c r="I802">
        <v>1</v>
      </c>
      <c r="J802">
        <v>9363</v>
      </c>
      <c r="K802" s="7">
        <v>0</v>
      </c>
      <c r="L802" t="s">
        <v>38</v>
      </c>
      <c r="M802" t="s">
        <v>22</v>
      </c>
      <c r="N802" t="s">
        <v>32</v>
      </c>
      <c r="O802">
        <v>3.3</v>
      </c>
      <c r="P802">
        <f>VLOOKUP(Table2[[#This Row],[Product_ID]],Table1[#All],8,TRUE)</f>
        <v>500</v>
      </c>
    </row>
    <row r="803" spans="1:16" x14ac:dyDescent="0.3">
      <c r="A803" t="s">
        <v>1715</v>
      </c>
      <c r="B803" s="5" t="s">
        <v>1716</v>
      </c>
      <c r="C803" s="3" t="str">
        <f t="shared" si="12"/>
        <v>20-10-2024</v>
      </c>
      <c r="D803" t="s">
        <v>62</v>
      </c>
      <c r="E803" t="s">
        <v>709</v>
      </c>
      <c r="F803" t="s">
        <v>98</v>
      </c>
      <c r="G803" t="s">
        <v>53</v>
      </c>
      <c r="H803" t="s">
        <v>99</v>
      </c>
      <c r="I803">
        <v>4</v>
      </c>
      <c r="J803">
        <v>3283</v>
      </c>
      <c r="K803" s="7">
        <v>0.1</v>
      </c>
      <c r="L803" t="s">
        <v>31</v>
      </c>
      <c r="M803" t="s">
        <v>39</v>
      </c>
      <c r="N803" t="s">
        <v>32</v>
      </c>
      <c r="O803">
        <v>4</v>
      </c>
      <c r="P803">
        <f>VLOOKUP(Table2[[#This Row],[Product_ID]],Table1[#All],8,TRUE)</f>
        <v>1500</v>
      </c>
    </row>
    <row r="804" spans="1:16" x14ac:dyDescent="0.3">
      <c r="A804" t="s">
        <v>1717</v>
      </c>
      <c r="B804" s="5" t="s">
        <v>1718</v>
      </c>
      <c r="C804" s="3" t="str">
        <f t="shared" si="12"/>
        <v>15-05-2023</v>
      </c>
      <c r="D804" t="s">
        <v>127</v>
      </c>
      <c r="E804" t="s">
        <v>237</v>
      </c>
      <c r="F804" t="s">
        <v>73</v>
      </c>
      <c r="G804" t="s">
        <v>29</v>
      </c>
      <c r="H804" t="s">
        <v>99</v>
      </c>
      <c r="I804">
        <v>5</v>
      </c>
      <c r="J804">
        <v>2632</v>
      </c>
      <c r="K804" s="7">
        <v>0.1</v>
      </c>
      <c r="L804" t="s">
        <v>31</v>
      </c>
      <c r="M804" t="s">
        <v>39</v>
      </c>
      <c r="N804" t="s">
        <v>59</v>
      </c>
      <c r="P804">
        <f>VLOOKUP(Table2[[#This Row],[Product_ID]],Table1[#All],8,TRUE)</f>
        <v>900</v>
      </c>
    </row>
    <row r="805" spans="1:16" x14ac:dyDescent="0.3">
      <c r="A805" t="s">
        <v>1719</v>
      </c>
      <c r="B805" s="5" t="s">
        <v>1720</v>
      </c>
      <c r="C805" s="3" t="str">
        <f t="shared" si="12"/>
        <v>23-05-2024</v>
      </c>
      <c r="D805" t="s">
        <v>67</v>
      </c>
      <c r="E805" t="s">
        <v>964</v>
      </c>
      <c r="F805" t="s">
        <v>18</v>
      </c>
      <c r="G805" t="s">
        <v>19</v>
      </c>
      <c r="H805" t="s">
        <v>99</v>
      </c>
      <c r="I805">
        <v>5</v>
      </c>
      <c r="J805">
        <v>1411</v>
      </c>
      <c r="K805" s="7">
        <v>0.05</v>
      </c>
      <c r="L805" t="s">
        <v>58</v>
      </c>
      <c r="M805" t="s">
        <v>22</v>
      </c>
      <c r="N805" t="s">
        <v>32</v>
      </c>
      <c r="P805">
        <f>VLOOKUP(Table2[[#This Row],[Product_ID]],Table1[#All],8,TRUE)</f>
        <v>500</v>
      </c>
    </row>
    <row r="806" spans="1:16" x14ac:dyDescent="0.3">
      <c r="A806" t="s">
        <v>1721</v>
      </c>
      <c r="B806" s="5" t="s">
        <v>1722</v>
      </c>
      <c r="C806" s="3" t="str">
        <f t="shared" si="12"/>
        <v>07-11-2023</v>
      </c>
      <c r="D806" t="s">
        <v>114</v>
      </c>
      <c r="E806" t="s">
        <v>1375</v>
      </c>
      <c r="F806" t="s">
        <v>64</v>
      </c>
      <c r="G806" t="s">
        <v>37</v>
      </c>
      <c r="H806" t="s">
        <v>99</v>
      </c>
      <c r="I806">
        <v>1</v>
      </c>
      <c r="J806">
        <v>3141</v>
      </c>
      <c r="K806" s="7">
        <v>0</v>
      </c>
      <c r="L806" t="s">
        <v>38</v>
      </c>
      <c r="M806" t="s">
        <v>39</v>
      </c>
      <c r="N806" t="s">
        <v>59</v>
      </c>
      <c r="O806">
        <v>4.8</v>
      </c>
      <c r="P806">
        <f>VLOOKUP(Table2[[#This Row],[Product_ID]],Table1[#All],8,TRUE)</f>
        <v>500</v>
      </c>
    </row>
    <row r="807" spans="1:16" x14ac:dyDescent="0.3">
      <c r="A807" t="s">
        <v>1723</v>
      </c>
      <c r="B807" s="5" t="s">
        <v>1724</v>
      </c>
      <c r="C807" s="3" t="str">
        <f t="shared" si="12"/>
        <v>11-09-2023</v>
      </c>
      <c r="D807" t="s">
        <v>46</v>
      </c>
      <c r="E807" t="s">
        <v>381</v>
      </c>
      <c r="F807" t="s">
        <v>18</v>
      </c>
      <c r="G807" t="s">
        <v>29</v>
      </c>
      <c r="H807" t="s">
        <v>30</v>
      </c>
      <c r="I807">
        <v>4</v>
      </c>
      <c r="J807">
        <v>8104</v>
      </c>
      <c r="K807" s="7">
        <v>0.15</v>
      </c>
      <c r="L807" t="s">
        <v>38</v>
      </c>
      <c r="M807" t="s">
        <v>22</v>
      </c>
      <c r="N807" t="s">
        <v>48</v>
      </c>
      <c r="O807">
        <v>3.7</v>
      </c>
      <c r="P807">
        <f>VLOOKUP(Table2[[#This Row],[Product_ID]],Table1[#All],8,TRUE)</f>
        <v>1500</v>
      </c>
    </row>
    <row r="808" spans="1:16" x14ac:dyDescent="0.3">
      <c r="A808" t="s">
        <v>1648</v>
      </c>
      <c r="B808" s="5" t="s">
        <v>1725</v>
      </c>
      <c r="C808" s="3" t="str">
        <f t="shared" si="12"/>
        <v>06-03-2023</v>
      </c>
      <c r="D808" t="s">
        <v>16</v>
      </c>
      <c r="E808" t="s">
        <v>1375</v>
      </c>
      <c r="F808" t="s">
        <v>43</v>
      </c>
      <c r="G808" t="s">
        <v>19</v>
      </c>
      <c r="H808" t="s">
        <v>77</v>
      </c>
      <c r="I808">
        <v>1</v>
      </c>
      <c r="J808">
        <v>6975</v>
      </c>
      <c r="K808" s="7">
        <v>0.2</v>
      </c>
      <c r="L808" t="s">
        <v>31</v>
      </c>
      <c r="M808" t="s">
        <v>22</v>
      </c>
      <c r="N808" t="s">
        <v>48</v>
      </c>
      <c r="P808">
        <f>VLOOKUP(Table2[[#This Row],[Product_ID]],Table1[#All],8,TRUE)</f>
        <v>500</v>
      </c>
    </row>
    <row r="809" spans="1:16" x14ac:dyDescent="0.3">
      <c r="A809" t="s">
        <v>1726</v>
      </c>
      <c r="B809" s="5" t="s">
        <v>1161</v>
      </c>
      <c r="C809" s="3" t="str">
        <f t="shared" si="12"/>
        <v>03-11-2023</v>
      </c>
      <c r="D809" t="s">
        <v>26</v>
      </c>
      <c r="E809" t="s">
        <v>1727</v>
      </c>
      <c r="F809" t="s">
        <v>57</v>
      </c>
      <c r="G809" t="s">
        <v>29</v>
      </c>
      <c r="H809" t="s">
        <v>20</v>
      </c>
      <c r="I809">
        <v>5</v>
      </c>
      <c r="J809">
        <v>8836</v>
      </c>
      <c r="K809" s="7">
        <v>0</v>
      </c>
      <c r="L809" t="s">
        <v>38</v>
      </c>
      <c r="M809" t="s">
        <v>22</v>
      </c>
      <c r="N809" t="s">
        <v>23</v>
      </c>
      <c r="O809">
        <v>3.3</v>
      </c>
      <c r="P809">
        <f>VLOOKUP(Table2[[#This Row],[Product_ID]],Table1[#All],8,TRUE)</f>
        <v>500</v>
      </c>
    </row>
    <row r="810" spans="1:16" x14ac:dyDescent="0.3">
      <c r="A810" t="s">
        <v>1354</v>
      </c>
      <c r="B810" s="5" t="s">
        <v>1728</v>
      </c>
      <c r="C810" s="3" t="str">
        <f t="shared" si="12"/>
        <v>19-12-2023</v>
      </c>
      <c r="D810" t="s">
        <v>67</v>
      </c>
      <c r="E810" t="s">
        <v>149</v>
      </c>
      <c r="F810" t="s">
        <v>43</v>
      </c>
      <c r="G810" t="s">
        <v>29</v>
      </c>
      <c r="H810" t="s">
        <v>30</v>
      </c>
      <c r="I810">
        <v>5</v>
      </c>
      <c r="J810">
        <v>2241</v>
      </c>
      <c r="K810" s="7">
        <v>0</v>
      </c>
      <c r="L810" t="s">
        <v>58</v>
      </c>
      <c r="M810" t="s">
        <v>22</v>
      </c>
      <c r="N810" t="s">
        <v>32</v>
      </c>
      <c r="O810">
        <v>4.5999999999999996</v>
      </c>
      <c r="P810">
        <f>VLOOKUP(Table2[[#This Row],[Product_ID]],Table1[#All],8,TRUE)</f>
        <v>500</v>
      </c>
    </row>
    <row r="811" spans="1:16" x14ac:dyDescent="0.3">
      <c r="A811" t="s">
        <v>1729</v>
      </c>
      <c r="B811" s="5" t="s">
        <v>1112</v>
      </c>
      <c r="C811" s="3" t="str">
        <f t="shared" si="12"/>
        <v>12-02-2023</v>
      </c>
      <c r="D811" t="s">
        <v>80</v>
      </c>
      <c r="E811" t="s">
        <v>229</v>
      </c>
      <c r="F811" t="s">
        <v>43</v>
      </c>
      <c r="G811" t="s">
        <v>53</v>
      </c>
      <c r="H811" t="s">
        <v>77</v>
      </c>
      <c r="I811">
        <v>1</v>
      </c>
      <c r="J811">
        <v>9835</v>
      </c>
      <c r="K811" s="7">
        <v>0.2</v>
      </c>
      <c r="L811" t="s">
        <v>58</v>
      </c>
      <c r="M811" t="s">
        <v>22</v>
      </c>
      <c r="N811" t="s">
        <v>32</v>
      </c>
      <c r="O811">
        <v>4.5999999999999996</v>
      </c>
      <c r="P811">
        <f>VLOOKUP(Table2[[#This Row],[Product_ID]],Table1[#All],8,TRUE)</f>
        <v>500</v>
      </c>
    </row>
    <row r="812" spans="1:16" x14ac:dyDescent="0.3">
      <c r="A812" t="s">
        <v>1291</v>
      </c>
      <c r="B812" s="5" t="s">
        <v>1730</v>
      </c>
      <c r="C812" s="3" t="str">
        <f t="shared" si="12"/>
        <v>18-06-2024</v>
      </c>
      <c r="D812" t="s">
        <v>16</v>
      </c>
      <c r="E812" t="s">
        <v>410</v>
      </c>
      <c r="F812" t="s">
        <v>73</v>
      </c>
      <c r="G812" t="s">
        <v>37</v>
      </c>
      <c r="H812" t="s">
        <v>99</v>
      </c>
      <c r="I812">
        <v>3</v>
      </c>
      <c r="J812">
        <v>5696</v>
      </c>
      <c r="K812" s="7">
        <v>0.15</v>
      </c>
      <c r="L812" t="s">
        <v>38</v>
      </c>
      <c r="M812" t="s">
        <v>39</v>
      </c>
      <c r="N812" t="s">
        <v>32</v>
      </c>
      <c r="O812">
        <v>4.8</v>
      </c>
      <c r="P812">
        <f>VLOOKUP(Table2[[#This Row],[Product_ID]],Table1[#All],8,TRUE)</f>
        <v>500</v>
      </c>
    </row>
    <row r="813" spans="1:16" x14ac:dyDescent="0.3">
      <c r="A813" t="s">
        <v>1731</v>
      </c>
      <c r="B813" s="5" t="s">
        <v>1732</v>
      </c>
      <c r="C813" s="3" t="str">
        <f t="shared" si="12"/>
        <v>27-03-2023</v>
      </c>
      <c r="D813" t="s">
        <v>26</v>
      </c>
      <c r="E813" t="s">
        <v>494</v>
      </c>
      <c r="F813" t="s">
        <v>57</v>
      </c>
      <c r="G813" t="s">
        <v>53</v>
      </c>
      <c r="H813" t="s">
        <v>20</v>
      </c>
      <c r="I813">
        <v>5</v>
      </c>
      <c r="J813">
        <v>6608</v>
      </c>
      <c r="K813" s="7">
        <v>0.05</v>
      </c>
      <c r="L813" t="s">
        <v>31</v>
      </c>
      <c r="M813" t="s">
        <v>22</v>
      </c>
      <c r="N813" t="s">
        <v>48</v>
      </c>
      <c r="O813">
        <v>4.2</v>
      </c>
      <c r="P813">
        <f>VLOOKUP(Table2[[#This Row],[Product_ID]],Table1[#All],8,TRUE)</f>
        <v>0</v>
      </c>
    </row>
    <row r="814" spans="1:16" x14ac:dyDescent="0.3">
      <c r="A814" t="s">
        <v>1733</v>
      </c>
      <c r="B814" s="5" t="s">
        <v>1734</v>
      </c>
      <c r="C814" s="3" t="str">
        <f t="shared" si="12"/>
        <v>02-01-2024</v>
      </c>
      <c r="D814" t="s">
        <v>84</v>
      </c>
      <c r="E814" t="s">
        <v>471</v>
      </c>
      <c r="F814" t="s">
        <v>18</v>
      </c>
      <c r="G814" t="s">
        <v>37</v>
      </c>
      <c r="H814" t="s">
        <v>77</v>
      </c>
      <c r="I814">
        <v>5</v>
      </c>
      <c r="J814">
        <v>5561</v>
      </c>
      <c r="K814" s="7">
        <v>0.1</v>
      </c>
      <c r="L814" t="s">
        <v>58</v>
      </c>
      <c r="M814" t="s">
        <v>39</v>
      </c>
      <c r="N814" t="s">
        <v>23</v>
      </c>
      <c r="O814">
        <v>4.2</v>
      </c>
      <c r="P814">
        <f>VLOOKUP(Table2[[#This Row],[Product_ID]],Table1[#All],8,TRUE)</f>
        <v>700</v>
      </c>
    </row>
    <row r="815" spans="1:16" x14ac:dyDescent="0.3">
      <c r="A815" t="s">
        <v>1735</v>
      </c>
      <c r="B815" s="5" t="s">
        <v>1736</v>
      </c>
      <c r="C815" s="3" t="str">
        <f t="shared" si="12"/>
        <v>18-07-2023</v>
      </c>
      <c r="D815" t="s">
        <v>71</v>
      </c>
      <c r="E815" t="s">
        <v>425</v>
      </c>
      <c r="F815" t="s">
        <v>43</v>
      </c>
      <c r="G815" t="s">
        <v>29</v>
      </c>
      <c r="H815" t="s">
        <v>77</v>
      </c>
      <c r="I815">
        <v>2</v>
      </c>
      <c r="J815">
        <v>7473</v>
      </c>
      <c r="K815" s="7">
        <v>0.2</v>
      </c>
      <c r="L815" t="s">
        <v>58</v>
      </c>
      <c r="M815" t="s">
        <v>39</v>
      </c>
      <c r="N815" t="s">
        <v>23</v>
      </c>
      <c r="O815">
        <v>3.7</v>
      </c>
      <c r="P815">
        <f>VLOOKUP(Table2[[#This Row],[Product_ID]],Table1[#All],8,TRUE)</f>
        <v>1500</v>
      </c>
    </row>
    <row r="816" spans="1:16" x14ac:dyDescent="0.3">
      <c r="A816" t="s">
        <v>1737</v>
      </c>
      <c r="B816" s="5" t="s">
        <v>391</v>
      </c>
      <c r="C816" s="3" t="str">
        <f t="shared" si="12"/>
        <v>21-10-2023</v>
      </c>
      <c r="D816" t="s">
        <v>62</v>
      </c>
      <c r="E816" t="s">
        <v>1084</v>
      </c>
      <c r="F816" t="s">
        <v>28</v>
      </c>
      <c r="G816" t="s">
        <v>19</v>
      </c>
      <c r="H816" t="s">
        <v>99</v>
      </c>
      <c r="I816">
        <v>1</v>
      </c>
      <c r="J816">
        <v>9470</v>
      </c>
      <c r="K816" s="7">
        <v>0.2</v>
      </c>
      <c r="L816" t="s">
        <v>58</v>
      </c>
      <c r="M816" t="s">
        <v>39</v>
      </c>
      <c r="N816" t="s">
        <v>59</v>
      </c>
      <c r="O816">
        <v>3.2</v>
      </c>
      <c r="P816">
        <f>VLOOKUP(Table2[[#This Row],[Product_ID]],Table1[#All],8,TRUE)</f>
        <v>0</v>
      </c>
    </row>
    <row r="817" spans="1:16" x14ac:dyDescent="0.3">
      <c r="A817" t="s">
        <v>1738</v>
      </c>
      <c r="B817" s="5" t="s">
        <v>990</v>
      </c>
      <c r="C817" s="3" t="str">
        <f t="shared" si="12"/>
        <v>04-10-2024</v>
      </c>
      <c r="D817" t="s">
        <v>127</v>
      </c>
      <c r="E817" t="s">
        <v>1571</v>
      </c>
      <c r="F817" t="s">
        <v>64</v>
      </c>
      <c r="G817" t="s">
        <v>53</v>
      </c>
      <c r="H817" t="s">
        <v>77</v>
      </c>
      <c r="I817">
        <v>1</v>
      </c>
      <c r="J817">
        <v>9814</v>
      </c>
      <c r="K817" s="7">
        <v>0.15</v>
      </c>
      <c r="L817" t="s">
        <v>21</v>
      </c>
      <c r="M817" t="s">
        <v>22</v>
      </c>
      <c r="N817" t="s">
        <v>48</v>
      </c>
      <c r="P817">
        <f>VLOOKUP(Table2[[#This Row],[Product_ID]],Table1[#All],8,TRUE)</f>
        <v>1500</v>
      </c>
    </row>
    <row r="818" spans="1:16" x14ac:dyDescent="0.3">
      <c r="A818" t="s">
        <v>1739</v>
      </c>
      <c r="B818" s="5" t="s">
        <v>1740</v>
      </c>
      <c r="C818" s="3" t="str">
        <f t="shared" si="12"/>
        <v>29-11-2024</v>
      </c>
      <c r="D818" t="s">
        <v>114</v>
      </c>
      <c r="E818" t="s">
        <v>1327</v>
      </c>
      <c r="F818" t="s">
        <v>57</v>
      </c>
      <c r="G818" t="s">
        <v>37</v>
      </c>
      <c r="H818" t="s">
        <v>77</v>
      </c>
      <c r="I818">
        <v>4</v>
      </c>
      <c r="J818">
        <v>2039</v>
      </c>
      <c r="K818" s="7">
        <v>0</v>
      </c>
      <c r="L818" t="s">
        <v>21</v>
      </c>
      <c r="M818" t="s">
        <v>22</v>
      </c>
      <c r="N818" t="s">
        <v>32</v>
      </c>
      <c r="P818">
        <f>VLOOKUP(Table2[[#This Row],[Product_ID]],Table1[#All],8,TRUE)</f>
        <v>1200</v>
      </c>
    </row>
    <row r="819" spans="1:16" x14ac:dyDescent="0.3">
      <c r="A819" t="s">
        <v>1741</v>
      </c>
      <c r="B819" s="5" t="s">
        <v>806</v>
      </c>
      <c r="C819" s="3" t="str">
        <f t="shared" si="12"/>
        <v>13-11-2024</v>
      </c>
      <c r="D819" t="s">
        <v>84</v>
      </c>
      <c r="E819" t="s">
        <v>585</v>
      </c>
      <c r="F819" t="s">
        <v>43</v>
      </c>
      <c r="G819" t="s">
        <v>53</v>
      </c>
      <c r="H819" t="s">
        <v>77</v>
      </c>
      <c r="I819">
        <v>2</v>
      </c>
      <c r="J819">
        <v>1131</v>
      </c>
      <c r="K819" s="7">
        <v>0.2</v>
      </c>
      <c r="L819" t="s">
        <v>58</v>
      </c>
      <c r="M819" t="s">
        <v>22</v>
      </c>
      <c r="N819" t="s">
        <v>48</v>
      </c>
      <c r="O819">
        <v>3.9</v>
      </c>
      <c r="P819">
        <f>VLOOKUP(Table2[[#This Row],[Product_ID]],Table1[#All],8,TRUE)</f>
        <v>700</v>
      </c>
    </row>
    <row r="820" spans="1:16" x14ac:dyDescent="0.3">
      <c r="A820" t="s">
        <v>1742</v>
      </c>
      <c r="B820" s="5" t="s">
        <v>1743</v>
      </c>
      <c r="C820" s="3" t="str">
        <f t="shared" si="12"/>
        <v>21-08-2024</v>
      </c>
      <c r="D820" t="s">
        <v>35</v>
      </c>
      <c r="E820" t="s">
        <v>983</v>
      </c>
      <c r="F820" t="s">
        <v>18</v>
      </c>
      <c r="G820" t="s">
        <v>19</v>
      </c>
      <c r="H820" t="s">
        <v>99</v>
      </c>
      <c r="I820">
        <v>2</v>
      </c>
      <c r="J820">
        <v>8695</v>
      </c>
      <c r="K820" s="7">
        <v>0.15</v>
      </c>
      <c r="L820" t="s">
        <v>38</v>
      </c>
      <c r="M820" t="s">
        <v>39</v>
      </c>
      <c r="N820" t="s">
        <v>48</v>
      </c>
      <c r="P820">
        <f>VLOOKUP(Table2[[#This Row],[Product_ID]],Table1[#All],8,TRUE)</f>
        <v>1200</v>
      </c>
    </row>
    <row r="821" spans="1:16" x14ac:dyDescent="0.3">
      <c r="A821" t="s">
        <v>1744</v>
      </c>
      <c r="B821" s="5" t="s">
        <v>1745</v>
      </c>
      <c r="C821" s="3" t="str">
        <f t="shared" si="12"/>
        <v>21-11-2023</v>
      </c>
      <c r="D821" t="s">
        <v>46</v>
      </c>
      <c r="E821" t="s">
        <v>476</v>
      </c>
      <c r="F821" t="s">
        <v>18</v>
      </c>
      <c r="G821" t="s">
        <v>29</v>
      </c>
      <c r="H821" t="s">
        <v>20</v>
      </c>
      <c r="I821">
        <v>2</v>
      </c>
      <c r="J821">
        <v>6677</v>
      </c>
      <c r="K821" s="7">
        <v>0.1</v>
      </c>
      <c r="L821" t="s">
        <v>38</v>
      </c>
      <c r="M821" t="s">
        <v>22</v>
      </c>
      <c r="N821" t="s">
        <v>48</v>
      </c>
      <c r="O821">
        <v>4.4000000000000004</v>
      </c>
      <c r="P821">
        <f>VLOOKUP(Table2[[#This Row],[Product_ID]],Table1[#All],8,TRUE)</f>
        <v>1200</v>
      </c>
    </row>
    <row r="822" spans="1:16" x14ac:dyDescent="0.3">
      <c r="A822" t="s">
        <v>1746</v>
      </c>
      <c r="B822" s="5" t="s">
        <v>1747</v>
      </c>
      <c r="C822" s="3" t="str">
        <f t="shared" si="12"/>
        <v>03-10-2024</v>
      </c>
      <c r="D822" t="s">
        <v>91</v>
      </c>
      <c r="E822" t="s">
        <v>1561</v>
      </c>
      <c r="F822" t="s">
        <v>98</v>
      </c>
      <c r="G822" t="s">
        <v>53</v>
      </c>
      <c r="H822" t="s">
        <v>77</v>
      </c>
      <c r="I822">
        <v>3</v>
      </c>
      <c r="J822">
        <v>1185</v>
      </c>
      <c r="K822" s="7">
        <v>0</v>
      </c>
      <c r="L822" t="s">
        <v>21</v>
      </c>
      <c r="M822" t="s">
        <v>22</v>
      </c>
      <c r="N822" t="s">
        <v>23</v>
      </c>
      <c r="P822">
        <f>VLOOKUP(Table2[[#This Row],[Product_ID]],Table1[#All],8,TRUE)</f>
        <v>900</v>
      </c>
    </row>
    <row r="823" spans="1:16" x14ac:dyDescent="0.3">
      <c r="A823" t="s">
        <v>1748</v>
      </c>
      <c r="B823" s="5" t="s">
        <v>1749</v>
      </c>
      <c r="C823" s="3" t="str">
        <f t="shared" si="12"/>
        <v>08-01-2023</v>
      </c>
      <c r="D823" t="s">
        <v>91</v>
      </c>
      <c r="E823" t="s">
        <v>704</v>
      </c>
      <c r="F823" t="s">
        <v>28</v>
      </c>
      <c r="G823" t="s">
        <v>19</v>
      </c>
      <c r="H823" t="s">
        <v>77</v>
      </c>
      <c r="I823">
        <v>2</v>
      </c>
      <c r="J823">
        <v>7377</v>
      </c>
      <c r="K823" s="7">
        <v>0.1</v>
      </c>
      <c r="L823" t="s">
        <v>31</v>
      </c>
      <c r="M823" t="s">
        <v>39</v>
      </c>
      <c r="N823" t="s">
        <v>48</v>
      </c>
      <c r="P823">
        <f>VLOOKUP(Table2[[#This Row],[Product_ID]],Table1[#All],8,TRUE)</f>
        <v>1200</v>
      </c>
    </row>
    <row r="824" spans="1:16" x14ac:dyDescent="0.3">
      <c r="A824" t="s">
        <v>1750</v>
      </c>
      <c r="B824" s="5" t="s">
        <v>1751</v>
      </c>
      <c r="C824" s="3" t="str">
        <f t="shared" si="12"/>
        <v>03-12-2023</v>
      </c>
      <c r="D824" t="s">
        <v>16</v>
      </c>
      <c r="E824" t="s">
        <v>1297</v>
      </c>
      <c r="F824" t="s">
        <v>73</v>
      </c>
      <c r="G824" t="s">
        <v>53</v>
      </c>
      <c r="H824" t="s">
        <v>20</v>
      </c>
      <c r="I824">
        <v>2</v>
      </c>
      <c r="J824">
        <v>2029</v>
      </c>
      <c r="K824" s="7">
        <v>0.15</v>
      </c>
      <c r="L824" t="s">
        <v>58</v>
      </c>
      <c r="M824" t="s">
        <v>39</v>
      </c>
      <c r="N824" t="s">
        <v>32</v>
      </c>
      <c r="O824">
        <v>4.3</v>
      </c>
      <c r="P824">
        <f>VLOOKUP(Table2[[#This Row],[Product_ID]],Table1[#All],8,TRUE)</f>
        <v>1200</v>
      </c>
    </row>
    <row r="825" spans="1:16" x14ac:dyDescent="0.3">
      <c r="A825" t="s">
        <v>1752</v>
      </c>
      <c r="B825" s="5" t="s">
        <v>1753</v>
      </c>
      <c r="C825" s="3" t="str">
        <f t="shared" si="12"/>
        <v>04-12-2023</v>
      </c>
      <c r="D825" t="s">
        <v>16</v>
      </c>
      <c r="E825" t="s">
        <v>731</v>
      </c>
      <c r="F825" t="s">
        <v>73</v>
      </c>
      <c r="G825" t="s">
        <v>29</v>
      </c>
      <c r="H825" t="s">
        <v>30</v>
      </c>
      <c r="I825">
        <v>5</v>
      </c>
      <c r="J825">
        <v>2351</v>
      </c>
      <c r="K825" s="7">
        <v>0.1</v>
      </c>
      <c r="L825" t="s">
        <v>38</v>
      </c>
      <c r="M825" t="s">
        <v>39</v>
      </c>
      <c r="N825" t="s">
        <v>59</v>
      </c>
      <c r="P825">
        <f>VLOOKUP(Table2[[#This Row],[Product_ID]],Table1[#All],8,TRUE)</f>
        <v>1500</v>
      </c>
    </row>
    <row r="826" spans="1:16" x14ac:dyDescent="0.3">
      <c r="A826" t="s">
        <v>1754</v>
      </c>
      <c r="B826" s="5" t="s">
        <v>741</v>
      </c>
      <c r="C826" s="3" t="str">
        <f t="shared" si="12"/>
        <v>09-05-2024</v>
      </c>
      <c r="D826" t="s">
        <v>114</v>
      </c>
      <c r="E826" t="s">
        <v>546</v>
      </c>
      <c r="F826" t="s">
        <v>43</v>
      </c>
      <c r="G826" t="s">
        <v>53</v>
      </c>
      <c r="H826" t="s">
        <v>77</v>
      </c>
      <c r="I826">
        <v>2</v>
      </c>
      <c r="J826">
        <v>8389</v>
      </c>
      <c r="K826" s="7">
        <v>0.05</v>
      </c>
      <c r="L826" t="s">
        <v>21</v>
      </c>
      <c r="M826" t="s">
        <v>39</v>
      </c>
      <c r="N826" t="s">
        <v>23</v>
      </c>
      <c r="O826">
        <v>3.5</v>
      </c>
      <c r="P826">
        <f>VLOOKUP(Table2[[#This Row],[Product_ID]],Table1[#All],8,TRUE)</f>
        <v>900</v>
      </c>
    </row>
    <row r="827" spans="1:16" x14ac:dyDescent="0.3">
      <c r="A827" t="s">
        <v>271</v>
      </c>
      <c r="B827" s="5" t="s">
        <v>1755</v>
      </c>
      <c r="C827" s="3" t="str">
        <f t="shared" si="12"/>
        <v>21-09-2023</v>
      </c>
      <c r="D827" t="s">
        <v>127</v>
      </c>
      <c r="E827" t="s">
        <v>471</v>
      </c>
      <c r="F827" t="s">
        <v>73</v>
      </c>
      <c r="G827" t="s">
        <v>19</v>
      </c>
      <c r="H827" t="s">
        <v>30</v>
      </c>
      <c r="I827">
        <v>5</v>
      </c>
      <c r="J827">
        <v>1820</v>
      </c>
      <c r="K827" s="7">
        <v>0.1</v>
      </c>
      <c r="L827" t="s">
        <v>58</v>
      </c>
      <c r="M827" t="s">
        <v>39</v>
      </c>
      <c r="N827" t="s">
        <v>59</v>
      </c>
      <c r="O827">
        <v>3.1</v>
      </c>
      <c r="P827">
        <f>VLOOKUP(Table2[[#This Row],[Product_ID]],Table1[#All],8,TRUE)</f>
        <v>700</v>
      </c>
    </row>
    <row r="828" spans="1:16" x14ac:dyDescent="0.3">
      <c r="A828" t="s">
        <v>1284</v>
      </c>
      <c r="B828" s="5" t="s">
        <v>1756</v>
      </c>
      <c r="C828" s="3" t="str">
        <f t="shared" si="12"/>
        <v>14-10-2023</v>
      </c>
      <c r="D828" t="s">
        <v>71</v>
      </c>
      <c r="E828" t="s">
        <v>1470</v>
      </c>
      <c r="F828" t="s">
        <v>73</v>
      </c>
      <c r="G828" t="s">
        <v>37</v>
      </c>
      <c r="H828" t="s">
        <v>20</v>
      </c>
      <c r="I828">
        <v>2</v>
      </c>
      <c r="J828">
        <v>8242</v>
      </c>
      <c r="K828" s="7">
        <v>0.15</v>
      </c>
      <c r="L828" t="s">
        <v>38</v>
      </c>
      <c r="M828" t="s">
        <v>22</v>
      </c>
      <c r="N828" t="s">
        <v>59</v>
      </c>
      <c r="O828">
        <v>4.9000000000000004</v>
      </c>
      <c r="P828">
        <f>VLOOKUP(Table2[[#This Row],[Product_ID]],Table1[#All],8,TRUE)</f>
        <v>1200</v>
      </c>
    </row>
    <row r="829" spans="1:16" x14ac:dyDescent="0.3">
      <c r="A829" t="s">
        <v>1757</v>
      </c>
      <c r="B829" s="5" t="s">
        <v>1758</v>
      </c>
      <c r="C829" s="3" t="str">
        <f t="shared" si="12"/>
        <v>20-04-2024</v>
      </c>
      <c r="D829" t="s">
        <v>127</v>
      </c>
      <c r="E829" t="s">
        <v>701</v>
      </c>
      <c r="F829" t="s">
        <v>64</v>
      </c>
      <c r="G829" t="s">
        <v>37</v>
      </c>
      <c r="H829" t="s">
        <v>20</v>
      </c>
      <c r="I829">
        <v>2</v>
      </c>
      <c r="J829">
        <v>4778</v>
      </c>
      <c r="K829" s="7">
        <v>0.05</v>
      </c>
      <c r="L829" t="s">
        <v>38</v>
      </c>
      <c r="M829" t="s">
        <v>22</v>
      </c>
      <c r="N829" t="s">
        <v>48</v>
      </c>
      <c r="O829">
        <v>3.2</v>
      </c>
      <c r="P829">
        <f>VLOOKUP(Table2[[#This Row],[Product_ID]],Table1[#All],8,TRUE)</f>
        <v>1200</v>
      </c>
    </row>
    <row r="830" spans="1:16" x14ac:dyDescent="0.3">
      <c r="A830" t="s">
        <v>1759</v>
      </c>
      <c r="B830" s="5" t="s">
        <v>1760</v>
      </c>
      <c r="C830" s="3" t="str">
        <f t="shared" si="12"/>
        <v>28-08-2023</v>
      </c>
      <c r="D830" t="s">
        <v>62</v>
      </c>
      <c r="E830" t="s">
        <v>1270</v>
      </c>
      <c r="F830" t="s">
        <v>98</v>
      </c>
      <c r="G830" t="s">
        <v>53</v>
      </c>
      <c r="H830" t="s">
        <v>30</v>
      </c>
      <c r="I830">
        <v>4</v>
      </c>
      <c r="J830">
        <v>3282</v>
      </c>
      <c r="K830" s="7">
        <v>0.15</v>
      </c>
      <c r="L830" t="s">
        <v>58</v>
      </c>
      <c r="M830" t="s">
        <v>22</v>
      </c>
      <c r="N830" t="s">
        <v>23</v>
      </c>
      <c r="O830">
        <v>4.5999999999999996</v>
      </c>
      <c r="P830">
        <f>VLOOKUP(Table2[[#This Row],[Product_ID]],Table1[#All],8,TRUE)</f>
        <v>500</v>
      </c>
    </row>
    <row r="831" spans="1:16" x14ac:dyDescent="0.3">
      <c r="A831" t="s">
        <v>1761</v>
      </c>
      <c r="B831" s="5" t="s">
        <v>70</v>
      </c>
      <c r="C831" s="3" t="str">
        <f t="shared" si="12"/>
        <v>19-04-2024</v>
      </c>
      <c r="D831" t="s">
        <v>71</v>
      </c>
      <c r="E831" t="s">
        <v>213</v>
      </c>
      <c r="F831" t="s">
        <v>18</v>
      </c>
      <c r="G831" t="s">
        <v>37</v>
      </c>
      <c r="H831" t="s">
        <v>30</v>
      </c>
      <c r="I831">
        <v>5</v>
      </c>
      <c r="J831">
        <v>8692</v>
      </c>
      <c r="K831" s="7">
        <v>0</v>
      </c>
      <c r="L831" t="s">
        <v>21</v>
      </c>
      <c r="M831" t="s">
        <v>22</v>
      </c>
      <c r="N831" t="s">
        <v>59</v>
      </c>
      <c r="O831">
        <v>3.4</v>
      </c>
      <c r="P831">
        <f>VLOOKUP(Table2[[#This Row],[Product_ID]],Table1[#All],8,TRUE)</f>
        <v>0</v>
      </c>
    </row>
    <row r="832" spans="1:16" x14ac:dyDescent="0.3">
      <c r="A832" t="s">
        <v>1762</v>
      </c>
      <c r="B832" s="5" t="s">
        <v>1763</v>
      </c>
      <c r="C832" s="3" t="str">
        <f t="shared" si="12"/>
        <v>19-01-2024</v>
      </c>
      <c r="D832" t="s">
        <v>16</v>
      </c>
      <c r="E832" t="s">
        <v>76</v>
      </c>
      <c r="F832" t="s">
        <v>18</v>
      </c>
      <c r="G832" t="s">
        <v>19</v>
      </c>
      <c r="H832" t="s">
        <v>30</v>
      </c>
      <c r="I832">
        <v>1</v>
      </c>
      <c r="J832">
        <v>1848</v>
      </c>
      <c r="K832" s="7">
        <v>0.2</v>
      </c>
      <c r="L832" t="s">
        <v>58</v>
      </c>
      <c r="M832" t="s">
        <v>22</v>
      </c>
      <c r="N832" t="s">
        <v>48</v>
      </c>
      <c r="O832">
        <v>4.4000000000000004</v>
      </c>
      <c r="P832">
        <f>VLOOKUP(Table2[[#This Row],[Product_ID]],Table1[#All],8,TRUE)</f>
        <v>1500</v>
      </c>
    </row>
    <row r="833" spans="1:16" x14ac:dyDescent="0.3">
      <c r="A833" t="s">
        <v>1764</v>
      </c>
      <c r="B833" s="5" t="s">
        <v>1765</v>
      </c>
      <c r="C833" s="3" t="str">
        <f t="shared" si="12"/>
        <v>15-02-2024</v>
      </c>
      <c r="D833" t="s">
        <v>91</v>
      </c>
      <c r="E833" t="s">
        <v>1438</v>
      </c>
      <c r="F833" t="s">
        <v>57</v>
      </c>
      <c r="G833" t="s">
        <v>19</v>
      </c>
      <c r="H833" t="s">
        <v>20</v>
      </c>
      <c r="I833">
        <v>5</v>
      </c>
      <c r="J833">
        <v>4476</v>
      </c>
      <c r="K833" s="7">
        <v>0.15</v>
      </c>
      <c r="L833" t="s">
        <v>21</v>
      </c>
      <c r="M833" t="s">
        <v>39</v>
      </c>
      <c r="N833" t="s">
        <v>48</v>
      </c>
      <c r="P833">
        <f>VLOOKUP(Table2[[#This Row],[Product_ID]],Table1[#All],8,TRUE)</f>
        <v>500</v>
      </c>
    </row>
    <row r="834" spans="1:16" x14ac:dyDescent="0.3">
      <c r="A834" t="s">
        <v>1766</v>
      </c>
      <c r="B834" s="5" t="s">
        <v>1767</v>
      </c>
      <c r="C834" s="3" t="str">
        <f t="shared" ref="C834:C897" si="13">TEXT(B834,"dd-mm-yyyy")</f>
        <v>08-02-2023</v>
      </c>
      <c r="D834" t="s">
        <v>96</v>
      </c>
      <c r="E834" t="s">
        <v>1635</v>
      </c>
      <c r="F834" t="s">
        <v>28</v>
      </c>
      <c r="G834" t="s">
        <v>19</v>
      </c>
      <c r="H834" t="s">
        <v>20</v>
      </c>
      <c r="I834">
        <v>4</v>
      </c>
      <c r="J834">
        <v>9242</v>
      </c>
      <c r="K834" s="7">
        <v>0.2</v>
      </c>
      <c r="L834" t="s">
        <v>21</v>
      </c>
      <c r="M834" t="s">
        <v>22</v>
      </c>
      <c r="N834" t="s">
        <v>23</v>
      </c>
      <c r="O834">
        <v>4.7</v>
      </c>
      <c r="P834">
        <f>VLOOKUP(Table2[[#This Row],[Product_ID]],Table1[#All],8,TRUE)</f>
        <v>500</v>
      </c>
    </row>
    <row r="835" spans="1:16" x14ac:dyDescent="0.3">
      <c r="A835" t="s">
        <v>1768</v>
      </c>
      <c r="B835" s="5" t="s">
        <v>1003</v>
      </c>
      <c r="C835" s="3" t="str">
        <f t="shared" si="13"/>
        <v>27-08-2023</v>
      </c>
      <c r="D835" t="s">
        <v>84</v>
      </c>
      <c r="E835" t="s">
        <v>1252</v>
      </c>
      <c r="F835" t="s">
        <v>28</v>
      </c>
      <c r="G835" t="s">
        <v>53</v>
      </c>
      <c r="H835" t="s">
        <v>77</v>
      </c>
      <c r="I835">
        <v>4</v>
      </c>
      <c r="J835">
        <v>4052</v>
      </c>
      <c r="K835" s="7">
        <v>0</v>
      </c>
      <c r="L835" t="s">
        <v>38</v>
      </c>
      <c r="M835" t="s">
        <v>22</v>
      </c>
      <c r="N835" t="s">
        <v>48</v>
      </c>
      <c r="O835">
        <v>3.7</v>
      </c>
      <c r="P835">
        <f>VLOOKUP(Table2[[#This Row],[Product_ID]],Table1[#All],8,TRUE)</f>
        <v>700</v>
      </c>
    </row>
    <row r="836" spans="1:16" x14ac:dyDescent="0.3">
      <c r="A836" t="s">
        <v>1769</v>
      </c>
      <c r="B836" s="5" t="s">
        <v>1770</v>
      </c>
      <c r="C836" s="3" t="str">
        <f t="shared" si="13"/>
        <v>19-05-2023</v>
      </c>
      <c r="D836" t="s">
        <v>131</v>
      </c>
      <c r="E836" t="s">
        <v>278</v>
      </c>
      <c r="F836" t="s">
        <v>64</v>
      </c>
      <c r="G836" t="s">
        <v>53</v>
      </c>
      <c r="H836" t="s">
        <v>77</v>
      </c>
      <c r="I836">
        <v>3</v>
      </c>
      <c r="J836">
        <v>9883</v>
      </c>
      <c r="K836" s="7">
        <v>0</v>
      </c>
      <c r="L836" t="s">
        <v>38</v>
      </c>
      <c r="M836" t="s">
        <v>39</v>
      </c>
      <c r="N836" t="s">
        <v>23</v>
      </c>
      <c r="O836">
        <v>3.8</v>
      </c>
      <c r="P836">
        <f>VLOOKUP(Table2[[#This Row],[Product_ID]],Table1[#All],8,TRUE)</f>
        <v>1200</v>
      </c>
    </row>
    <row r="837" spans="1:16" x14ac:dyDescent="0.3">
      <c r="A837" t="s">
        <v>1771</v>
      </c>
      <c r="B837" s="5" t="s">
        <v>1772</v>
      </c>
      <c r="C837" s="3" t="str">
        <f t="shared" si="13"/>
        <v>14-11-2024</v>
      </c>
      <c r="D837" t="s">
        <v>91</v>
      </c>
      <c r="E837" t="s">
        <v>368</v>
      </c>
      <c r="F837" t="s">
        <v>43</v>
      </c>
      <c r="G837" t="s">
        <v>19</v>
      </c>
      <c r="H837" t="s">
        <v>77</v>
      </c>
      <c r="I837">
        <v>4</v>
      </c>
      <c r="J837">
        <v>6586</v>
      </c>
      <c r="K837" s="7">
        <v>0.05</v>
      </c>
      <c r="L837" t="s">
        <v>21</v>
      </c>
      <c r="M837" t="s">
        <v>39</v>
      </c>
      <c r="N837" t="s">
        <v>48</v>
      </c>
      <c r="P837">
        <f>VLOOKUP(Table2[[#This Row],[Product_ID]],Table1[#All],8,TRUE)</f>
        <v>1500</v>
      </c>
    </row>
    <row r="838" spans="1:16" x14ac:dyDescent="0.3">
      <c r="A838" t="s">
        <v>1578</v>
      </c>
      <c r="B838" s="5" t="s">
        <v>749</v>
      </c>
      <c r="C838" s="3" t="str">
        <f t="shared" si="13"/>
        <v>08-12-2024</v>
      </c>
      <c r="D838" t="s">
        <v>127</v>
      </c>
      <c r="E838" t="s">
        <v>175</v>
      </c>
      <c r="F838" t="s">
        <v>18</v>
      </c>
      <c r="G838" t="s">
        <v>53</v>
      </c>
      <c r="H838" t="s">
        <v>77</v>
      </c>
      <c r="I838">
        <v>2</v>
      </c>
      <c r="J838">
        <v>1194</v>
      </c>
      <c r="K838" s="7">
        <v>0.1</v>
      </c>
      <c r="L838" t="s">
        <v>31</v>
      </c>
      <c r="M838" t="s">
        <v>22</v>
      </c>
      <c r="N838" t="s">
        <v>48</v>
      </c>
      <c r="O838">
        <v>4</v>
      </c>
      <c r="P838">
        <f>VLOOKUP(Table2[[#This Row],[Product_ID]],Table1[#All],8,TRUE)</f>
        <v>1500</v>
      </c>
    </row>
    <row r="839" spans="1:16" x14ac:dyDescent="0.3">
      <c r="A839" t="s">
        <v>1773</v>
      </c>
      <c r="B839" s="5" t="s">
        <v>1068</v>
      </c>
      <c r="C839" s="3" t="str">
        <f t="shared" si="13"/>
        <v>21-06-2023</v>
      </c>
      <c r="D839" t="s">
        <v>67</v>
      </c>
      <c r="E839" t="s">
        <v>629</v>
      </c>
      <c r="F839" t="s">
        <v>64</v>
      </c>
      <c r="G839" t="s">
        <v>29</v>
      </c>
      <c r="H839" t="s">
        <v>20</v>
      </c>
      <c r="I839">
        <v>3</v>
      </c>
      <c r="J839">
        <v>6783</v>
      </c>
      <c r="K839" s="7">
        <v>0.1</v>
      </c>
      <c r="L839" t="s">
        <v>21</v>
      </c>
      <c r="M839" t="s">
        <v>39</v>
      </c>
      <c r="N839" t="s">
        <v>59</v>
      </c>
      <c r="O839">
        <v>4.2</v>
      </c>
      <c r="P839">
        <f>VLOOKUP(Table2[[#This Row],[Product_ID]],Table1[#All],8,TRUE)</f>
        <v>900</v>
      </c>
    </row>
    <row r="840" spans="1:16" x14ac:dyDescent="0.3">
      <c r="A840" t="s">
        <v>1774</v>
      </c>
      <c r="B840" s="5" t="s">
        <v>894</v>
      </c>
      <c r="C840" s="3" t="str">
        <f t="shared" si="13"/>
        <v>21-02-2023</v>
      </c>
      <c r="D840" t="s">
        <v>16</v>
      </c>
      <c r="E840" t="s">
        <v>253</v>
      </c>
      <c r="F840" t="s">
        <v>28</v>
      </c>
      <c r="G840" t="s">
        <v>29</v>
      </c>
      <c r="H840" t="s">
        <v>77</v>
      </c>
      <c r="I840">
        <v>5</v>
      </c>
      <c r="J840">
        <v>2802</v>
      </c>
      <c r="K840" s="7">
        <v>0</v>
      </c>
      <c r="L840" t="s">
        <v>58</v>
      </c>
      <c r="M840" t="s">
        <v>39</v>
      </c>
      <c r="N840" t="s">
        <v>59</v>
      </c>
      <c r="P840">
        <f>VLOOKUP(Table2[[#This Row],[Product_ID]],Table1[#All],8,TRUE)</f>
        <v>0</v>
      </c>
    </row>
    <row r="841" spans="1:16" x14ac:dyDescent="0.3">
      <c r="A841" t="s">
        <v>242</v>
      </c>
      <c r="B841" s="5" t="s">
        <v>1775</v>
      </c>
      <c r="C841" s="3" t="str">
        <f t="shared" si="13"/>
        <v>01-10-2024</v>
      </c>
      <c r="D841" t="s">
        <v>67</v>
      </c>
      <c r="E841" t="s">
        <v>52</v>
      </c>
      <c r="F841" t="s">
        <v>18</v>
      </c>
      <c r="G841" t="s">
        <v>53</v>
      </c>
      <c r="H841" t="s">
        <v>77</v>
      </c>
      <c r="I841">
        <v>4</v>
      </c>
      <c r="J841">
        <v>8630</v>
      </c>
      <c r="K841" s="7">
        <v>0.05</v>
      </c>
      <c r="L841" t="s">
        <v>21</v>
      </c>
      <c r="M841" t="s">
        <v>22</v>
      </c>
      <c r="N841" t="s">
        <v>23</v>
      </c>
      <c r="O841">
        <v>3.8</v>
      </c>
      <c r="P841">
        <f>VLOOKUP(Table2[[#This Row],[Product_ID]],Table1[#All],8,TRUE)</f>
        <v>1500</v>
      </c>
    </row>
    <row r="842" spans="1:16" x14ac:dyDescent="0.3">
      <c r="A842" t="s">
        <v>1633</v>
      </c>
      <c r="B842" s="5" t="s">
        <v>1776</v>
      </c>
      <c r="C842" s="3" t="str">
        <f t="shared" si="13"/>
        <v>22-01-2023</v>
      </c>
      <c r="D842" t="s">
        <v>62</v>
      </c>
      <c r="E842" t="s">
        <v>635</v>
      </c>
      <c r="F842" t="s">
        <v>64</v>
      </c>
      <c r="G842" t="s">
        <v>53</v>
      </c>
      <c r="H842" t="s">
        <v>30</v>
      </c>
      <c r="I842">
        <v>2</v>
      </c>
      <c r="J842">
        <v>8025</v>
      </c>
      <c r="K842" s="7">
        <v>0</v>
      </c>
      <c r="L842" t="s">
        <v>31</v>
      </c>
      <c r="M842" t="s">
        <v>39</v>
      </c>
      <c r="N842" t="s">
        <v>23</v>
      </c>
      <c r="P842">
        <f>VLOOKUP(Table2[[#This Row],[Product_ID]],Table1[#All],8,TRUE)</f>
        <v>900</v>
      </c>
    </row>
    <row r="843" spans="1:16" x14ac:dyDescent="0.3">
      <c r="A843" t="s">
        <v>1777</v>
      </c>
      <c r="B843" s="5" t="s">
        <v>1778</v>
      </c>
      <c r="C843" s="3" t="str">
        <f t="shared" si="13"/>
        <v>24-02-2024</v>
      </c>
      <c r="D843" t="s">
        <v>71</v>
      </c>
      <c r="E843" t="s">
        <v>903</v>
      </c>
      <c r="F843" t="s">
        <v>64</v>
      </c>
      <c r="G843" t="s">
        <v>19</v>
      </c>
      <c r="H843" t="s">
        <v>30</v>
      </c>
      <c r="I843">
        <v>5</v>
      </c>
      <c r="J843">
        <v>2309</v>
      </c>
      <c r="K843" s="7">
        <v>0.1</v>
      </c>
      <c r="L843" t="s">
        <v>58</v>
      </c>
      <c r="M843" t="s">
        <v>22</v>
      </c>
      <c r="N843" t="s">
        <v>32</v>
      </c>
      <c r="O843">
        <v>4.0999999999999996</v>
      </c>
      <c r="P843">
        <f>VLOOKUP(Table2[[#This Row],[Product_ID]],Table1[#All],8,TRUE)</f>
        <v>1500</v>
      </c>
    </row>
    <row r="844" spans="1:16" x14ac:dyDescent="0.3">
      <c r="A844" t="s">
        <v>1779</v>
      </c>
      <c r="B844" s="5" t="s">
        <v>1780</v>
      </c>
      <c r="C844" s="3" t="str">
        <f t="shared" si="13"/>
        <v>08-09-2024</v>
      </c>
      <c r="D844" t="s">
        <v>96</v>
      </c>
      <c r="E844" t="s">
        <v>1438</v>
      </c>
      <c r="F844" t="s">
        <v>18</v>
      </c>
      <c r="G844" t="s">
        <v>53</v>
      </c>
      <c r="H844" t="s">
        <v>20</v>
      </c>
      <c r="I844">
        <v>4</v>
      </c>
      <c r="J844">
        <v>5427</v>
      </c>
      <c r="K844" s="7">
        <v>0.2</v>
      </c>
      <c r="L844" t="s">
        <v>31</v>
      </c>
      <c r="M844" t="s">
        <v>39</v>
      </c>
      <c r="N844" t="s">
        <v>23</v>
      </c>
      <c r="P844">
        <f>VLOOKUP(Table2[[#This Row],[Product_ID]],Table1[#All],8,TRUE)</f>
        <v>500</v>
      </c>
    </row>
    <row r="845" spans="1:16" x14ac:dyDescent="0.3">
      <c r="A845" t="s">
        <v>1781</v>
      </c>
      <c r="B845" s="5" t="s">
        <v>83</v>
      </c>
      <c r="C845" s="3" t="str">
        <f t="shared" si="13"/>
        <v>09-09-2023</v>
      </c>
      <c r="D845" t="s">
        <v>16</v>
      </c>
      <c r="E845" t="s">
        <v>1782</v>
      </c>
      <c r="F845" t="s">
        <v>18</v>
      </c>
      <c r="G845" t="s">
        <v>37</v>
      </c>
      <c r="H845" t="s">
        <v>30</v>
      </c>
      <c r="I845">
        <v>3</v>
      </c>
      <c r="J845">
        <v>1414</v>
      </c>
      <c r="K845" s="7">
        <v>0</v>
      </c>
      <c r="L845" t="s">
        <v>21</v>
      </c>
      <c r="M845" t="s">
        <v>39</v>
      </c>
      <c r="N845" t="s">
        <v>59</v>
      </c>
      <c r="P845">
        <f>VLOOKUP(Table2[[#This Row],[Product_ID]],Table1[#All],8,TRUE)</f>
        <v>1500</v>
      </c>
    </row>
    <row r="846" spans="1:16" x14ac:dyDescent="0.3">
      <c r="A846" t="s">
        <v>1783</v>
      </c>
      <c r="B846" s="5" t="s">
        <v>1575</v>
      </c>
      <c r="C846" s="3" t="str">
        <f t="shared" si="13"/>
        <v>16-04-2024</v>
      </c>
      <c r="D846" t="s">
        <v>114</v>
      </c>
      <c r="E846" t="s">
        <v>518</v>
      </c>
      <c r="F846" t="s">
        <v>98</v>
      </c>
      <c r="G846" t="s">
        <v>19</v>
      </c>
      <c r="H846" t="s">
        <v>30</v>
      </c>
      <c r="I846">
        <v>4</v>
      </c>
      <c r="J846">
        <v>2331</v>
      </c>
      <c r="K846" s="7">
        <v>0.15</v>
      </c>
      <c r="L846" t="s">
        <v>21</v>
      </c>
      <c r="M846" t="s">
        <v>22</v>
      </c>
      <c r="N846" t="s">
        <v>48</v>
      </c>
      <c r="P846">
        <f>VLOOKUP(Table2[[#This Row],[Product_ID]],Table1[#All],8,TRUE)</f>
        <v>1200</v>
      </c>
    </row>
    <row r="847" spans="1:16" x14ac:dyDescent="0.3">
      <c r="A847" t="s">
        <v>551</v>
      </c>
      <c r="B847" s="5" t="s">
        <v>1679</v>
      </c>
      <c r="C847" s="3" t="str">
        <f t="shared" si="13"/>
        <v>20-12-2024</v>
      </c>
      <c r="D847" t="s">
        <v>26</v>
      </c>
      <c r="E847" t="s">
        <v>351</v>
      </c>
      <c r="F847" t="s">
        <v>57</v>
      </c>
      <c r="G847" t="s">
        <v>37</v>
      </c>
      <c r="H847" t="s">
        <v>77</v>
      </c>
      <c r="I847">
        <v>3</v>
      </c>
      <c r="J847">
        <v>8279</v>
      </c>
      <c r="K847" s="7">
        <v>0</v>
      </c>
      <c r="L847" t="s">
        <v>21</v>
      </c>
      <c r="M847" t="s">
        <v>39</v>
      </c>
      <c r="N847" t="s">
        <v>23</v>
      </c>
      <c r="P847">
        <f>VLOOKUP(Table2[[#This Row],[Product_ID]],Table1[#All],8,TRUE)</f>
        <v>900</v>
      </c>
    </row>
    <row r="848" spans="1:16" x14ac:dyDescent="0.3">
      <c r="A848" t="s">
        <v>1784</v>
      </c>
      <c r="B848" s="5" t="s">
        <v>1116</v>
      </c>
      <c r="C848" s="3" t="str">
        <f t="shared" si="13"/>
        <v>02-12-2023</v>
      </c>
      <c r="D848" t="s">
        <v>127</v>
      </c>
      <c r="E848" t="s">
        <v>1345</v>
      </c>
      <c r="F848" t="s">
        <v>43</v>
      </c>
      <c r="G848" t="s">
        <v>19</v>
      </c>
      <c r="H848" t="s">
        <v>30</v>
      </c>
      <c r="I848">
        <v>1</v>
      </c>
      <c r="J848">
        <v>7597</v>
      </c>
      <c r="K848" s="7">
        <v>0</v>
      </c>
      <c r="L848" t="s">
        <v>21</v>
      </c>
      <c r="M848" t="s">
        <v>22</v>
      </c>
      <c r="N848" t="s">
        <v>23</v>
      </c>
      <c r="P848">
        <f>VLOOKUP(Table2[[#This Row],[Product_ID]],Table1[#All],8,TRUE)</f>
        <v>0</v>
      </c>
    </row>
    <row r="849" spans="1:16" x14ac:dyDescent="0.3">
      <c r="A849" t="s">
        <v>1785</v>
      </c>
      <c r="B849" s="5" t="s">
        <v>1786</v>
      </c>
      <c r="C849" s="3" t="str">
        <f t="shared" si="13"/>
        <v>25-01-2023</v>
      </c>
      <c r="D849" t="s">
        <v>127</v>
      </c>
      <c r="E849" t="s">
        <v>834</v>
      </c>
      <c r="F849" t="s">
        <v>43</v>
      </c>
      <c r="G849" t="s">
        <v>53</v>
      </c>
      <c r="H849" t="s">
        <v>77</v>
      </c>
      <c r="I849">
        <v>4</v>
      </c>
      <c r="J849">
        <v>9541</v>
      </c>
      <c r="K849" s="7">
        <v>0.1</v>
      </c>
      <c r="L849" t="s">
        <v>31</v>
      </c>
      <c r="M849" t="s">
        <v>22</v>
      </c>
      <c r="N849" t="s">
        <v>48</v>
      </c>
      <c r="P849">
        <f>VLOOKUP(Table2[[#This Row],[Product_ID]],Table1[#All],8,TRUE)</f>
        <v>500</v>
      </c>
    </row>
    <row r="850" spans="1:16" x14ac:dyDescent="0.3">
      <c r="A850" t="s">
        <v>598</v>
      </c>
      <c r="B850" s="5" t="s">
        <v>1527</v>
      </c>
      <c r="C850" s="3" t="str">
        <f t="shared" si="13"/>
        <v>28-12-2024</v>
      </c>
      <c r="D850" t="s">
        <v>84</v>
      </c>
      <c r="E850" t="s">
        <v>674</v>
      </c>
      <c r="F850" t="s">
        <v>57</v>
      </c>
      <c r="G850" t="s">
        <v>29</v>
      </c>
      <c r="H850" t="s">
        <v>20</v>
      </c>
      <c r="I850">
        <v>1</v>
      </c>
      <c r="J850">
        <v>5350</v>
      </c>
      <c r="K850" s="7">
        <v>0.1</v>
      </c>
      <c r="L850" t="s">
        <v>58</v>
      </c>
      <c r="M850" t="s">
        <v>22</v>
      </c>
      <c r="N850" t="s">
        <v>32</v>
      </c>
      <c r="O850">
        <v>4</v>
      </c>
      <c r="P850">
        <f>VLOOKUP(Table2[[#This Row],[Product_ID]],Table1[#All],8,TRUE)</f>
        <v>1200</v>
      </c>
    </row>
    <row r="851" spans="1:16" x14ac:dyDescent="0.3">
      <c r="A851" t="s">
        <v>1787</v>
      </c>
      <c r="B851" s="5" t="s">
        <v>1788</v>
      </c>
      <c r="C851" s="3" t="str">
        <f t="shared" si="13"/>
        <v>21-06-2023</v>
      </c>
      <c r="D851" t="s">
        <v>26</v>
      </c>
      <c r="E851" t="s">
        <v>295</v>
      </c>
      <c r="F851" t="s">
        <v>98</v>
      </c>
      <c r="G851" t="s">
        <v>29</v>
      </c>
      <c r="H851" t="s">
        <v>77</v>
      </c>
      <c r="I851">
        <v>1</v>
      </c>
      <c r="J851">
        <v>6099</v>
      </c>
      <c r="K851" s="7">
        <v>0.05</v>
      </c>
      <c r="L851" t="s">
        <v>21</v>
      </c>
      <c r="M851" t="s">
        <v>39</v>
      </c>
      <c r="N851" t="s">
        <v>59</v>
      </c>
      <c r="P851">
        <f>VLOOKUP(Table2[[#This Row],[Product_ID]],Table1[#All],8,TRUE)</f>
        <v>1500</v>
      </c>
    </row>
    <row r="852" spans="1:16" x14ac:dyDescent="0.3">
      <c r="A852" t="s">
        <v>89</v>
      </c>
      <c r="B852" s="5" t="s">
        <v>1789</v>
      </c>
      <c r="C852" s="3" t="str">
        <f t="shared" si="13"/>
        <v>06-09-2024</v>
      </c>
      <c r="D852" t="s">
        <v>91</v>
      </c>
      <c r="E852" t="s">
        <v>758</v>
      </c>
      <c r="F852" t="s">
        <v>28</v>
      </c>
      <c r="G852" t="s">
        <v>53</v>
      </c>
      <c r="H852" t="s">
        <v>30</v>
      </c>
      <c r="I852">
        <v>4</v>
      </c>
      <c r="J852">
        <v>1471</v>
      </c>
      <c r="K852" s="7">
        <v>0.15</v>
      </c>
      <c r="L852" t="s">
        <v>21</v>
      </c>
      <c r="M852" t="s">
        <v>39</v>
      </c>
      <c r="N852" t="s">
        <v>48</v>
      </c>
      <c r="O852">
        <v>4.2</v>
      </c>
      <c r="P852">
        <f>VLOOKUP(Table2[[#This Row],[Product_ID]],Table1[#All],8,TRUE)</f>
        <v>1500</v>
      </c>
    </row>
    <row r="853" spans="1:16" x14ac:dyDescent="0.3">
      <c r="A853" t="s">
        <v>1790</v>
      </c>
      <c r="B853" s="5" t="s">
        <v>1791</v>
      </c>
      <c r="C853" s="3" t="str">
        <f t="shared" si="13"/>
        <v>30-09-2024</v>
      </c>
      <c r="D853" t="s">
        <v>127</v>
      </c>
      <c r="E853" t="s">
        <v>357</v>
      </c>
      <c r="F853" t="s">
        <v>64</v>
      </c>
      <c r="G853" t="s">
        <v>29</v>
      </c>
      <c r="H853" t="s">
        <v>20</v>
      </c>
      <c r="I853">
        <v>4</v>
      </c>
      <c r="J853">
        <v>9707</v>
      </c>
      <c r="K853" s="7">
        <v>0.1</v>
      </c>
      <c r="L853" t="s">
        <v>38</v>
      </c>
      <c r="M853" t="s">
        <v>22</v>
      </c>
      <c r="N853" t="s">
        <v>32</v>
      </c>
      <c r="P853">
        <f>VLOOKUP(Table2[[#This Row],[Product_ID]],Table1[#All],8,TRUE)</f>
        <v>1200</v>
      </c>
    </row>
    <row r="854" spans="1:16" x14ac:dyDescent="0.3">
      <c r="A854" t="s">
        <v>1792</v>
      </c>
      <c r="B854" s="5" t="s">
        <v>1793</v>
      </c>
      <c r="C854" s="3" t="str">
        <f t="shared" si="13"/>
        <v>18-04-2024</v>
      </c>
      <c r="D854" t="s">
        <v>51</v>
      </c>
      <c r="E854" t="s">
        <v>1237</v>
      </c>
      <c r="F854" t="s">
        <v>64</v>
      </c>
      <c r="G854" t="s">
        <v>37</v>
      </c>
      <c r="H854" t="s">
        <v>77</v>
      </c>
      <c r="I854">
        <v>5</v>
      </c>
      <c r="J854">
        <v>8056</v>
      </c>
      <c r="K854" s="7">
        <v>0.1</v>
      </c>
      <c r="L854" t="s">
        <v>38</v>
      </c>
      <c r="M854" t="s">
        <v>22</v>
      </c>
      <c r="N854" t="s">
        <v>23</v>
      </c>
      <c r="O854">
        <v>4.8</v>
      </c>
      <c r="P854">
        <f>VLOOKUP(Table2[[#This Row],[Product_ID]],Table1[#All],8,TRUE)</f>
        <v>0</v>
      </c>
    </row>
    <row r="855" spans="1:16" x14ac:dyDescent="0.3">
      <c r="A855" t="s">
        <v>1794</v>
      </c>
      <c r="B855" s="5" t="s">
        <v>1695</v>
      </c>
      <c r="C855" s="3" t="str">
        <f t="shared" si="13"/>
        <v>16-05-2024</v>
      </c>
      <c r="D855" t="s">
        <v>35</v>
      </c>
      <c r="E855" t="s">
        <v>342</v>
      </c>
      <c r="F855" t="s">
        <v>57</v>
      </c>
      <c r="G855" t="s">
        <v>37</v>
      </c>
      <c r="H855" t="s">
        <v>77</v>
      </c>
      <c r="I855">
        <v>5</v>
      </c>
      <c r="J855">
        <v>1389</v>
      </c>
      <c r="K855" s="7">
        <v>0.1</v>
      </c>
      <c r="L855" t="s">
        <v>58</v>
      </c>
      <c r="M855" t="s">
        <v>39</v>
      </c>
      <c r="N855" t="s">
        <v>32</v>
      </c>
      <c r="P855">
        <f>VLOOKUP(Table2[[#This Row],[Product_ID]],Table1[#All],8,TRUE)</f>
        <v>0</v>
      </c>
    </row>
    <row r="856" spans="1:16" x14ac:dyDescent="0.3">
      <c r="A856" t="s">
        <v>1795</v>
      </c>
      <c r="B856" s="5" t="s">
        <v>1796</v>
      </c>
      <c r="C856" s="3" t="str">
        <f t="shared" si="13"/>
        <v>08-06-2023</v>
      </c>
      <c r="D856" t="s">
        <v>114</v>
      </c>
      <c r="E856" t="s">
        <v>1470</v>
      </c>
      <c r="F856" t="s">
        <v>57</v>
      </c>
      <c r="G856" t="s">
        <v>37</v>
      </c>
      <c r="H856" t="s">
        <v>99</v>
      </c>
      <c r="I856">
        <v>2</v>
      </c>
      <c r="J856">
        <v>1624</v>
      </c>
      <c r="K856" s="7">
        <v>0.05</v>
      </c>
      <c r="L856" t="s">
        <v>38</v>
      </c>
      <c r="M856" t="s">
        <v>22</v>
      </c>
      <c r="N856" t="s">
        <v>32</v>
      </c>
      <c r="O856">
        <v>4.0999999999999996</v>
      </c>
      <c r="P856">
        <f>VLOOKUP(Table2[[#This Row],[Product_ID]],Table1[#All],8,TRUE)</f>
        <v>1200</v>
      </c>
    </row>
    <row r="857" spans="1:16" x14ac:dyDescent="0.3">
      <c r="A857" t="s">
        <v>1797</v>
      </c>
      <c r="B857" s="5" t="s">
        <v>1798</v>
      </c>
      <c r="C857" s="3" t="str">
        <f t="shared" si="13"/>
        <v>25-10-2023</v>
      </c>
      <c r="D857" t="s">
        <v>35</v>
      </c>
      <c r="E857" t="s">
        <v>468</v>
      </c>
      <c r="F857" t="s">
        <v>73</v>
      </c>
      <c r="G857" t="s">
        <v>37</v>
      </c>
      <c r="H857" t="s">
        <v>30</v>
      </c>
      <c r="I857">
        <v>3</v>
      </c>
      <c r="J857">
        <v>7950</v>
      </c>
      <c r="K857" s="7">
        <v>0.2</v>
      </c>
      <c r="L857" t="s">
        <v>38</v>
      </c>
      <c r="M857" t="s">
        <v>22</v>
      </c>
      <c r="N857" t="s">
        <v>32</v>
      </c>
      <c r="P857">
        <f>VLOOKUP(Table2[[#This Row],[Product_ID]],Table1[#All],8,TRUE)</f>
        <v>1200</v>
      </c>
    </row>
    <row r="858" spans="1:16" x14ac:dyDescent="0.3">
      <c r="A858" t="s">
        <v>1799</v>
      </c>
      <c r="B858" s="5" t="s">
        <v>1800</v>
      </c>
      <c r="C858" s="3" t="str">
        <f t="shared" si="13"/>
        <v>05-03-2023</v>
      </c>
      <c r="D858" t="s">
        <v>131</v>
      </c>
      <c r="E858" t="s">
        <v>612</v>
      </c>
      <c r="F858" t="s">
        <v>73</v>
      </c>
      <c r="G858" t="s">
        <v>37</v>
      </c>
      <c r="H858" t="s">
        <v>30</v>
      </c>
      <c r="I858">
        <v>1</v>
      </c>
      <c r="J858">
        <v>2938</v>
      </c>
      <c r="K858" s="7">
        <v>0.2</v>
      </c>
      <c r="L858" t="s">
        <v>21</v>
      </c>
      <c r="M858" t="s">
        <v>39</v>
      </c>
      <c r="N858" t="s">
        <v>32</v>
      </c>
      <c r="P858">
        <f>VLOOKUP(Table2[[#This Row],[Product_ID]],Table1[#All],8,TRUE)</f>
        <v>1200</v>
      </c>
    </row>
    <row r="859" spans="1:16" x14ac:dyDescent="0.3">
      <c r="A859" t="s">
        <v>1801</v>
      </c>
      <c r="B859" s="5" t="s">
        <v>1802</v>
      </c>
      <c r="C859" s="3" t="str">
        <f t="shared" si="13"/>
        <v>20-03-2023</v>
      </c>
      <c r="D859" t="s">
        <v>35</v>
      </c>
      <c r="E859" t="s">
        <v>663</v>
      </c>
      <c r="F859" t="s">
        <v>73</v>
      </c>
      <c r="G859" t="s">
        <v>53</v>
      </c>
      <c r="H859" t="s">
        <v>30</v>
      </c>
      <c r="I859">
        <v>4</v>
      </c>
      <c r="J859">
        <v>9589</v>
      </c>
      <c r="K859" s="7">
        <v>0.15</v>
      </c>
      <c r="L859" t="s">
        <v>21</v>
      </c>
      <c r="M859" t="s">
        <v>22</v>
      </c>
      <c r="N859" t="s">
        <v>32</v>
      </c>
      <c r="O859">
        <v>3.8</v>
      </c>
      <c r="P859">
        <f>VLOOKUP(Table2[[#This Row],[Product_ID]],Table1[#All],8,TRUE)</f>
        <v>900</v>
      </c>
    </row>
    <row r="860" spans="1:16" x14ac:dyDescent="0.3">
      <c r="A860" t="s">
        <v>1803</v>
      </c>
      <c r="B860" s="5" t="s">
        <v>1294</v>
      </c>
      <c r="C860" s="3" t="str">
        <f t="shared" si="13"/>
        <v>02-09-2023</v>
      </c>
      <c r="D860" t="s">
        <v>127</v>
      </c>
      <c r="E860" t="s">
        <v>204</v>
      </c>
      <c r="F860" t="s">
        <v>64</v>
      </c>
      <c r="G860" t="s">
        <v>53</v>
      </c>
      <c r="H860" t="s">
        <v>30</v>
      </c>
      <c r="I860">
        <v>3</v>
      </c>
      <c r="J860">
        <v>3873</v>
      </c>
      <c r="K860" s="7">
        <v>0.1</v>
      </c>
      <c r="L860" t="s">
        <v>21</v>
      </c>
      <c r="M860" t="s">
        <v>39</v>
      </c>
      <c r="N860" t="s">
        <v>48</v>
      </c>
      <c r="O860">
        <v>3.5</v>
      </c>
      <c r="P860">
        <f>VLOOKUP(Table2[[#This Row],[Product_ID]],Table1[#All],8,TRUE)</f>
        <v>0</v>
      </c>
    </row>
    <row r="861" spans="1:16" x14ac:dyDescent="0.3">
      <c r="A861" t="s">
        <v>122</v>
      </c>
      <c r="B861" s="5" t="s">
        <v>1804</v>
      </c>
      <c r="C861" s="3" t="str">
        <f t="shared" si="13"/>
        <v>03-05-2023</v>
      </c>
      <c r="D861" t="s">
        <v>35</v>
      </c>
      <c r="E861" t="s">
        <v>1805</v>
      </c>
      <c r="F861" t="s">
        <v>64</v>
      </c>
      <c r="G861" t="s">
        <v>53</v>
      </c>
      <c r="H861" t="s">
        <v>99</v>
      </c>
      <c r="I861">
        <v>1</v>
      </c>
      <c r="J861">
        <v>4706</v>
      </c>
      <c r="K861" s="7">
        <v>0</v>
      </c>
      <c r="L861" t="s">
        <v>58</v>
      </c>
      <c r="M861" t="s">
        <v>22</v>
      </c>
      <c r="N861" t="s">
        <v>23</v>
      </c>
      <c r="O861">
        <v>4.2</v>
      </c>
      <c r="P861">
        <f>VLOOKUP(Table2[[#This Row],[Product_ID]],Table1[#All],8,TRUE)</f>
        <v>900</v>
      </c>
    </row>
    <row r="862" spans="1:16" x14ac:dyDescent="0.3">
      <c r="A862" t="s">
        <v>1806</v>
      </c>
      <c r="B862" s="5" t="s">
        <v>1807</v>
      </c>
      <c r="C862" s="3" t="str">
        <f t="shared" si="13"/>
        <v>13-03-2024</v>
      </c>
      <c r="D862" t="s">
        <v>96</v>
      </c>
      <c r="E862" t="s">
        <v>1108</v>
      </c>
      <c r="F862" t="s">
        <v>73</v>
      </c>
      <c r="G862" t="s">
        <v>37</v>
      </c>
      <c r="H862" t="s">
        <v>20</v>
      </c>
      <c r="I862">
        <v>4</v>
      </c>
      <c r="J862">
        <v>3713</v>
      </c>
      <c r="K862" s="7">
        <v>0.1</v>
      </c>
      <c r="L862" t="s">
        <v>21</v>
      </c>
      <c r="M862" t="s">
        <v>22</v>
      </c>
      <c r="N862" t="s">
        <v>59</v>
      </c>
      <c r="P862">
        <f>VLOOKUP(Table2[[#This Row],[Product_ID]],Table1[#All],8,TRUE)</f>
        <v>700</v>
      </c>
    </row>
    <row r="863" spans="1:16" x14ac:dyDescent="0.3">
      <c r="A863" t="s">
        <v>1808</v>
      </c>
      <c r="B863" s="5" t="s">
        <v>1219</v>
      </c>
      <c r="C863" s="3" t="str">
        <f t="shared" si="13"/>
        <v>29-12-2023</v>
      </c>
      <c r="D863" t="s">
        <v>80</v>
      </c>
      <c r="E863" t="s">
        <v>281</v>
      </c>
      <c r="F863" t="s">
        <v>43</v>
      </c>
      <c r="G863" t="s">
        <v>19</v>
      </c>
      <c r="H863" t="s">
        <v>77</v>
      </c>
      <c r="I863">
        <v>5</v>
      </c>
      <c r="J863">
        <v>4689</v>
      </c>
      <c r="K863" s="7">
        <v>0.2</v>
      </c>
      <c r="L863" t="s">
        <v>58</v>
      </c>
      <c r="M863" t="s">
        <v>39</v>
      </c>
      <c r="N863" t="s">
        <v>32</v>
      </c>
      <c r="P863">
        <f>VLOOKUP(Table2[[#This Row],[Product_ID]],Table1[#All],8,TRUE)</f>
        <v>1200</v>
      </c>
    </row>
    <row r="864" spans="1:16" x14ac:dyDescent="0.3">
      <c r="A864" t="s">
        <v>1809</v>
      </c>
      <c r="B864" s="5" t="s">
        <v>439</v>
      </c>
      <c r="C864" s="3" t="str">
        <f t="shared" si="13"/>
        <v>10-11-2023</v>
      </c>
      <c r="D864" t="s">
        <v>67</v>
      </c>
      <c r="E864" t="s">
        <v>1810</v>
      </c>
      <c r="F864" t="s">
        <v>18</v>
      </c>
      <c r="G864" t="s">
        <v>19</v>
      </c>
      <c r="H864" t="s">
        <v>30</v>
      </c>
      <c r="I864">
        <v>4</v>
      </c>
      <c r="J864">
        <v>4830</v>
      </c>
      <c r="K864" s="7">
        <v>0.1</v>
      </c>
      <c r="L864" t="s">
        <v>31</v>
      </c>
      <c r="M864" t="s">
        <v>39</v>
      </c>
      <c r="N864" t="s">
        <v>23</v>
      </c>
      <c r="P864">
        <f>VLOOKUP(Table2[[#This Row],[Product_ID]],Table1[#All],8,TRUE)</f>
        <v>1200</v>
      </c>
    </row>
    <row r="865" spans="1:16" x14ac:dyDescent="0.3">
      <c r="A865" t="s">
        <v>531</v>
      </c>
      <c r="B865" s="5" t="s">
        <v>1811</v>
      </c>
      <c r="C865" s="3" t="str">
        <f t="shared" si="13"/>
        <v>12-01-2024</v>
      </c>
      <c r="D865" t="s">
        <v>96</v>
      </c>
      <c r="E865" t="s">
        <v>712</v>
      </c>
      <c r="F865" t="s">
        <v>18</v>
      </c>
      <c r="G865" t="s">
        <v>19</v>
      </c>
      <c r="H865" t="s">
        <v>99</v>
      </c>
      <c r="I865">
        <v>5</v>
      </c>
      <c r="J865">
        <v>3953</v>
      </c>
      <c r="K865" s="7">
        <v>0</v>
      </c>
      <c r="L865" t="s">
        <v>58</v>
      </c>
      <c r="M865" t="s">
        <v>22</v>
      </c>
      <c r="N865" t="s">
        <v>32</v>
      </c>
      <c r="P865">
        <f>VLOOKUP(Table2[[#This Row],[Product_ID]],Table1[#All],8,TRUE)</f>
        <v>700</v>
      </c>
    </row>
    <row r="866" spans="1:16" x14ac:dyDescent="0.3">
      <c r="A866" t="s">
        <v>1535</v>
      </c>
      <c r="B866" s="5" t="s">
        <v>90</v>
      </c>
      <c r="C866" s="3" t="str">
        <f t="shared" si="13"/>
        <v>16-09-2024</v>
      </c>
      <c r="D866" t="s">
        <v>96</v>
      </c>
      <c r="E866" t="s">
        <v>503</v>
      </c>
      <c r="F866" t="s">
        <v>64</v>
      </c>
      <c r="G866" t="s">
        <v>53</v>
      </c>
      <c r="H866" t="s">
        <v>20</v>
      </c>
      <c r="I866">
        <v>3</v>
      </c>
      <c r="J866">
        <v>3827</v>
      </c>
      <c r="K866" s="7">
        <v>0.05</v>
      </c>
      <c r="L866" t="s">
        <v>31</v>
      </c>
      <c r="M866" t="s">
        <v>22</v>
      </c>
      <c r="N866" t="s">
        <v>32</v>
      </c>
      <c r="P866">
        <f>VLOOKUP(Table2[[#This Row],[Product_ID]],Table1[#All],8,TRUE)</f>
        <v>0</v>
      </c>
    </row>
    <row r="867" spans="1:16" x14ac:dyDescent="0.3">
      <c r="A867" t="s">
        <v>1812</v>
      </c>
      <c r="B867" s="5" t="s">
        <v>1813</v>
      </c>
      <c r="C867" s="3" t="str">
        <f t="shared" si="13"/>
        <v>30-07-2023</v>
      </c>
      <c r="D867" t="s">
        <v>67</v>
      </c>
      <c r="E867" t="s">
        <v>800</v>
      </c>
      <c r="F867" t="s">
        <v>98</v>
      </c>
      <c r="G867" t="s">
        <v>19</v>
      </c>
      <c r="H867" t="s">
        <v>99</v>
      </c>
      <c r="I867">
        <v>5</v>
      </c>
      <c r="J867">
        <v>9231</v>
      </c>
      <c r="K867" s="7">
        <v>0</v>
      </c>
      <c r="L867" t="s">
        <v>38</v>
      </c>
      <c r="M867" t="s">
        <v>39</v>
      </c>
      <c r="N867" t="s">
        <v>23</v>
      </c>
      <c r="O867">
        <v>4.3</v>
      </c>
      <c r="P867">
        <f>VLOOKUP(Table2[[#This Row],[Product_ID]],Table1[#All],8,TRUE)</f>
        <v>1200</v>
      </c>
    </row>
    <row r="868" spans="1:16" x14ac:dyDescent="0.3">
      <c r="A868" t="s">
        <v>1814</v>
      </c>
      <c r="B868" s="5" t="s">
        <v>197</v>
      </c>
      <c r="C868" s="3" t="str">
        <f t="shared" si="13"/>
        <v>06-01-2024</v>
      </c>
      <c r="D868" t="s">
        <v>131</v>
      </c>
      <c r="E868" t="s">
        <v>1815</v>
      </c>
      <c r="F868" t="s">
        <v>98</v>
      </c>
      <c r="G868" t="s">
        <v>37</v>
      </c>
      <c r="H868" t="s">
        <v>20</v>
      </c>
      <c r="I868">
        <v>5</v>
      </c>
      <c r="J868">
        <v>7951</v>
      </c>
      <c r="K868" s="7">
        <v>0.15</v>
      </c>
      <c r="L868" t="s">
        <v>21</v>
      </c>
      <c r="M868" t="s">
        <v>22</v>
      </c>
      <c r="N868" t="s">
        <v>48</v>
      </c>
      <c r="P868">
        <f>VLOOKUP(Table2[[#This Row],[Product_ID]],Table1[#All],8,TRUE)</f>
        <v>0</v>
      </c>
    </row>
    <row r="869" spans="1:16" x14ac:dyDescent="0.3">
      <c r="A869" t="s">
        <v>1816</v>
      </c>
      <c r="B869" s="5" t="s">
        <v>1817</v>
      </c>
      <c r="C869" s="3" t="str">
        <f t="shared" si="13"/>
        <v>31-12-2024</v>
      </c>
      <c r="D869" t="s">
        <v>114</v>
      </c>
      <c r="E869" t="s">
        <v>354</v>
      </c>
      <c r="F869" t="s">
        <v>57</v>
      </c>
      <c r="G869" t="s">
        <v>29</v>
      </c>
      <c r="H869" t="s">
        <v>77</v>
      </c>
      <c r="I869">
        <v>2</v>
      </c>
      <c r="J869">
        <v>9773</v>
      </c>
      <c r="K869" s="7">
        <v>0</v>
      </c>
      <c r="L869" t="s">
        <v>58</v>
      </c>
      <c r="M869" t="s">
        <v>22</v>
      </c>
      <c r="N869" t="s">
        <v>48</v>
      </c>
      <c r="P869">
        <f>VLOOKUP(Table2[[#This Row],[Product_ID]],Table1[#All],8,TRUE)</f>
        <v>0</v>
      </c>
    </row>
    <row r="870" spans="1:16" x14ac:dyDescent="0.3">
      <c r="A870" t="s">
        <v>1818</v>
      </c>
      <c r="B870" s="5" t="s">
        <v>1819</v>
      </c>
      <c r="C870" s="3" t="str">
        <f t="shared" si="13"/>
        <v>04-02-2023</v>
      </c>
      <c r="D870" t="s">
        <v>51</v>
      </c>
      <c r="E870" t="s">
        <v>42</v>
      </c>
      <c r="F870" t="s">
        <v>57</v>
      </c>
      <c r="G870" t="s">
        <v>53</v>
      </c>
      <c r="H870" t="s">
        <v>99</v>
      </c>
      <c r="I870">
        <v>3</v>
      </c>
      <c r="J870">
        <v>7389</v>
      </c>
      <c r="K870" s="7">
        <v>0.15</v>
      </c>
      <c r="L870" t="s">
        <v>38</v>
      </c>
      <c r="M870" t="s">
        <v>39</v>
      </c>
      <c r="N870" t="s">
        <v>59</v>
      </c>
      <c r="O870">
        <v>4.9000000000000004</v>
      </c>
      <c r="P870">
        <f>VLOOKUP(Table2[[#This Row],[Product_ID]],Table1[#All],8,TRUE)</f>
        <v>900</v>
      </c>
    </row>
    <row r="871" spans="1:16" x14ac:dyDescent="0.3">
      <c r="A871" t="s">
        <v>1820</v>
      </c>
      <c r="B871" s="5" t="s">
        <v>1821</v>
      </c>
      <c r="C871" s="3" t="str">
        <f t="shared" si="13"/>
        <v>02-11-2023</v>
      </c>
      <c r="D871" t="s">
        <v>35</v>
      </c>
      <c r="E871" t="s">
        <v>1561</v>
      </c>
      <c r="F871" t="s">
        <v>64</v>
      </c>
      <c r="G871" t="s">
        <v>53</v>
      </c>
      <c r="H871" t="s">
        <v>99</v>
      </c>
      <c r="I871">
        <v>5</v>
      </c>
      <c r="J871">
        <v>8171</v>
      </c>
      <c r="K871" s="7">
        <v>0</v>
      </c>
      <c r="L871" t="s">
        <v>58</v>
      </c>
      <c r="M871" t="s">
        <v>22</v>
      </c>
      <c r="N871" t="s">
        <v>48</v>
      </c>
      <c r="O871">
        <v>4.7</v>
      </c>
      <c r="P871">
        <f>VLOOKUP(Table2[[#This Row],[Product_ID]],Table1[#All],8,TRUE)</f>
        <v>900</v>
      </c>
    </row>
    <row r="872" spans="1:16" x14ac:dyDescent="0.3">
      <c r="A872" t="s">
        <v>1822</v>
      </c>
      <c r="B872" s="5" t="s">
        <v>1823</v>
      </c>
      <c r="C872" s="3" t="str">
        <f t="shared" si="13"/>
        <v>28-04-2024</v>
      </c>
      <c r="D872" t="s">
        <v>26</v>
      </c>
      <c r="E872" t="s">
        <v>712</v>
      </c>
      <c r="F872" t="s">
        <v>73</v>
      </c>
      <c r="G872" t="s">
        <v>37</v>
      </c>
      <c r="H872" t="s">
        <v>77</v>
      </c>
      <c r="I872">
        <v>1</v>
      </c>
      <c r="J872">
        <v>9638</v>
      </c>
      <c r="K872" s="7">
        <v>0.2</v>
      </c>
      <c r="L872" t="s">
        <v>31</v>
      </c>
      <c r="M872" t="s">
        <v>22</v>
      </c>
      <c r="N872" t="s">
        <v>48</v>
      </c>
      <c r="O872">
        <v>4.2</v>
      </c>
      <c r="P872">
        <f>VLOOKUP(Table2[[#This Row],[Product_ID]],Table1[#All],8,TRUE)</f>
        <v>700</v>
      </c>
    </row>
    <row r="873" spans="1:16" x14ac:dyDescent="0.3">
      <c r="A873" t="s">
        <v>1824</v>
      </c>
      <c r="B873" s="5" t="s">
        <v>1315</v>
      </c>
      <c r="C873" s="3" t="str">
        <f t="shared" si="13"/>
        <v>03-08-2023</v>
      </c>
      <c r="D873" t="s">
        <v>62</v>
      </c>
      <c r="E873" t="s">
        <v>716</v>
      </c>
      <c r="F873" t="s">
        <v>64</v>
      </c>
      <c r="G873" t="s">
        <v>53</v>
      </c>
      <c r="H873" t="s">
        <v>30</v>
      </c>
      <c r="I873">
        <v>4</v>
      </c>
      <c r="J873">
        <v>7054</v>
      </c>
      <c r="K873" s="7">
        <v>0.1</v>
      </c>
      <c r="L873" t="s">
        <v>58</v>
      </c>
      <c r="M873" t="s">
        <v>22</v>
      </c>
      <c r="N873" t="s">
        <v>32</v>
      </c>
      <c r="O873">
        <v>5</v>
      </c>
      <c r="P873">
        <f>VLOOKUP(Table2[[#This Row],[Product_ID]],Table1[#All],8,TRUE)</f>
        <v>700</v>
      </c>
    </row>
    <row r="874" spans="1:16" x14ac:dyDescent="0.3">
      <c r="A874" t="s">
        <v>855</v>
      </c>
      <c r="B874" s="5" t="s">
        <v>1442</v>
      </c>
      <c r="C874" s="3" t="str">
        <f t="shared" si="13"/>
        <v>18-11-2023</v>
      </c>
      <c r="D874" t="s">
        <v>91</v>
      </c>
      <c r="E874" t="s">
        <v>572</v>
      </c>
      <c r="F874" t="s">
        <v>57</v>
      </c>
      <c r="G874" t="s">
        <v>29</v>
      </c>
      <c r="H874" t="s">
        <v>30</v>
      </c>
      <c r="I874">
        <v>3</v>
      </c>
      <c r="J874">
        <v>7088</v>
      </c>
      <c r="K874" s="7">
        <v>0.1</v>
      </c>
      <c r="L874" t="s">
        <v>31</v>
      </c>
      <c r="M874" t="s">
        <v>22</v>
      </c>
      <c r="N874" t="s">
        <v>48</v>
      </c>
      <c r="O874">
        <v>4.0999999999999996</v>
      </c>
      <c r="P874">
        <f>VLOOKUP(Table2[[#This Row],[Product_ID]],Table1[#All],8,TRUE)</f>
        <v>700</v>
      </c>
    </row>
    <row r="875" spans="1:16" x14ac:dyDescent="0.3">
      <c r="A875" t="s">
        <v>1825</v>
      </c>
      <c r="B875" s="5" t="s">
        <v>1826</v>
      </c>
      <c r="C875" s="3" t="str">
        <f t="shared" si="13"/>
        <v>20-04-2023</v>
      </c>
      <c r="D875" t="s">
        <v>127</v>
      </c>
      <c r="E875" t="s">
        <v>405</v>
      </c>
      <c r="F875" t="s">
        <v>18</v>
      </c>
      <c r="G875" t="s">
        <v>53</v>
      </c>
      <c r="H875" t="s">
        <v>30</v>
      </c>
      <c r="I875">
        <v>2</v>
      </c>
      <c r="J875">
        <v>7391</v>
      </c>
      <c r="K875" s="7">
        <v>0.1</v>
      </c>
      <c r="L875" t="s">
        <v>31</v>
      </c>
      <c r="M875" t="s">
        <v>39</v>
      </c>
      <c r="N875" t="s">
        <v>32</v>
      </c>
      <c r="O875">
        <v>3.8</v>
      </c>
      <c r="P875">
        <f>VLOOKUP(Table2[[#This Row],[Product_ID]],Table1[#All],8,TRUE)</f>
        <v>1200</v>
      </c>
    </row>
    <row r="876" spans="1:16" x14ac:dyDescent="0.3">
      <c r="A876" t="s">
        <v>1827</v>
      </c>
      <c r="B876" s="5" t="s">
        <v>841</v>
      </c>
      <c r="C876" s="3" t="str">
        <f t="shared" si="13"/>
        <v>30-04-2024</v>
      </c>
      <c r="D876" t="s">
        <v>26</v>
      </c>
      <c r="E876" t="s">
        <v>839</v>
      </c>
      <c r="F876" t="s">
        <v>73</v>
      </c>
      <c r="G876" t="s">
        <v>29</v>
      </c>
      <c r="H876" t="s">
        <v>20</v>
      </c>
      <c r="I876">
        <v>4</v>
      </c>
      <c r="J876">
        <v>5465</v>
      </c>
      <c r="K876" s="7">
        <v>0.2</v>
      </c>
      <c r="L876" t="s">
        <v>21</v>
      </c>
      <c r="M876" t="s">
        <v>39</v>
      </c>
      <c r="N876" t="s">
        <v>32</v>
      </c>
      <c r="P876">
        <f>VLOOKUP(Table2[[#This Row],[Product_ID]],Table1[#All],8,TRUE)</f>
        <v>500</v>
      </c>
    </row>
    <row r="877" spans="1:16" x14ac:dyDescent="0.3">
      <c r="A877" t="s">
        <v>1828</v>
      </c>
      <c r="B877" s="5" t="s">
        <v>853</v>
      </c>
      <c r="C877" s="3" t="str">
        <f t="shared" si="13"/>
        <v>04-03-2023</v>
      </c>
      <c r="D877" t="s">
        <v>16</v>
      </c>
      <c r="E877" t="s">
        <v>108</v>
      </c>
      <c r="F877" t="s">
        <v>98</v>
      </c>
      <c r="G877" t="s">
        <v>19</v>
      </c>
      <c r="H877" t="s">
        <v>99</v>
      </c>
      <c r="I877">
        <v>3</v>
      </c>
      <c r="J877">
        <v>4405</v>
      </c>
      <c r="K877" s="7">
        <v>0.2</v>
      </c>
      <c r="L877" t="s">
        <v>21</v>
      </c>
      <c r="M877" t="s">
        <v>39</v>
      </c>
      <c r="N877" t="s">
        <v>23</v>
      </c>
      <c r="O877">
        <v>3.1</v>
      </c>
      <c r="P877">
        <f>VLOOKUP(Table2[[#This Row],[Product_ID]],Table1[#All],8,TRUE)</f>
        <v>500</v>
      </c>
    </row>
    <row r="878" spans="1:16" x14ac:dyDescent="0.3">
      <c r="A878" t="s">
        <v>1829</v>
      </c>
      <c r="B878" s="5" t="s">
        <v>1830</v>
      </c>
      <c r="C878" s="3" t="str">
        <f t="shared" si="13"/>
        <v>29-10-2024</v>
      </c>
      <c r="D878" t="s">
        <v>46</v>
      </c>
      <c r="E878" t="s">
        <v>1532</v>
      </c>
      <c r="F878" t="s">
        <v>43</v>
      </c>
      <c r="G878" t="s">
        <v>19</v>
      </c>
      <c r="H878" t="s">
        <v>77</v>
      </c>
      <c r="I878">
        <v>3</v>
      </c>
      <c r="J878">
        <v>5514</v>
      </c>
      <c r="K878" s="7">
        <v>0.1</v>
      </c>
      <c r="L878" t="s">
        <v>38</v>
      </c>
      <c r="M878" t="s">
        <v>22</v>
      </c>
      <c r="N878" t="s">
        <v>59</v>
      </c>
      <c r="O878">
        <v>3.1</v>
      </c>
      <c r="P878">
        <f>VLOOKUP(Table2[[#This Row],[Product_ID]],Table1[#All],8,TRUE)</f>
        <v>1500</v>
      </c>
    </row>
    <row r="879" spans="1:16" x14ac:dyDescent="0.3">
      <c r="A879" t="s">
        <v>1831</v>
      </c>
      <c r="B879" s="5" t="s">
        <v>1832</v>
      </c>
      <c r="C879" s="3" t="str">
        <f t="shared" si="13"/>
        <v>24-03-2024</v>
      </c>
      <c r="D879" t="s">
        <v>67</v>
      </c>
      <c r="E879" t="s">
        <v>1148</v>
      </c>
      <c r="F879" t="s">
        <v>98</v>
      </c>
      <c r="G879" t="s">
        <v>29</v>
      </c>
      <c r="H879" t="s">
        <v>77</v>
      </c>
      <c r="I879">
        <v>4</v>
      </c>
      <c r="J879">
        <v>4451</v>
      </c>
      <c r="K879" s="7">
        <v>0.15</v>
      </c>
      <c r="L879" t="s">
        <v>21</v>
      </c>
      <c r="M879" t="s">
        <v>22</v>
      </c>
      <c r="N879" t="s">
        <v>32</v>
      </c>
      <c r="P879">
        <f>VLOOKUP(Table2[[#This Row],[Product_ID]],Table1[#All],8,TRUE)</f>
        <v>700</v>
      </c>
    </row>
    <row r="880" spans="1:16" x14ac:dyDescent="0.3">
      <c r="A880" t="s">
        <v>1833</v>
      </c>
      <c r="B880" s="5" t="s">
        <v>265</v>
      </c>
      <c r="C880" s="3" t="str">
        <f t="shared" si="13"/>
        <v>24-02-2023</v>
      </c>
      <c r="D880" t="s">
        <v>96</v>
      </c>
      <c r="E880" t="s">
        <v>991</v>
      </c>
      <c r="F880" t="s">
        <v>28</v>
      </c>
      <c r="G880" t="s">
        <v>53</v>
      </c>
      <c r="H880" t="s">
        <v>30</v>
      </c>
      <c r="I880">
        <v>5</v>
      </c>
      <c r="J880">
        <v>9607</v>
      </c>
      <c r="K880" s="7">
        <v>0.05</v>
      </c>
      <c r="L880" t="s">
        <v>31</v>
      </c>
      <c r="M880" t="s">
        <v>39</v>
      </c>
      <c r="N880" t="s">
        <v>23</v>
      </c>
      <c r="P880">
        <f>VLOOKUP(Table2[[#This Row],[Product_ID]],Table1[#All],8,TRUE)</f>
        <v>0</v>
      </c>
    </row>
    <row r="881" spans="1:16" x14ac:dyDescent="0.3">
      <c r="A881" t="s">
        <v>1834</v>
      </c>
      <c r="B881" s="5" t="s">
        <v>1835</v>
      </c>
      <c r="C881" s="3" t="str">
        <f t="shared" si="13"/>
        <v>11-10-2023</v>
      </c>
      <c r="D881" t="s">
        <v>51</v>
      </c>
      <c r="E881" t="s">
        <v>400</v>
      </c>
      <c r="F881" t="s">
        <v>43</v>
      </c>
      <c r="G881" t="s">
        <v>29</v>
      </c>
      <c r="H881" t="s">
        <v>99</v>
      </c>
      <c r="I881">
        <v>2</v>
      </c>
      <c r="J881">
        <v>4646</v>
      </c>
      <c r="K881" s="7">
        <v>0.1</v>
      </c>
      <c r="L881" t="s">
        <v>38</v>
      </c>
      <c r="M881" t="s">
        <v>39</v>
      </c>
      <c r="N881" t="s">
        <v>32</v>
      </c>
      <c r="O881">
        <v>4.9000000000000004</v>
      </c>
      <c r="P881">
        <f>VLOOKUP(Table2[[#This Row],[Product_ID]],Table1[#All],8,TRUE)</f>
        <v>700</v>
      </c>
    </row>
    <row r="882" spans="1:16" x14ac:dyDescent="0.3">
      <c r="A882" t="s">
        <v>1822</v>
      </c>
      <c r="B882" s="5" t="s">
        <v>1836</v>
      </c>
      <c r="C882" s="3" t="str">
        <f t="shared" si="13"/>
        <v>21-09-2023</v>
      </c>
      <c r="D882" t="s">
        <v>26</v>
      </c>
      <c r="E882" t="s">
        <v>500</v>
      </c>
      <c r="F882" t="s">
        <v>43</v>
      </c>
      <c r="G882" t="s">
        <v>37</v>
      </c>
      <c r="H882" t="s">
        <v>30</v>
      </c>
      <c r="I882">
        <v>4</v>
      </c>
      <c r="J882">
        <v>6703</v>
      </c>
      <c r="K882" s="7">
        <v>0.1</v>
      </c>
      <c r="L882" t="s">
        <v>38</v>
      </c>
      <c r="M882" t="s">
        <v>39</v>
      </c>
      <c r="N882" t="s">
        <v>59</v>
      </c>
      <c r="O882">
        <v>4.8</v>
      </c>
      <c r="P882">
        <f>VLOOKUP(Table2[[#This Row],[Product_ID]],Table1[#All],8,TRUE)</f>
        <v>1200</v>
      </c>
    </row>
    <row r="883" spans="1:16" x14ac:dyDescent="0.3">
      <c r="A883" t="s">
        <v>1837</v>
      </c>
      <c r="B883" s="5" t="s">
        <v>1838</v>
      </c>
      <c r="C883" s="3" t="str">
        <f t="shared" si="13"/>
        <v>30-08-2024</v>
      </c>
      <c r="D883" t="s">
        <v>62</v>
      </c>
      <c r="E883" t="s">
        <v>1839</v>
      </c>
      <c r="F883" t="s">
        <v>64</v>
      </c>
      <c r="G883" t="s">
        <v>53</v>
      </c>
      <c r="H883" t="s">
        <v>99</v>
      </c>
      <c r="I883">
        <v>3</v>
      </c>
      <c r="J883">
        <v>6946</v>
      </c>
      <c r="K883" s="7">
        <v>0.05</v>
      </c>
      <c r="L883" t="s">
        <v>58</v>
      </c>
      <c r="M883" t="s">
        <v>39</v>
      </c>
      <c r="N883" t="s">
        <v>59</v>
      </c>
      <c r="P883">
        <f>VLOOKUP(Table2[[#This Row],[Product_ID]],Table1[#All],8,TRUE)</f>
        <v>700</v>
      </c>
    </row>
    <row r="884" spans="1:16" x14ac:dyDescent="0.3">
      <c r="A884" t="s">
        <v>1840</v>
      </c>
      <c r="B884" s="5" t="s">
        <v>1841</v>
      </c>
      <c r="C884" s="3" t="str">
        <f t="shared" si="13"/>
        <v>07-09-2024</v>
      </c>
      <c r="D884" t="s">
        <v>131</v>
      </c>
      <c r="E884" t="s">
        <v>1582</v>
      </c>
      <c r="F884" t="s">
        <v>18</v>
      </c>
      <c r="G884" t="s">
        <v>37</v>
      </c>
      <c r="H884" t="s">
        <v>77</v>
      </c>
      <c r="I884">
        <v>1</v>
      </c>
      <c r="J884">
        <v>8121</v>
      </c>
      <c r="K884" s="7">
        <v>0.1</v>
      </c>
      <c r="L884" t="s">
        <v>38</v>
      </c>
      <c r="M884" t="s">
        <v>39</v>
      </c>
      <c r="N884" t="s">
        <v>48</v>
      </c>
      <c r="P884">
        <f>VLOOKUP(Table2[[#This Row],[Product_ID]],Table1[#All],8,TRUE)</f>
        <v>900</v>
      </c>
    </row>
    <row r="885" spans="1:16" x14ac:dyDescent="0.3">
      <c r="A885" t="s">
        <v>748</v>
      </c>
      <c r="B885" s="5" t="s">
        <v>1842</v>
      </c>
      <c r="C885" s="3" t="str">
        <f t="shared" si="13"/>
        <v>25-01-2024</v>
      </c>
      <c r="D885" t="s">
        <v>114</v>
      </c>
      <c r="E885" t="s">
        <v>936</v>
      </c>
      <c r="F885" t="s">
        <v>98</v>
      </c>
      <c r="G885" t="s">
        <v>29</v>
      </c>
      <c r="H885" t="s">
        <v>20</v>
      </c>
      <c r="I885">
        <v>4</v>
      </c>
      <c r="J885">
        <v>3772</v>
      </c>
      <c r="K885" s="7">
        <v>0.05</v>
      </c>
      <c r="L885" t="s">
        <v>38</v>
      </c>
      <c r="M885" t="s">
        <v>22</v>
      </c>
      <c r="N885" t="s">
        <v>48</v>
      </c>
      <c r="P885">
        <f>VLOOKUP(Table2[[#This Row],[Product_ID]],Table1[#All],8,TRUE)</f>
        <v>1200</v>
      </c>
    </row>
    <row r="886" spans="1:16" x14ac:dyDescent="0.3">
      <c r="A886" t="s">
        <v>1508</v>
      </c>
      <c r="B886" s="5" t="s">
        <v>1843</v>
      </c>
      <c r="C886" s="3" t="str">
        <f t="shared" si="13"/>
        <v>27-02-2023</v>
      </c>
      <c r="D886" t="s">
        <v>51</v>
      </c>
      <c r="E886" t="s">
        <v>410</v>
      </c>
      <c r="F886" t="s">
        <v>18</v>
      </c>
      <c r="G886" t="s">
        <v>29</v>
      </c>
      <c r="H886" t="s">
        <v>30</v>
      </c>
      <c r="I886">
        <v>3</v>
      </c>
      <c r="J886">
        <v>3541</v>
      </c>
      <c r="K886" s="7">
        <v>0.05</v>
      </c>
      <c r="L886" t="s">
        <v>58</v>
      </c>
      <c r="M886" t="s">
        <v>22</v>
      </c>
      <c r="N886" t="s">
        <v>32</v>
      </c>
      <c r="O886">
        <v>3.7</v>
      </c>
      <c r="P886">
        <f>VLOOKUP(Table2[[#This Row],[Product_ID]],Table1[#All],8,TRUE)</f>
        <v>500</v>
      </c>
    </row>
    <row r="887" spans="1:16" x14ac:dyDescent="0.3">
      <c r="A887" t="s">
        <v>366</v>
      </c>
      <c r="B887" s="5" t="s">
        <v>277</v>
      </c>
      <c r="C887" s="3" t="str">
        <f t="shared" si="13"/>
        <v>01-04-2024</v>
      </c>
      <c r="D887" t="s">
        <v>16</v>
      </c>
      <c r="E887" t="s">
        <v>1393</v>
      </c>
      <c r="F887" t="s">
        <v>28</v>
      </c>
      <c r="G887" t="s">
        <v>19</v>
      </c>
      <c r="H887" t="s">
        <v>77</v>
      </c>
      <c r="I887">
        <v>4</v>
      </c>
      <c r="J887">
        <v>5236</v>
      </c>
      <c r="K887" s="7">
        <v>0</v>
      </c>
      <c r="L887" t="s">
        <v>38</v>
      </c>
      <c r="M887" t="s">
        <v>22</v>
      </c>
      <c r="N887" t="s">
        <v>23</v>
      </c>
      <c r="O887">
        <v>3.9</v>
      </c>
      <c r="P887">
        <f>VLOOKUP(Table2[[#This Row],[Product_ID]],Table1[#All],8,TRUE)</f>
        <v>700</v>
      </c>
    </row>
    <row r="888" spans="1:16" x14ac:dyDescent="0.3">
      <c r="A888" t="s">
        <v>1844</v>
      </c>
      <c r="B888" s="5" t="s">
        <v>1845</v>
      </c>
      <c r="C888" s="3" t="str">
        <f t="shared" si="13"/>
        <v>18-10-2024</v>
      </c>
      <c r="D888" t="s">
        <v>26</v>
      </c>
      <c r="E888" t="s">
        <v>1097</v>
      </c>
      <c r="F888" t="s">
        <v>43</v>
      </c>
      <c r="G888" t="s">
        <v>53</v>
      </c>
      <c r="H888" t="s">
        <v>77</v>
      </c>
      <c r="I888">
        <v>4</v>
      </c>
      <c r="J888">
        <v>9644</v>
      </c>
      <c r="K888" s="7">
        <v>0</v>
      </c>
      <c r="L888" t="s">
        <v>38</v>
      </c>
      <c r="M888" t="s">
        <v>39</v>
      </c>
      <c r="N888" t="s">
        <v>59</v>
      </c>
      <c r="O888">
        <v>3.7</v>
      </c>
      <c r="P888">
        <f>VLOOKUP(Table2[[#This Row],[Product_ID]],Table1[#All],8,TRUE)</f>
        <v>1500</v>
      </c>
    </row>
    <row r="889" spans="1:16" x14ac:dyDescent="0.3">
      <c r="A889" t="s">
        <v>1474</v>
      </c>
      <c r="B889" s="5" t="s">
        <v>283</v>
      </c>
      <c r="C889" s="3" t="str">
        <f t="shared" si="13"/>
        <v>15-04-2023</v>
      </c>
      <c r="D889" t="s">
        <v>46</v>
      </c>
      <c r="E889" t="s">
        <v>81</v>
      </c>
      <c r="F889" t="s">
        <v>73</v>
      </c>
      <c r="G889" t="s">
        <v>19</v>
      </c>
      <c r="H889" t="s">
        <v>99</v>
      </c>
      <c r="I889">
        <v>5</v>
      </c>
      <c r="J889">
        <v>8255</v>
      </c>
      <c r="K889" s="7">
        <v>0.05</v>
      </c>
      <c r="L889" t="s">
        <v>38</v>
      </c>
      <c r="M889" t="s">
        <v>39</v>
      </c>
      <c r="N889" t="s">
        <v>59</v>
      </c>
      <c r="P889">
        <f>VLOOKUP(Table2[[#This Row],[Product_ID]],Table1[#All],8,TRUE)</f>
        <v>1200</v>
      </c>
    </row>
    <row r="890" spans="1:16" x14ac:dyDescent="0.3">
      <c r="A890" t="s">
        <v>1846</v>
      </c>
      <c r="B890" s="5" t="s">
        <v>1318</v>
      </c>
      <c r="C890" s="3" t="str">
        <f t="shared" si="13"/>
        <v>23-06-2023</v>
      </c>
      <c r="D890" t="s">
        <v>26</v>
      </c>
      <c r="E890" t="s">
        <v>440</v>
      </c>
      <c r="F890" t="s">
        <v>98</v>
      </c>
      <c r="G890" t="s">
        <v>53</v>
      </c>
      <c r="H890" t="s">
        <v>99</v>
      </c>
      <c r="I890">
        <v>3</v>
      </c>
      <c r="J890">
        <v>3586</v>
      </c>
      <c r="K890" s="7">
        <v>0.05</v>
      </c>
      <c r="L890" t="s">
        <v>31</v>
      </c>
      <c r="M890" t="s">
        <v>39</v>
      </c>
      <c r="N890" t="s">
        <v>48</v>
      </c>
      <c r="P890">
        <f>VLOOKUP(Table2[[#This Row],[Product_ID]],Table1[#All],8,TRUE)</f>
        <v>700</v>
      </c>
    </row>
    <row r="891" spans="1:16" x14ac:dyDescent="0.3">
      <c r="A891" t="s">
        <v>1847</v>
      </c>
      <c r="B891" s="5" t="s">
        <v>1848</v>
      </c>
      <c r="C891" s="3" t="str">
        <f t="shared" si="13"/>
        <v>18-11-2024</v>
      </c>
      <c r="D891" t="s">
        <v>62</v>
      </c>
      <c r="E891" t="s">
        <v>943</v>
      </c>
      <c r="F891" t="s">
        <v>28</v>
      </c>
      <c r="G891" t="s">
        <v>19</v>
      </c>
      <c r="H891" t="s">
        <v>30</v>
      </c>
      <c r="I891">
        <v>5</v>
      </c>
      <c r="J891">
        <v>9835</v>
      </c>
      <c r="K891" s="7">
        <v>0</v>
      </c>
      <c r="L891" t="s">
        <v>21</v>
      </c>
      <c r="M891" t="s">
        <v>22</v>
      </c>
      <c r="N891" t="s">
        <v>32</v>
      </c>
      <c r="P891">
        <f>VLOOKUP(Table2[[#This Row],[Product_ID]],Table1[#All],8,TRUE)</f>
        <v>0</v>
      </c>
    </row>
    <row r="892" spans="1:16" x14ac:dyDescent="0.3">
      <c r="A892" t="s">
        <v>1794</v>
      </c>
      <c r="B892" s="5" t="s">
        <v>1849</v>
      </c>
      <c r="C892" s="3" t="str">
        <f t="shared" si="13"/>
        <v>18-01-2023</v>
      </c>
      <c r="D892" t="s">
        <v>26</v>
      </c>
      <c r="E892" t="s">
        <v>643</v>
      </c>
      <c r="F892" t="s">
        <v>73</v>
      </c>
      <c r="G892" t="s">
        <v>29</v>
      </c>
      <c r="H892" t="s">
        <v>20</v>
      </c>
      <c r="I892">
        <v>4</v>
      </c>
      <c r="J892">
        <v>5726</v>
      </c>
      <c r="K892" s="7">
        <v>0.1</v>
      </c>
      <c r="L892" t="s">
        <v>38</v>
      </c>
      <c r="M892" t="s">
        <v>39</v>
      </c>
      <c r="N892" t="s">
        <v>23</v>
      </c>
      <c r="O892">
        <v>3.7</v>
      </c>
      <c r="P892">
        <f>VLOOKUP(Table2[[#This Row],[Product_ID]],Table1[#All],8,TRUE)</f>
        <v>1200</v>
      </c>
    </row>
    <row r="893" spans="1:16" x14ac:dyDescent="0.3">
      <c r="A893" t="s">
        <v>1850</v>
      </c>
      <c r="B893" s="5" t="s">
        <v>1201</v>
      </c>
      <c r="C893" s="3" t="str">
        <f t="shared" si="13"/>
        <v>26-02-2024</v>
      </c>
      <c r="D893" t="s">
        <v>91</v>
      </c>
      <c r="E893" t="s">
        <v>146</v>
      </c>
      <c r="F893" t="s">
        <v>18</v>
      </c>
      <c r="G893" t="s">
        <v>29</v>
      </c>
      <c r="H893" t="s">
        <v>30</v>
      </c>
      <c r="I893">
        <v>5</v>
      </c>
      <c r="J893">
        <v>9863</v>
      </c>
      <c r="K893" s="7">
        <v>0.05</v>
      </c>
      <c r="L893" t="s">
        <v>38</v>
      </c>
      <c r="M893" t="s">
        <v>22</v>
      </c>
      <c r="N893" t="s">
        <v>32</v>
      </c>
      <c r="P893">
        <f>VLOOKUP(Table2[[#This Row],[Product_ID]],Table1[#All],8,TRUE)</f>
        <v>0</v>
      </c>
    </row>
    <row r="894" spans="1:16" x14ac:dyDescent="0.3">
      <c r="A894" t="s">
        <v>1851</v>
      </c>
      <c r="B894" s="5" t="s">
        <v>1852</v>
      </c>
      <c r="C894" s="3" t="str">
        <f t="shared" si="13"/>
        <v>07-12-2024</v>
      </c>
      <c r="D894" t="s">
        <v>71</v>
      </c>
      <c r="E894" t="s">
        <v>1782</v>
      </c>
      <c r="F894" t="s">
        <v>18</v>
      </c>
      <c r="G894" t="s">
        <v>19</v>
      </c>
      <c r="H894" t="s">
        <v>99</v>
      </c>
      <c r="I894">
        <v>5</v>
      </c>
      <c r="J894">
        <v>6190</v>
      </c>
      <c r="K894" s="7">
        <v>0.05</v>
      </c>
      <c r="L894" t="s">
        <v>31</v>
      </c>
      <c r="M894" t="s">
        <v>39</v>
      </c>
      <c r="N894" t="s">
        <v>23</v>
      </c>
      <c r="P894">
        <f>VLOOKUP(Table2[[#This Row],[Product_ID]],Table1[#All],8,TRUE)</f>
        <v>1500</v>
      </c>
    </row>
    <row r="895" spans="1:16" x14ac:dyDescent="0.3">
      <c r="A895" t="s">
        <v>190</v>
      </c>
      <c r="B895" s="5" t="s">
        <v>589</v>
      </c>
      <c r="C895" s="3" t="str">
        <f t="shared" si="13"/>
        <v>22-05-2024</v>
      </c>
      <c r="D895" t="s">
        <v>71</v>
      </c>
      <c r="E895" t="s">
        <v>303</v>
      </c>
      <c r="F895" t="s">
        <v>73</v>
      </c>
      <c r="G895" t="s">
        <v>19</v>
      </c>
      <c r="H895" t="s">
        <v>99</v>
      </c>
      <c r="I895">
        <v>3</v>
      </c>
      <c r="J895">
        <v>2911</v>
      </c>
      <c r="K895" s="7">
        <v>0.1</v>
      </c>
      <c r="L895" t="s">
        <v>58</v>
      </c>
      <c r="M895" t="s">
        <v>39</v>
      </c>
      <c r="N895" t="s">
        <v>48</v>
      </c>
      <c r="O895">
        <v>3.7</v>
      </c>
      <c r="P895">
        <f>VLOOKUP(Table2[[#This Row],[Product_ID]],Table1[#All],8,TRUE)</f>
        <v>1500</v>
      </c>
    </row>
    <row r="896" spans="1:16" x14ac:dyDescent="0.3">
      <c r="A896" t="s">
        <v>1853</v>
      </c>
      <c r="B896" s="5" t="s">
        <v>231</v>
      </c>
      <c r="C896" s="3" t="str">
        <f t="shared" si="13"/>
        <v>28-02-2023</v>
      </c>
      <c r="D896" t="s">
        <v>131</v>
      </c>
      <c r="E896" t="s">
        <v>300</v>
      </c>
      <c r="F896" t="s">
        <v>28</v>
      </c>
      <c r="G896" t="s">
        <v>29</v>
      </c>
      <c r="H896" t="s">
        <v>99</v>
      </c>
      <c r="I896">
        <v>3</v>
      </c>
      <c r="J896">
        <v>3891</v>
      </c>
      <c r="K896" s="7">
        <v>0.2</v>
      </c>
      <c r="L896" t="s">
        <v>58</v>
      </c>
      <c r="M896" t="s">
        <v>39</v>
      </c>
      <c r="N896" t="s">
        <v>48</v>
      </c>
      <c r="P896">
        <f>VLOOKUP(Table2[[#This Row],[Product_ID]],Table1[#All],8,TRUE)</f>
        <v>500</v>
      </c>
    </row>
    <row r="897" spans="1:16" x14ac:dyDescent="0.3">
      <c r="A897" t="s">
        <v>1854</v>
      </c>
      <c r="B897" s="5" t="s">
        <v>1647</v>
      </c>
      <c r="C897" s="3" t="str">
        <f t="shared" si="13"/>
        <v>27-12-2023</v>
      </c>
      <c r="D897" t="s">
        <v>127</v>
      </c>
      <c r="E897" t="s">
        <v>726</v>
      </c>
      <c r="F897" t="s">
        <v>28</v>
      </c>
      <c r="G897" t="s">
        <v>37</v>
      </c>
      <c r="H897" t="s">
        <v>30</v>
      </c>
      <c r="I897">
        <v>1</v>
      </c>
      <c r="J897">
        <v>9136</v>
      </c>
      <c r="K897" s="7">
        <v>0.15</v>
      </c>
      <c r="L897" t="s">
        <v>31</v>
      </c>
      <c r="M897" t="s">
        <v>22</v>
      </c>
      <c r="N897" t="s">
        <v>32</v>
      </c>
      <c r="O897">
        <v>4.8</v>
      </c>
      <c r="P897">
        <f>VLOOKUP(Table2[[#This Row],[Product_ID]],Table1[#All],8,TRUE)</f>
        <v>0</v>
      </c>
    </row>
    <row r="898" spans="1:16" x14ac:dyDescent="0.3">
      <c r="A898" t="s">
        <v>1855</v>
      </c>
      <c r="B898" s="5" t="s">
        <v>117</v>
      </c>
      <c r="C898" s="3" t="str">
        <f t="shared" ref="C898:C961" si="14">TEXT(B898,"dd-mm-yyyy")</f>
        <v>15-07-2024</v>
      </c>
      <c r="D898" t="s">
        <v>96</v>
      </c>
      <c r="E898" t="s">
        <v>314</v>
      </c>
      <c r="F898" t="s">
        <v>18</v>
      </c>
      <c r="G898" t="s">
        <v>37</v>
      </c>
      <c r="H898" t="s">
        <v>99</v>
      </c>
      <c r="I898">
        <v>5</v>
      </c>
      <c r="J898">
        <v>9957</v>
      </c>
      <c r="K898" s="7">
        <v>0.15</v>
      </c>
      <c r="L898" t="s">
        <v>31</v>
      </c>
      <c r="M898" t="s">
        <v>39</v>
      </c>
      <c r="N898" t="s">
        <v>59</v>
      </c>
      <c r="P898">
        <f>VLOOKUP(Table2[[#This Row],[Product_ID]],Table1[#All],8,TRUE)</f>
        <v>500</v>
      </c>
    </row>
    <row r="899" spans="1:16" x14ac:dyDescent="0.3">
      <c r="A899" t="s">
        <v>961</v>
      </c>
      <c r="B899" s="5" t="s">
        <v>1856</v>
      </c>
      <c r="C899" s="3" t="str">
        <f t="shared" si="14"/>
        <v>26-09-2024</v>
      </c>
      <c r="D899" t="s">
        <v>131</v>
      </c>
      <c r="E899" t="s">
        <v>357</v>
      </c>
      <c r="F899" t="s">
        <v>28</v>
      </c>
      <c r="G899" t="s">
        <v>53</v>
      </c>
      <c r="H899" t="s">
        <v>99</v>
      </c>
      <c r="I899">
        <v>4</v>
      </c>
      <c r="J899">
        <v>2417</v>
      </c>
      <c r="K899" s="7">
        <v>0.1</v>
      </c>
      <c r="L899" t="s">
        <v>31</v>
      </c>
      <c r="M899" t="s">
        <v>22</v>
      </c>
      <c r="N899" t="s">
        <v>32</v>
      </c>
      <c r="P899">
        <f>VLOOKUP(Table2[[#This Row],[Product_ID]],Table1[#All],8,TRUE)</f>
        <v>1200</v>
      </c>
    </row>
    <row r="900" spans="1:16" x14ac:dyDescent="0.3">
      <c r="A900" t="s">
        <v>1288</v>
      </c>
      <c r="B900" s="5" t="s">
        <v>1857</v>
      </c>
      <c r="C900" s="3" t="str">
        <f t="shared" si="14"/>
        <v>15-01-2023</v>
      </c>
      <c r="D900" t="s">
        <v>62</v>
      </c>
      <c r="E900" t="s">
        <v>486</v>
      </c>
      <c r="F900" t="s">
        <v>98</v>
      </c>
      <c r="G900" t="s">
        <v>37</v>
      </c>
      <c r="H900" t="s">
        <v>30</v>
      </c>
      <c r="I900">
        <v>3</v>
      </c>
      <c r="J900">
        <v>3775</v>
      </c>
      <c r="K900" s="7">
        <v>0.15</v>
      </c>
      <c r="L900" t="s">
        <v>21</v>
      </c>
      <c r="M900" t="s">
        <v>22</v>
      </c>
      <c r="N900" t="s">
        <v>32</v>
      </c>
      <c r="P900">
        <f>VLOOKUP(Table2[[#This Row],[Product_ID]],Table1[#All],8,TRUE)</f>
        <v>500</v>
      </c>
    </row>
    <row r="901" spans="1:16" x14ac:dyDescent="0.3">
      <c r="A901" t="s">
        <v>1858</v>
      </c>
      <c r="B901" s="5" t="s">
        <v>1859</v>
      </c>
      <c r="C901" s="3" t="str">
        <f t="shared" si="14"/>
        <v>15-02-2023</v>
      </c>
      <c r="D901" t="s">
        <v>91</v>
      </c>
      <c r="E901" t="s">
        <v>883</v>
      </c>
      <c r="F901" t="s">
        <v>73</v>
      </c>
      <c r="G901" t="s">
        <v>29</v>
      </c>
      <c r="H901" t="s">
        <v>77</v>
      </c>
      <c r="I901">
        <v>1</v>
      </c>
      <c r="J901">
        <v>2244</v>
      </c>
      <c r="K901" s="7">
        <v>0.2</v>
      </c>
      <c r="L901" t="s">
        <v>21</v>
      </c>
      <c r="M901" t="s">
        <v>39</v>
      </c>
      <c r="N901" t="s">
        <v>23</v>
      </c>
      <c r="O901">
        <v>5</v>
      </c>
      <c r="P901">
        <f>VLOOKUP(Table2[[#This Row],[Product_ID]],Table1[#All],8,TRUE)</f>
        <v>500</v>
      </c>
    </row>
    <row r="902" spans="1:16" x14ac:dyDescent="0.3">
      <c r="A902" t="s">
        <v>1860</v>
      </c>
      <c r="B902" s="5" t="s">
        <v>1861</v>
      </c>
      <c r="C902" s="3" t="str">
        <f t="shared" si="14"/>
        <v>08-01-2024</v>
      </c>
      <c r="D902" t="s">
        <v>35</v>
      </c>
      <c r="E902" t="s">
        <v>266</v>
      </c>
      <c r="F902" t="s">
        <v>18</v>
      </c>
      <c r="G902" t="s">
        <v>37</v>
      </c>
      <c r="H902" t="s">
        <v>30</v>
      </c>
      <c r="I902">
        <v>3</v>
      </c>
      <c r="J902">
        <v>3528</v>
      </c>
      <c r="K902" s="7">
        <v>0.2</v>
      </c>
      <c r="L902" t="s">
        <v>31</v>
      </c>
      <c r="M902" t="s">
        <v>39</v>
      </c>
      <c r="N902" t="s">
        <v>32</v>
      </c>
      <c r="P902">
        <f>VLOOKUP(Table2[[#This Row],[Product_ID]],Table1[#All],8,TRUE)</f>
        <v>1200</v>
      </c>
    </row>
    <row r="903" spans="1:16" x14ac:dyDescent="0.3">
      <c r="A903" t="s">
        <v>1862</v>
      </c>
      <c r="B903" s="5" t="s">
        <v>1495</v>
      </c>
      <c r="C903" s="3" t="str">
        <f t="shared" si="14"/>
        <v>14-06-2024</v>
      </c>
      <c r="D903" t="s">
        <v>80</v>
      </c>
      <c r="E903" t="s">
        <v>1212</v>
      </c>
      <c r="F903" t="s">
        <v>98</v>
      </c>
      <c r="G903" t="s">
        <v>37</v>
      </c>
      <c r="H903" t="s">
        <v>30</v>
      </c>
      <c r="I903">
        <v>4</v>
      </c>
      <c r="J903">
        <v>3289</v>
      </c>
      <c r="K903" s="7">
        <v>0</v>
      </c>
      <c r="L903" t="s">
        <v>31</v>
      </c>
      <c r="M903" t="s">
        <v>39</v>
      </c>
      <c r="N903" t="s">
        <v>23</v>
      </c>
      <c r="O903">
        <v>4.8</v>
      </c>
      <c r="P903">
        <f>VLOOKUP(Table2[[#This Row],[Product_ID]],Table1[#All],8,TRUE)</f>
        <v>700</v>
      </c>
    </row>
    <row r="904" spans="1:16" x14ac:dyDescent="0.3">
      <c r="A904" t="s">
        <v>1128</v>
      </c>
      <c r="B904" s="5" t="s">
        <v>1863</v>
      </c>
      <c r="C904" s="3" t="str">
        <f t="shared" si="14"/>
        <v>02-07-2024</v>
      </c>
      <c r="D904" t="s">
        <v>51</v>
      </c>
      <c r="E904" t="s">
        <v>856</v>
      </c>
      <c r="F904" t="s">
        <v>18</v>
      </c>
      <c r="G904" t="s">
        <v>29</v>
      </c>
      <c r="H904" t="s">
        <v>99</v>
      </c>
      <c r="I904">
        <v>1</v>
      </c>
      <c r="J904">
        <v>2894</v>
      </c>
      <c r="K904" s="7">
        <v>0.1</v>
      </c>
      <c r="L904" t="s">
        <v>31</v>
      </c>
      <c r="M904" t="s">
        <v>22</v>
      </c>
      <c r="N904" t="s">
        <v>48</v>
      </c>
      <c r="P904">
        <f>VLOOKUP(Table2[[#This Row],[Product_ID]],Table1[#All],8,TRUE)</f>
        <v>1500</v>
      </c>
    </row>
    <row r="905" spans="1:16" x14ac:dyDescent="0.3">
      <c r="A905" t="s">
        <v>1565</v>
      </c>
      <c r="B905" s="5" t="s">
        <v>1864</v>
      </c>
      <c r="C905" s="3" t="str">
        <f t="shared" si="14"/>
        <v>21-11-2023</v>
      </c>
      <c r="D905" t="s">
        <v>46</v>
      </c>
      <c r="E905" t="s">
        <v>585</v>
      </c>
      <c r="F905" t="s">
        <v>43</v>
      </c>
      <c r="G905" t="s">
        <v>37</v>
      </c>
      <c r="H905" t="s">
        <v>30</v>
      </c>
      <c r="I905">
        <v>3</v>
      </c>
      <c r="J905">
        <v>5710</v>
      </c>
      <c r="K905" s="7">
        <v>0.2</v>
      </c>
      <c r="L905" t="s">
        <v>58</v>
      </c>
      <c r="M905" t="s">
        <v>22</v>
      </c>
      <c r="N905" t="s">
        <v>32</v>
      </c>
      <c r="P905">
        <f>VLOOKUP(Table2[[#This Row],[Product_ID]],Table1[#All],8,TRUE)</f>
        <v>700</v>
      </c>
    </row>
    <row r="906" spans="1:16" x14ac:dyDescent="0.3">
      <c r="A906" t="s">
        <v>1366</v>
      </c>
      <c r="B906" s="5" t="s">
        <v>1685</v>
      </c>
      <c r="C906" s="3" t="str">
        <f t="shared" si="14"/>
        <v>18-10-2023</v>
      </c>
      <c r="D906" t="s">
        <v>51</v>
      </c>
      <c r="E906" t="s">
        <v>869</v>
      </c>
      <c r="F906" t="s">
        <v>28</v>
      </c>
      <c r="G906" t="s">
        <v>19</v>
      </c>
      <c r="H906" t="s">
        <v>77</v>
      </c>
      <c r="I906">
        <v>2</v>
      </c>
      <c r="J906">
        <v>9140</v>
      </c>
      <c r="K906" s="7">
        <v>0.1</v>
      </c>
      <c r="L906" t="s">
        <v>38</v>
      </c>
      <c r="M906" t="s">
        <v>22</v>
      </c>
      <c r="N906" t="s">
        <v>48</v>
      </c>
      <c r="P906">
        <f>VLOOKUP(Table2[[#This Row],[Product_ID]],Table1[#All],8,TRUE)</f>
        <v>900</v>
      </c>
    </row>
    <row r="907" spans="1:16" x14ac:dyDescent="0.3">
      <c r="A907" t="s">
        <v>1537</v>
      </c>
      <c r="B907" s="5" t="s">
        <v>511</v>
      </c>
      <c r="C907" s="3" t="str">
        <f t="shared" si="14"/>
        <v>17-01-2023</v>
      </c>
      <c r="D907" t="s">
        <v>80</v>
      </c>
      <c r="E907" t="s">
        <v>85</v>
      </c>
      <c r="F907" t="s">
        <v>28</v>
      </c>
      <c r="G907" t="s">
        <v>29</v>
      </c>
      <c r="H907" t="s">
        <v>20</v>
      </c>
      <c r="I907">
        <v>4</v>
      </c>
      <c r="J907">
        <v>4124</v>
      </c>
      <c r="K907" s="7">
        <v>0.05</v>
      </c>
      <c r="L907" t="s">
        <v>38</v>
      </c>
      <c r="M907" t="s">
        <v>39</v>
      </c>
      <c r="N907" t="s">
        <v>32</v>
      </c>
      <c r="O907">
        <v>3.9</v>
      </c>
      <c r="P907">
        <f>VLOOKUP(Table2[[#This Row],[Product_ID]],Table1[#All],8,TRUE)</f>
        <v>0</v>
      </c>
    </row>
    <row r="908" spans="1:16" x14ac:dyDescent="0.3">
      <c r="A908" t="s">
        <v>1039</v>
      </c>
      <c r="B908" s="5" t="s">
        <v>1865</v>
      </c>
      <c r="C908" s="3" t="str">
        <f t="shared" si="14"/>
        <v>10-09-2023</v>
      </c>
      <c r="D908" t="s">
        <v>62</v>
      </c>
      <c r="E908" t="s">
        <v>425</v>
      </c>
      <c r="F908" t="s">
        <v>64</v>
      </c>
      <c r="G908" t="s">
        <v>19</v>
      </c>
      <c r="H908" t="s">
        <v>99</v>
      </c>
      <c r="I908">
        <v>5</v>
      </c>
      <c r="J908">
        <v>8943</v>
      </c>
      <c r="K908" s="7">
        <v>0.05</v>
      </c>
      <c r="L908" t="s">
        <v>21</v>
      </c>
      <c r="M908" t="s">
        <v>22</v>
      </c>
      <c r="N908" t="s">
        <v>32</v>
      </c>
      <c r="P908">
        <f>VLOOKUP(Table2[[#This Row],[Product_ID]],Table1[#All],8,TRUE)</f>
        <v>1500</v>
      </c>
    </row>
    <row r="909" spans="1:16" x14ac:dyDescent="0.3">
      <c r="A909" t="s">
        <v>1866</v>
      </c>
      <c r="B909" s="5" t="s">
        <v>1867</v>
      </c>
      <c r="C909" s="3" t="str">
        <f t="shared" si="14"/>
        <v>23-12-2024</v>
      </c>
      <c r="D909" t="s">
        <v>35</v>
      </c>
      <c r="E909" t="s">
        <v>1024</v>
      </c>
      <c r="F909" t="s">
        <v>18</v>
      </c>
      <c r="G909" t="s">
        <v>53</v>
      </c>
      <c r="H909" t="s">
        <v>30</v>
      </c>
      <c r="I909">
        <v>2</v>
      </c>
      <c r="J909">
        <v>7888</v>
      </c>
      <c r="K909" s="7">
        <v>0.2</v>
      </c>
      <c r="L909" t="s">
        <v>38</v>
      </c>
      <c r="M909" t="s">
        <v>22</v>
      </c>
      <c r="N909" t="s">
        <v>23</v>
      </c>
      <c r="O909">
        <v>3</v>
      </c>
      <c r="P909">
        <f>VLOOKUP(Table2[[#This Row],[Product_ID]],Table1[#All],8,TRUE)</f>
        <v>500</v>
      </c>
    </row>
    <row r="910" spans="1:16" x14ac:dyDescent="0.3">
      <c r="A910" t="s">
        <v>1868</v>
      </c>
      <c r="B910" s="5" t="s">
        <v>1869</v>
      </c>
      <c r="C910" s="3" t="str">
        <f t="shared" si="14"/>
        <v>02-02-2023</v>
      </c>
      <c r="D910" t="s">
        <v>26</v>
      </c>
      <c r="E910" t="s">
        <v>425</v>
      </c>
      <c r="F910" t="s">
        <v>73</v>
      </c>
      <c r="G910" t="s">
        <v>37</v>
      </c>
      <c r="H910" t="s">
        <v>30</v>
      </c>
      <c r="I910">
        <v>2</v>
      </c>
      <c r="J910">
        <v>3282</v>
      </c>
      <c r="K910" s="7">
        <v>0.1</v>
      </c>
      <c r="L910" t="s">
        <v>21</v>
      </c>
      <c r="M910" t="s">
        <v>22</v>
      </c>
      <c r="N910" t="s">
        <v>48</v>
      </c>
      <c r="P910">
        <f>VLOOKUP(Table2[[#This Row],[Product_ID]],Table1[#All],8,TRUE)</f>
        <v>1500</v>
      </c>
    </row>
    <row r="911" spans="1:16" x14ac:dyDescent="0.3">
      <c r="A911" t="s">
        <v>1870</v>
      </c>
      <c r="B911" s="5" t="s">
        <v>1871</v>
      </c>
      <c r="C911" s="3" t="str">
        <f t="shared" si="14"/>
        <v>13-02-2023</v>
      </c>
      <c r="D911" t="s">
        <v>16</v>
      </c>
      <c r="E911" t="s">
        <v>97</v>
      </c>
      <c r="F911" t="s">
        <v>18</v>
      </c>
      <c r="G911" t="s">
        <v>37</v>
      </c>
      <c r="H911" t="s">
        <v>20</v>
      </c>
      <c r="I911">
        <v>5</v>
      </c>
      <c r="J911">
        <v>1400</v>
      </c>
      <c r="K911" s="7">
        <v>0.05</v>
      </c>
      <c r="L911" t="s">
        <v>21</v>
      </c>
      <c r="M911" t="s">
        <v>22</v>
      </c>
      <c r="N911" t="s">
        <v>23</v>
      </c>
      <c r="P911">
        <f>VLOOKUP(Table2[[#This Row],[Product_ID]],Table1[#All],8,TRUE)</f>
        <v>500</v>
      </c>
    </row>
    <row r="912" spans="1:16" x14ac:dyDescent="0.3">
      <c r="A912" t="s">
        <v>1872</v>
      </c>
      <c r="B912" s="5" t="s">
        <v>1873</v>
      </c>
      <c r="C912" s="3" t="str">
        <f t="shared" si="14"/>
        <v>05-08-2024</v>
      </c>
      <c r="D912" t="s">
        <v>114</v>
      </c>
      <c r="E912" t="s">
        <v>983</v>
      </c>
      <c r="F912" t="s">
        <v>43</v>
      </c>
      <c r="G912" t="s">
        <v>19</v>
      </c>
      <c r="H912" t="s">
        <v>20</v>
      </c>
      <c r="I912">
        <v>5</v>
      </c>
      <c r="J912">
        <v>4605</v>
      </c>
      <c r="K912" s="7">
        <v>0.2</v>
      </c>
      <c r="L912" t="s">
        <v>21</v>
      </c>
      <c r="M912" t="s">
        <v>22</v>
      </c>
      <c r="N912" t="s">
        <v>59</v>
      </c>
      <c r="P912">
        <f>VLOOKUP(Table2[[#This Row],[Product_ID]],Table1[#All],8,TRUE)</f>
        <v>1200</v>
      </c>
    </row>
    <row r="913" spans="1:16" x14ac:dyDescent="0.3">
      <c r="A913" t="s">
        <v>1874</v>
      </c>
      <c r="B913" s="5" t="s">
        <v>708</v>
      </c>
      <c r="C913" s="3" t="str">
        <f t="shared" si="14"/>
        <v>11-10-2024</v>
      </c>
      <c r="D913" t="s">
        <v>91</v>
      </c>
      <c r="E913" t="s">
        <v>306</v>
      </c>
      <c r="F913" t="s">
        <v>28</v>
      </c>
      <c r="G913" t="s">
        <v>29</v>
      </c>
      <c r="H913" t="s">
        <v>77</v>
      </c>
      <c r="I913">
        <v>1</v>
      </c>
      <c r="J913">
        <v>4745</v>
      </c>
      <c r="K913" s="7">
        <v>0.15</v>
      </c>
      <c r="L913" t="s">
        <v>38</v>
      </c>
      <c r="M913" t="s">
        <v>39</v>
      </c>
      <c r="N913" t="s">
        <v>23</v>
      </c>
      <c r="P913">
        <f>VLOOKUP(Table2[[#This Row],[Product_ID]],Table1[#All],8,TRUE)</f>
        <v>700</v>
      </c>
    </row>
    <row r="914" spans="1:16" x14ac:dyDescent="0.3">
      <c r="A914" t="s">
        <v>1875</v>
      </c>
      <c r="B914" s="5" t="s">
        <v>1876</v>
      </c>
      <c r="C914" s="3" t="str">
        <f t="shared" si="14"/>
        <v>04-11-2023</v>
      </c>
      <c r="D914" t="s">
        <v>51</v>
      </c>
      <c r="E914" t="s">
        <v>1001</v>
      </c>
      <c r="F914" t="s">
        <v>73</v>
      </c>
      <c r="G914" t="s">
        <v>19</v>
      </c>
      <c r="H914" t="s">
        <v>77</v>
      </c>
      <c r="I914">
        <v>3</v>
      </c>
      <c r="J914">
        <v>8869</v>
      </c>
      <c r="K914" s="7">
        <v>0.2</v>
      </c>
      <c r="L914" t="s">
        <v>21</v>
      </c>
      <c r="M914" t="s">
        <v>22</v>
      </c>
      <c r="N914" t="s">
        <v>23</v>
      </c>
      <c r="O914">
        <v>3.1</v>
      </c>
      <c r="P914">
        <f>VLOOKUP(Table2[[#This Row],[Product_ID]],Table1[#All],8,TRUE)</f>
        <v>1500</v>
      </c>
    </row>
    <row r="915" spans="1:16" x14ac:dyDescent="0.3">
      <c r="A915" t="s">
        <v>1877</v>
      </c>
      <c r="B915" s="5" t="s">
        <v>1878</v>
      </c>
      <c r="C915" s="3" t="str">
        <f t="shared" si="14"/>
        <v>06-09-2023</v>
      </c>
      <c r="D915" t="s">
        <v>16</v>
      </c>
      <c r="E915" t="s">
        <v>1110</v>
      </c>
      <c r="F915" t="s">
        <v>28</v>
      </c>
      <c r="G915" t="s">
        <v>37</v>
      </c>
      <c r="H915" t="s">
        <v>20</v>
      </c>
      <c r="I915">
        <v>1</v>
      </c>
      <c r="J915">
        <v>1954</v>
      </c>
      <c r="K915" s="7">
        <v>0.15</v>
      </c>
      <c r="L915" t="s">
        <v>58</v>
      </c>
      <c r="M915" t="s">
        <v>22</v>
      </c>
      <c r="N915" t="s">
        <v>23</v>
      </c>
      <c r="P915">
        <f>VLOOKUP(Table2[[#This Row],[Product_ID]],Table1[#All],8,TRUE)</f>
        <v>900</v>
      </c>
    </row>
    <row r="916" spans="1:16" x14ac:dyDescent="0.3">
      <c r="A916" t="s">
        <v>1879</v>
      </c>
      <c r="B916" s="5" t="s">
        <v>1880</v>
      </c>
      <c r="C916" s="3" t="str">
        <f t="shared" si="14"/>
        <v>11-02-2024</v>
      </c>
      <c r="D916" t="s">
        <v>131</v>
      </c>
      <c r="E916" t="s">
        <v>964</v>
      </c>
      <c r="F916" t="s">
        <v>98</v>
      </c>
      <c r="G916" t="s">
        <v>19</v>
      </c>
      <c r="H916" t="s">
        <v>77</v>
      </c>
      <c r="I916">
        <v>5</v>
      </c>
      <c r="J916">
        <v>1495</v>
      </c>
      <c r="K916" s="7">
        <v>0</v>
      </c>
      <c r="L916" t="s">
        <v>21</v>
      </c>
      <c r="M916" t="s">
        <v>39</v>
      </c>
      <c r="N916" t="s">
        <v>32</v>
      </c>
      <c r="P916">
        <f>VLOOKUP(Table2[[#This Row],[Product_ID]],Table1[#All],8,TRUE)</f>
        <v>500</v>
      </c>
    </row>
    <row r="917" spans="1:16" x14ac:dyDescent="0.3">
      <c r="A917" t="s">
        <v>1348</v>
      </c>
      <c r="B917" s="5" t="s">
        <v>1881</v>
      </c>
      <c r="C917" s="3" t="str">
        <f t="shared" si="14"/>
        <v>01-06-2024</v>
      </c>
      <c r="D917" t="s">
        <v>91</v>
      </c>
      <c r="E917" t="s">
        <v>1882</v>
      </c>
      <c r="F917" t="s">
        <v>73</v>
      </c>
      <c r="G917" t="s">
        <v>19</v>
      </c>
      <c r="H917" t="s">
        <v>99</v>
      </c>
      <c r="I917">
        <v>3</v>
      </c>
      <c r="J917">
        <v>7315</v>
      </c>
      <c r="K917" s="7">
        <v>0.15</v>
      </c>
      <c r="L917" t="s">
        <v>58</v>
      </c>
      <c r="M917" t="s">
        <v>22</v>
      </c>
      <c r="N917" t="s">
        <v>23</v>
      </c>
      <c r="P917">
        <f>VLOOKUP(Table2[[#This Row],[Product_ID]],Table1[#All],8,TRUE)</f>
        <v>1500</v>
      </c>
    </row>
    <row r="918" spans="1:16" x14ac:dyDescent="0.3">
      <c r="A918" t="s">
        <v>1883</v>
      </c>
      <c r="B918" s="5" t="s">
        <v>1138</v>
      </c>
      <c r="C918" s="3" t="str">
        <f t="shared" si="14"/>
        <v>23-11-2024</v>
      </c>
      <c r="D918" t="s">
        <v>16</v>
      </c>
      <c r="E918" t="s">
        <v>1174</v>
      </c>
      <c r="F918" t="s">
        <v>18</v>
      </c>
      <c r="G918" t="s">
        <v>53</v>
      </c>
      <c r="H918" t="s">
        <v>20</v>
      </c>
      <c r="I918">
        <v>5</v>
      </c>
      <c r="J918">
        <v>3759</v>
      </c>
      <c r="K918" s="7">
        <v>0.1</v>
      </c>
      <c r="L918" t="s">
        <v>58</v>
      </c>
      <c r="M918" t="s">
        <v>22</v>
      </c>
      <c r="N918" t="s">
        <v>48</v>
      </c>
      <c r="O918">
        <v>5</v>
      </c>
      <c r="P918">
        <f>VLOOKUP(Table2[[#This Row],[Product_ID]],Table1[#All],8,TRUE)</f>
        <v>900</v>
      </c>
    </row>
    <row r="919" spans="1:16" x14ac:dyDescent="0.3">
      <c r="A919" t="s">
        <v>1884</v>
      </c>
      <c r="B919" s="5" t="s">
        <v>1885</v>
      </c>
      <c r="C919" s="3" t="str">
        <f t="shared" si="14"/>
        <v>26-04-2024</v>
      </c>
      <c r="D919" t="s">
        <v>96</v>
      </c>
      <c r="E919" t="s">
        <v>36</v>
      </c>
      <c r="F919" t="s">
        <v>57</v>
      </c>
      <c r="G919" t="s">
        <v>37</v>
      </c>
      <c r="H919" t="s">
        <v>77</v>
      </c>
      <c r="I919">
        <v>1</v>
      </c>
      <c r="J919">
        <v>2745</v>
      </c>
      <c r="K919" s="7">
        <v>0.2</v>
      </c>
      <c r="L919" t="s">
        <v>58</v>
      </c>
      <c r="M919" t="s">
        <v>39</v>
      </c>
      <c r="N919" t="s">
        <v>59</v>
      </c>
      <c r="O919">
        <v>3.9</v>
      </c>
      <c r="P919">
        <f>VLOOKUP(Table2[[#This Row],[Product_ID]],Table1[#All],8,TRUE)</f>
        <v>1500</v>
      </c>
    </row>
    <row r="920" spans="1:16" x14ac:dyDescent="0.3">
      <c r="A920" t="s">
        <v>1886</v>
      </c>
      <c r="B920" s="5" t="s">
        <v>1887</v>
      </c>
      <c r="C920" s="3" t="str">
        <f t="shared" si="14"/>
        <v>16-03-2024</v>
      </c>
      <c r="D920" t="s">
        <v>67</v>
      </c>
      <c r="E920" t="s">
        <v>563</v>
      </c>
      <c r="F920" t="s">
        <v>28</v>
      </c>
      <c r="G920" t="s">
        <v>19</v>
      </c>
      <c r="H920" t="s">
        <v>77</v>
      </c>
      <c r="I920">
        <v>3</v>
      </c>
      <c r="J920">
        <v>2998</v>
      </c>
      <c r="K920" s="7">
        <v>0.05</v>
      </c>
      <c r="L920" t="s">
        <v>58</v>
      </c>
      <c r="M920" t="s">
        <v>39</v>
      </c>
      <c r="N920" t="s">
        <v>48</v>
      </c>
      <c r="P920">
        <f>VLOOKUP(Table2[[#This Row],[Product_ID]],Table1[#All],8,TRUE)</f>
        <v>0</v>
      </c>
    </row>
    <row r="921" spans="1:16" x14ac:dyDescent="0.3">
      <c r="A921" t="s">
        <v>1888</v>
      </c>
      <c r="B921" s="5" t="s">
        <v>1889</v>
      </c>
      <c r="C921" s="3" t="str">
        <f t="shared" si="14"/>
        <v>19-01-2023</v>
      </c>
      <c r="D921" t="s">
        <v>46</v>
      </c>
      <c r="E921" t="s">
        <v>1198</v>
      </c>
      <c r="F921" t="s">
        <v>64</v>
      </c>
      <c r="G921" t="s">
        <v>19</v>
      </c>
      <c r="H921" t="s">
        <v>99</v>
      </c>
      <c r="I921">
        <v>2</v>
      </c>
      <c r="J921">
        <v>7995</v>
      </c>
      <c r="K921" s="7">
        <v>0.15</v>
      </c>
      <c r="L921" t="s">
        <v>31</v>
      </c>
      <c r="M921" t="s">
        <v>22</v>
      </c>
      <c r="N921" t="s">
        <v>32</v>
      </c>
      <c r="O921">
        <v>3.2</v>
      </c>
      <c r="P921">
        <f>VLOOKUP(Table2[[#This Row],[Product_ID]],Table1[#All],8,TRUE)</f>
        <v>0</v>
      </c>
    </row>
    <row r="922" spans="1:16" x14ac:dyDescent="0.3">
      <c r="A922" t="s">
        <v>1890</v>
      </c>
      <c r="B922" s="5" t="s">
        <v>1891</v>
      </c>
      <c r="C922" s="3" t="str">
        <f t="shared" si="14"/>
        <v>24-06-2023</v>
      </c>
      <c r="D922" t="s">
        <v>91</v>
      </c>
      <c r="E922" t="s">
        <v>1193</v>
      </c>
      <c r="F922" t="s">
        <v>98</v>
      </c>
      <c r="G922" t="s">
        <v>37</v>
      </c>
      <c r="H922" t="s">
        <v>77</v>
      </c>
      <c r="I922">
        <v>3</v>
      </c>
      <c r="J922">
        <v>6795</v>
      </c>
      <c r="K922" s="7">
        <v>0</v>
      </c>
      <c r="L922" t="s">
        <v>31</v>
      </c>
      <c r="M922" t="s">
        <v>22</v>
      </c>
      <c r="N922" t="s">
        <v>59</v>
      </c>
      <c r="O922">
        <v>4.4000000000000004</v>
      </c>
      <c r="P922">
        <f>VLOOKUP(Table2[[#This Row],[Product_ID]],Table1[#All],8,TRUE)</f>
        <v>900</v>
      </c>
    </row>
    <row r="923" spans="1:16" x14ac:dyDescent="0.3">
      <c r="A923" t="s">
        <v>1754</v>
      </c>
      <c r="B923" s="5" t="s">
        <v>1892</v>
      </c>
      <c r="C923" s="3" t="str">
        <f t="shared" si="14"/>
        <v>17-11-2024</v>
      </c>
      <c r="D923" t="s">
        <v>71</v>
      </c>
      <c r="E923" t="s">
        <v>758</v>
      </c>
      <c r="F923" t="s">
        <v>28</v>
      </c>
      <c r="G923" t="s">
        <v>29</v>
      </c>
      <c r="H923" t="s">
        <v>99</v>
      </c>
      <c r="I923">
        <v>3</v>
      </c>
      <c r="J923">
        <v>4522</v>
      </c>
      <c r="K923" s="7">
        <v>0.05</v>
      </c>
      <c r="L923" t="s">
        <v>31</v>
      </c>
      <c r="M923" t="s">
        <v>22</v>
      </c>
      <c r="N923" t="s">
        <v>59</v>
      </c>
      <c r="O923">
        <v>4.3</v>
      </c>
      <c r="P923">
        <f>VLOOKUP(Table2[[#This Row],[Product_ID]],Table1[#All],8,TRUE)</f>
        <v>1500</v>
      </c>
    </row>
    <row r="924" spans="1:16" x14ac:dyDescent="0.3">
      <c r="A924" t="s">
        <v>1893</v>
      </c>
      <c r="B924" s="5" t="s">
        <v>1894</v>
      </c>
      <c r="C924" s="3" t="str">
        <f t="shared" si="14"/>
        <v>17-09-2024</v>
      </c>
      <c r="D924" t="s">
        <v>51</v>
      </c>
      <c r="E924" t="s">
        <v>1805</v>
      </c>
      <c r="F924" t="s">
        <v>28</v>
      </c>
      <c r="G924" t="s">
        <v>19</v>
      </c>
      <c r="H924" t="s">
        <v>20</v>
      </c>
      <c r="I924">
        <v>3</v>
      </c>
      <c r="J924">
        <v>1038</v>
      </c>
      <c r="K924" s="7">
        <v>0</v>
      </c>
      <c r="L924" t="s">
        <v>58</v>
      </c>
      <c r="M924" t="s">
        <v>22</v>
      </c>
      <c r="N924" t="s">
        <v>59</v>
      </c>
      <c r="P924">
        <f>VLOOKUP(Table2[[#This Row],[Product_ID]],Table1[#All],8,TRUE)</f>
        <v>900</v>
      </c>
    </row>
    <row r="925" spans="1:16" x14ac:dyDescent="0.3">
      <c r="A925" t="s">
        <v>1895</v>
      </c>
      <c r="B925" s="5" t="s">
        <v>1896</v>
      </c>
      <c r="C925" s="3" t="str">
        <f t="shared" si="14"/>
        <v>22-11-2024</v>
      </c>
      <c r="D925" t="s">
        <v>46</v>
      </c>
      <c r="E925" t="s">
        <v>256</v>
      </c>
      <c r="F925" t="s">
        <v>43</v>
      </c>
      <c r="G925" t="s">
        <v>19</v>
      </c>
      <c r="H925" t="s">
        <v>99</v>
      </c>
      <c r="I925">
        <v>4</v>
      </c>
      <c r="J925">
        <v>4984</v>
      </c>
      <c r="K925" s="7">
        <v>0.2</v>
      </c>
      <c r="L925" t="s">
        <v>58</v>
      </c>
      <c r="M925" t="s">
        <v>39</v>
      </c>
      <c r="N925" t="s">
        <v>48</v>
      </c>
      <c r="P925">
        <f>VLOOKUP(Table2[[#This Row],[Product_ID]],Table1[#All],8,TRUE)</f>
        <v>0</v>
      </c>
    </row>
    <row r="926" spans="1:16" x14ac:dyDescent="0.3">
      <c r="A926" t="s">
        <v>1897</v>
      </c>
      <c r="B926" s="5" t="s">
        <v>1898</v>
      </c>
      <c r="C926" s="3" t="str">
        <f t="shared" si="14"/>
        <v>26-06-2023</v>
      </c>
      <c r="D926" t="s">
        <v>62</v>
      </c>
      <c r="E926" t="s">
        <v>476</v>
      </c>
      <c r="F926" t="s">
        <v>18</v>
      </c>
      <c r="G926" t="s">
        <v>19</v>
      </c>
      <c r="H926" t="s">
        <v>30</v>
      </c>
      <c r="I926">
        <v>2</v>
      </c>
      <c r="J926">
        <v>6801</v>
      </c>
      <c r="K926" s="7">
        <v>0</v>
      </c>
      <c r="L926" t="s">
        <v>38</v>
      </c>
      <c r="M926" t="s">
        <v>39</v>
      </c>
      <c r="N926" t="s">
        <v>32</v>
      </c>
      <c r="O926">
        <v>4.9000000000000004</v>
      </c>
      <c r="P926">
        <f>VLOOKUP(Table2[[#This Row],[Product_ID]],Table1[#All],8,TRUE)</f>
        <v>1200</v>
      </c>
    </row>
    <row r="927" spans="1:16" x14ac:dyDescent="0.3">
      <c r="A927" t="s">
        <v>1899</v>
      </c>
      <c r="B927" s="5" t="s">
        <v>189</v>
      </c>
      <c r="C927" s="3" t="str">
        <f t="shared" si="14"/>
        <v>01-02-2023</v>
      </c>
      <c r="D927" t="s">
        <v>127</v>
      </c>
      <c r="E927" t="s">
        <v>1297</v>
      </c>
      <c r="F927" t="s">
        <v>73</v>
      </c>
      <c r="G927" t="s">
        <v>53</v>
      </c>
      <c r="H927" t="s">
        <v>20</v>
      </c>
      <c r="I927">
        <v>5</v>
      </c>
      <c r="J927">
        <v>2051</v>
      </c>
      <c r="K927" s="7">
        <v>0.05</v>
      </c>
      <c r="L927" t="s">
        <v>21</v>
      </c>
      <c r="M927" t="s">
        <v>39</v>
      </c>
      <c r="N927" t="s">
        <v>48</v>
      </c>
      <c r="O927">
        <v>3.2</v>
      </c>
      <c r="P927">
        <f>VLOOKUP(Table2[[#This Row],[Product_ID]],Table1[#All],8,TRUE)</f>
        <v>1200</v>
      </c>
    </row>
    <row r="928" spans="1:16" x14ac:dyDescent="0.3">
      <c r="A928" t="s">
        <v>1900</v>
      </c>
      <c r="B928" s="5" t="s">
        <v>1901</v>
      </c>
      <c r="C928" s="3" t="str">
        <f t="shared" si="14"/>
        <v>01-08-2024</v>
      </c>
      <c r="D928" t="s">
        <v>84</v>
      </c>
      <c r="E928" t="s">
        <v>354</v>
      </c>
      <c r="F928" t="s">
        <v>98</v>
      </c>
      <c r="G928" t="s">
        <v>29</v>
      </c>
      <c r="H928" t="s">
        <v>30</v>
      </c>
      <c r="I928">
        <v>1</v>
      </c>
      <c r="J928">
        <v>8691</v>
      </c>
      <c r="K928" s="7">
        <v>0.2</v>
      </c>
      <c r="L928" t="s">
        <v>58</v>
      </c>
      <c r="M928" t="s">
        <v>39</v>
      </c>
      <c r="N928" t="s">
        <v>32</v>
      </c>
      <c r="O928">
        <v>3.2</v>
      </c>
      <c r="P928">
        <f>VLOOKUP(Table2[[#This Row],[Product_ID]],Table1[#All],8,TRUE)</f>
        <v>0</v>
      </c>
    </row>
    <row r="929" spans="1:16" x14ac:dyDescent="0.3">
      <c r="A929" t="s">
        <v>1902</v>
      </c>
      <c r="B929" s="5" t="s">
        <v>1903</v>
      </c>
      <c r="C929" s="3" t="str">
        <f t="shared" si="14"/>
        <v>05-09-2024</v>
      </c>
      <c r="D929" t="s">
        <v>16</v>
      </c>
      <c r="E929" t="s">
        <v>1552</v>
      </c>
      <c r="F929" t="s">
        <v>73</v>
      </c>
      <c r="G929" t="s">
        <v>53</v>
      </c>
      <c r="H929" t="s">
        <v>30</v>
      </c>
      <c r="I929">
        <v>3</v>
      </c>
      <c r="J929">
        <v>1259</v>
      </c>
      <c r="K929" s="7">
        <v>0.2</v>
      </c>
      <c r="L929" t="s">
        <v>31</v>
      </c>
      <c r="M929" t="s">
        <v>22</v>
      </c>
      <c r="N929" t="s">
        <v>59</v>
      </c>
      <c r="P929">
        <f>VLOOKUP(Table2[[#This Row],[Product_ID]],Table1[#All],8,TRUE)</f>
        <v>1200</v>
      </c>
    </row>
    <row r="930" spans="1:16" x14ac:dyDescent="0.3">
      <c r="A930" t="s">
        <v>1904</v>
      </c>
      <c r="B930" s="5" t="s">
        <v>689</v>
      </c>
      <c r="C930" s="3" t="str">
        <f t="shared" si="14"/>
        <v>22-04-2024</v>
      </c>
      <c r="D930" t="s">
        <v>131</v>
      </c>
      <c r="E930" t="s">
        <v>1727</v>
      </c>
      <c r="F930" t="s">
        <v>57</v>
      </c>
      <c r="G930" t="s">
        <v>53</v>
      </c>
      <c r="H930" t="s">
        <v>30</v>
      </c>
      <c r="I930">
        <v>3</v>
      </c>
      <c r="J930">
        <v>7658</v>
      </c>
      <c r="K930" s="7">
        <v>0.1</v>
      </c>
      <c r="L930" t="s">
        <v>31</v>
      </c>
      <c r="M930" t="s">
        <v>39</v>
      </c>
      <c r="N930" t="s">
        <v>23</v>
      </c>
      <c r="P930">
        <f>VLOOKUP(Table2[[#This Row],[Product_ID]],Table1[#All],8,TRUE)</f>
        <v>500</v>
      </c>
    </row>
    <row r="931" spans="1:16" x14ac:dyDescent="0.3">
      <c r="A931" t="s">
        <v>1499</v>
      </c>
      <c r="B931" s="5" t="s">
        <v>1905</v>
      </c>
      <c r="C931" s="3" t="str">
        <f t="shared" si="14"/>
        <v>04-12-2024</v>
      </c>
      <c r="D931" t="s">
        <v>26</v>
      </c>
      <c r="E931" t="s">
        <v>146</v>
      </c>
      <c r="F931" t="s">
        <v>18</v>
      </c>
      <c r="G931" t="s">
        <v>37</v>
      </c>
      <c r="H931" t="s">
        <v>77</v>
      </c>
      <c r="I931">
        <v>4</v>
      </c>
      <c r="J931">
        <v>8017</v>
      </c>
      <c r="K931" s="7">
        <v>0</v>
      </c>
      <c r="L931" t="s">
        <v>21</v>
      </c>
      <c r="M931" t="s">
        <v>39</v>
      </c>
      <c r="N931" t="s">
        <v>23</v>
      </c>
      <c r="P931">
        <f>VLOOKUP(Table2[[#This Row],[Product_ID]],Table1[#All],8,TRUE)</f>
        <v>0</v>
      </c>
    </row>
    <row r="932" spans="1:16" x14ac:dyDescent="0.3">
      <c r="A932" t="s">
        <v>1906</v>
      </c>
      <c r="B932" s="5" t="s">
        <v>1645</v>
      </c>
      <c r="C932" s="3" t="str">
        <f t="shared" si="14"/>
        <v>21-01-2023</v>
      </c>
      <c r="D932" t="s">
        <v>71</v>
      </c>
      <c r="E932" t="s">
        <v>1810</v>
      </c>
      <c r="F932" t="s">
        <v>73</v>
      </c>
      <c r="G932" t="s">
        <v>29</v>
      </c>
      <c r="H932" t="s">
        <v>20</v>
      </c>
      <c r="I932">
        <v>4</v>
      </c>
      <c r="J932">
        <v>3925</v>
      </c>
      <c r="K932" s="7">
        <v>0</v>
      </c>
      <c r="L932" t="s">
        <v>58</v>
      </c>
      <c r="M932" t="s">
        <v>22</v>
      </c>
      <c r="N932" t="s">
        <v>59</v>
      </c>
      <c r="P932">
        <f>VLOOKUP(Table2[[#This Row],[Product_ID]],Table1[#All],8,TRUE)</f>
        <v>1200</v>
      </c>
    </row>
    <row r="933" spans="1:16" x14ac:dyDescent="0.3">
      <c r="A933" t="s">
        <v>1907</v>
      </c>
      <c r="B933" s="5" t="s">
        <v>1908</v>
      </c>
      <c r="C933" s="3" t="str">
        <f t="shared" si="14"/>
        <v>03-04-2023</v>
      </c>
      <c r="D933" t="s">
        <v>96</v>
      </c>
      <c r="E933" t="s">
        <v>428</v>
      </c>
      <c r="F933" t="s">
        <v>18</v>
      </c>
      <c r="G933" t="s">
        <v>29</v>
      </c>
      <c r="H933" t="s">
        <v>30</v>
      </c>
      <c r="I933">
        <v>3</v>
      </c>
      <c r="J933">
        <v>1715</v>
      </c>
      <c r="K933" s="7">
        <v>0.1</v>
      </c>
      <c r="L933" t="s">
        <v>58</v>
      </c>
      <c r="M933" t="s">
        <v>22</v>
      </c>
      <c r="N933" t="s">
        <v>48</v>
      </c>
      <c r="O933">
        <v>3.7</v>
      </c>
      <c r="P933">
        <f>VLOOKUP(Table2[[#This Row],[Product_ID]],Table1[#All],8,TRUE)</f>
        <v>500</v>
      </c>
    </row>
    <row r="934" spans="1:16" x14ac:dyDescent="0.3">
      <c r="A934" t="s">
        <v>1909</v>
      </c>
      <c r="B934" s="5" t="s">
        <v>1910</v>
      </c>
      <c r="C934" s="3" t="str">
        <f t="shared" si="14"/>
        <v>03-02-2024</v>
      </c>
      <c r="D934" t="s">
        <v>80</v>
      </c>
      <c r="E934" t="s">
        <v>695</v>
      </c>
      <c r="F934" t="s">
        <v>64</v>
      </c>
      <c r="G934" t="s">
        <v>29</v>
      </c>
      <c r="H934" t="s">
        <v>20</v>
      </c>
      <c r="I934">
        <v>2</v>
      </c>
      <c r="J934">
        <v>5315</v>
      </c>
      <c r="K934" s="7">
        <v>0.15</v>
      </c>
      <c r="L934" t="s">
        <v>21</v>
      </c>
      <c r="M934" t="s">
        <v>22</v>
      </c>
      <c r="N934" t="s">
        <v>32</v>
      </c>
      <c r="P934">
        <f>VLOOKUP(Table2[[#This Row],[Product_ID]],Table1[#All],8,TRUE)</f>
        <v>0</v>
      </c>
    </row>
    <row r="935" spans="1:16" x14ac:dyDescent="0.3">
      <c r="A935" t="s">
        <v>1911</v>
      </c>
      <c r="B935" s="5" t="s">
        <v>1912</v>
      </c>
      <c r="C935" s="3" t="str">
        <f t="shared" si="14"/>
        <v>06-06-2023</v>
      </c>
      <c r="D935" t="s">
        <v>62</v>
      </c>
      <c r="E935" t="s">
        <v>1913</v>
      </c>
      <c r="F935" t="s">
        <v>18</v>
      </c>
      <c r="G935" t="s">
        <v>53</v>
      </c>
      <c r="H935" t="s">
        <v>99</v>
      </c>
      <c r="I935">
        <v>1</v>
      </c>
      <c r="J935">
        <v>3274</v>
      </c>
      <c r="K935" s="7">
        <v>0.2</v>
      </c>
      <c r="L935" t="s">
        <v>38</v>
      </c>
      <c r="M935" t="s">
        <v>22</v>
      </c>
      <c r="N935" t="s">
        <v>59</v>
      </c>
      <c r="O935">
        <v>3.3</v>
      </c>
      <c r="P935">
        <f>VLOOKUP(Table2[[#This Row],[Product_ID]],Table1[#All],8,TRUE)</f>
        <v>1200</v>
      </c>
    </row>
    <row r="936" spans="1:16" x14ac:dyDescent="0.3">
      <c r="A936" t="s">
        <v>1914</v>
      </c>
      <c r="B936" s="5" t="s">
        <v>1915</v>
      </c>
      <c r="C936" s="3" t="str">
        <f t="shared" si="14"/>
        <v>03-11-2023</v>
      </c>
      <c r="D936" t="s">
        <v>51</v>
      </c>
      <c r="E936" t="s">
        <v>440</v>
      </c>
      <c r="F936" t="s">
        <v>43</v>
      </c>
      <c r="G936" t="s">
        <v>37</v>
      </c>
      <c r="H936" t="s">
        <v>30</v>
      </c>
      <c r="I936">
        <v>2</v>
      </c>
      <c r="J936">
        <v>7293</v>
      </c>
      <c r="K936" s="7">
        <v>0.1</v>
      </c>
      <c r="L936" t="s">
        <v>31</v>
      </c>
      <c r="M936" t="s">
        <v>39</v>
      </c>
      <c r="N936" t="s">
        <v>48</v>
      </c>
      <c r="P936">
        <f>VLOOKUP(Table2[[#This Row],[Product_ID]],Table1[#All],8,TRUE)</f>
        <v>700</v>
      </c>
    </row>
    <row r="937" spans="1:16" x14ac:dyDescent="0.3">
      <c r="A937" t="s">
        <v>1916</v>
      </c>
      <c r="B937" s="5" t="s">
        <v>308</v>
      </c>
      <c r="C937" s="3" t="str">
        <f t="shared" si="14"/>
        <v>31-12-2023</v>
      </c>
      <c r="D937" t="s">
        <v>67</v>
      </c>
      <c r="E937" t="s">
        <v>198</v>
      </c>
      <c r="F937" t="s">
        <v>57</v>
      </c>
      <c r="G937" t="s">
        <v>29</v>
      </c>
      <c r="H937" t="s">
        <v>20</v>
      </c>
      <c r="I937">
        <v>2</v>
      </c>
      <c r="J937">
        <v>8973</v>
      </c>
      <c r="K937" s="7">
        <v>0.1</v>
      </c>
      <c r="L937" t="s">
        <v>38</v>
      </c>
      <c r="M937" t="s">
        <v>39</v>
      </c>
      <c r="N937" t="s">
        <v>32</v>
      </c>
      <c r="O937">
        <v>4.0999999999999996</v>
      </c>
      <c r="P937">
        <f>VLOOKUP(Table2[[#This Row],[Product_ID]],Table1[#All],8,TRUE)</f>
        <v>0</v>
      </c>
    </row>
    <row r="938" spans="1:16" x14ac:dyDescent="0.3">
      <c r="A938" t="s">
        <v>1917</v>
      </c>
      <c r="B938" s="5" t="s">
        <v>1918</v>
      </c>
      <c r="C938" s="3" t="str">
        <f t="shared" si="14"/>
        <v>23-04-2024</v>
      </c>
      <c r="D938" t="s">
        <v>26</v>
      </c>
      <c r="E938" t="s">
        <v>232</v>
      </c>
      <c r="F938" t="s">
        <v>43</v>
      </c>
      <c r="G938" t="s">
        <v>53</v>
      </c>
      <c r="H938" t="s">
        <v>99</v>
      </c>
      <c r="I938">
        <v>1</v>
      </c>
      <c r="J938">
        <v>5066</v>
      </c>
      <c r="K938" s="7">
        <v>0.15</v>
      </c>
      <c r="L938" t="s">
        <v>21</v>
      </c>
      <c r="M938" t="s">
        <v>39</v>
      </c>
      <c r="N938" t="s">
        <v>59</v>
      </c>
      <c r="P938">
        <f>VLOOKUP(Table2[[#This Row],[Product_ID]],Table1[#All],8,TRUE)</f>
        <v>0</v>
      </c>
    </row>
    <row r="939" spans="1:16" x14ac:dyDescent="0.3">
      <c r="A939" t="s">
        <v>1919</v>
      </c>
      <c r="B939" s="5" t="s">
        <v>1920</v>
      </c>
      <c r="C939" s="3" t="str">
        <f t="shared" si="14"/>
        <v>19-06-2024</v>
      </c>
      <c r="D939" t="s">
        <v>91</v>
      </c>
      <c r="E939" t="s">
        <v>1324</v>
      </c>
      <c r="F939" t="s">
        <v>57</v>
      </c>
      <c r="G939" t="s">
        <v>19</v>
      </c>
      <c r="H939" t="s">
        <v>30</v>
      </c>
      <c r="I939">
        <v>2</v>
      </c>
      <c r="J939">
        <v>9122</v>
      </c>
      <c r="K939" s="7">
        <v>0</v>
      </c>
      <c r="L939" t="s">
        <v>58</v>
      </c>
      <c r="M939" t="s">
        <v>22</v>
      </c>
      <c r="N939" t="s">
        <v>48</v>
      </c>
      <c r="P939">
        <f>VLOOKUP(Table2[[#This Row],[Product_ID]],Table1[#All],8,TRUE)</f>
        <v>1500</v>
      </c>
    </row>
    <row r="940" spans="1:16" x14ac:dyDescent="0.3">
      <c r="A940" t="s">
        <v>1921</v>
      </c>
      <c r="B940" s="5" t="s">
        <v>1922</v>
      </c>
      <c r="C940" s="3" t="str">
        <f t="shared" si="14"/>
        <v>10-10-2024</v>
      </c>
      <c r="D940" t="s">
        <v>51</v>
      </c>
      <c r="E940" t="s">
        <v>348</v>
      </c>
      <c r="F940" t="s">
        <v>98</v>
      </c>
      <c r="G940" t="s">
        <v>53</v>
      </c>
      <c r="H940" t="s">
        <v>77</v>
      </c>
      <c r="I940">
        <v>4</v>
      </c>
      <c r="J940">
        <v>2372</v>
      </c>
      <c r="K940" s="7">
        <v>0.15</v>
      </c>
      <c r="L940" t="s">
        <v>21</v>
      </c>
      <c r="M940" t="s">
        <v>22</v>
      </c>
      <c r="N940" t="s">
        <v>48</v>
      </c>
      <c r="O940">
        <v>3.9</v>
      </c>
      <c r="P940">
        <f>VLOOKUP(Table2[[#This Row],[Product_ID]],Table1[#All],8,TRUE)</f>
        <v>900</v>
      </c>
    </row>
    <row r="941" spans="1:16" x14ac:dyDescent="0.3">
      <c r="A941" t="s">
        <v>1923</v>
      </c>
      <c r="B941" s="5" t="s">
        <v>1674</v>
      </c>
      <c r="C941" s="3" t="str">
        <f t="shared" si="14"/>
        <v>05-11-2023</v>
      </c>
      <c r="D941" t="s">
        <v>127</v>
      </c>
      <c r="E941" t="s">
        <v>736</v>
      </c>
      <c r="F941" t="s">
        <v>57</v>
      </c>
      <c r="G941" t="s">
        <v>19</v>
      </c>
      <c r="H941" t="s">
        <v>77</v>
      </c>
      <c r="I941">
        <v>5</v>
      </c>
      <c r="J941">
        <v>1494</v>
      </c>
      <c r="K941" s="7">
        <v>0</v>
      </c>
      <c r="L941" t="s">
        <v>21</v>
      </c>
      <c r="M941" t="s">
        <v>39</v>
      </c>
      <c r="N941" t="s">
        <v>32</v>
      </c>
      <c r="O941">
        <v>4.5</v>
      </c>
      <c r="P941">
        <f>VLOOKUP(Table2[[#This Row],[Product_ID]],Table1[#All],8,TRUE)</f>
        <v>0</v>
      </c>
    </row>
    <row r="942" spans="1:16" x14ac:dyDescent="0.3">
      <c r="A942" t="s">
        <v>1924</v>
      </c>
      <c r="B942" s="5" t="s">
        <v>1083</v>
      </c>
      <c r="C942" s="3" t="str">
        <f t="shared" si="14"/>
        <v>01-05-2023</v>
      </c>
      <c r="D942" t="s">
        <v>16</v>
      </c>
      <c r="E942" t="s">
        <v>1653</v>
      </c>
      <c r="F942" t="s">
        <v>57</v>
      </c>
      <c r="G942" t="s">
        <v>29</v>
      </c>
      <c r="H942" t="s">
        <v>77</v>
      </c>
      <c r="I942">
        <v>5</v>
      </c>
      <c r="J942">
        <v>5806</v>
      </c>
      <c r="K942" s="7">
        <v>0.05</v>
      </c>
      <c r="L942" t="s">
        <v>38</v>
      </c>
      <c r="M942" t="s">
        <v>22</v>
      </c>
      <c r="N942" t="s">
        <v>48</v>
      </c>
      <c r="P942">
        <f>VLOOKUP(Table2[[#This Row],[Product_ID]],Table1[#All],8,TRUE)</f>
        <v>700</v>
      </c>
    </row>
    <row r="943" spans="1:16" x14ac:dyDescent="0.3">
      <c r="A943" t="s">
        <v>1925</v>
      </c>
      <c r="B943" s="5" t="s">
        <v>1926</v>
      </c>
      <c r="C943" s="3" t="str">
        <f t="shared" si="14"/>
        <v>27-08-2023</v>
      </c>
      <c r="D943" t="s">
        <v>80</v>
      </c>
      <c r="E943" t="s">
        <v>1913</v>
      </c>
      <c r="F943" t="s">
        <v>43</v>
      </c>
      <c r="G943" t="s">
        <v>29</v>
      </c>
      <c r="H943" t="s">
        <v>20</v>
      </c>
      <c r="I943">
        <v>1</v>
      </c>
      <c r="J943">
        <v>2787</v>
      </c>
      <c r="K943" s="7">
        <v>0.05</v>
      </c>
      <c r="L943" t="s">
        <v>58</v>
      </c>
      <c r="M943" t="s">
        <v>39</v>
      </c>
      <c r="N943" t="s">
        <v>48</v>
      </c>
      <c r="P943">
        <f>VLOOKUP(Table2[[#This Row],[Product_ID]],Table1[#All],8,TRUE)</f>
        <v>1200</v>
      </c>
    </row>
    <row r="944" spans="1:16" x14ac:dyDescent="0.3">
      <c r="A944" t="s">
        <v>1927</v>
      </c>
      <c r="B944" s="5" t="s">
        <v>1848</v>
      </c>
      <c r="C944" s="3" t="str">
        <f t="shared" si="14"/>
        <v>18-11-2024</v>
      </c>
      <c r="D944" t="s">
        <v>67</v>
      </c>
      <c r="E944" t="s">
        <v>736</v>
      </c>
      <c r="F944" t="s">
        <v>57</v>
      </c>
      <c r="G944" t="s">
        <v>19</v>
      </c>
      <c r="H944" t="s">
        <v>30</v>
      </c>
      <c r="I944">
        <v>1</v>
      </c>
      <c r="J944">
        <v>9962</v>
      </c>
      <c r="K944" s="7">
        <v>0.1</v>
      </c>
      <c r="L944" t="s">
        <v>31</v>
      </c>
      <c r="M944" t="s">
        <v>22</v>
      </c>
      <c r="N944" t="s">
        <v>48</v>
      </c>
      <c r="O944">
        <v>4.9000000000000004</v>
      </c>
      <c r="P944">
        <f>VLOOKUP(Table2[[#This Row],[Product_ID]],Table1[#All],8,TRUE)</f>
        <v>0</v>
      </c>
    </row>
    <row r="945" spans="1:16" x14ac:dyDescent="0.3">
      <c r="A945" t="s">
        <v>793</v>
      </c>
      <c r="B945" s="5" t="s">
        <v>1928</v>
      </c>
      <c r="C945" s="3" t="str">
        <f t="shared" si="14"/>
        <v>13-01-2023</v>
      </c>
      <c r="D945" t="s">
        <v>67</v>
      </c>
      <c r="E945" t="s">
        <v>223</v>
      </c>
      <c r="F945" t="s">
        <v>43</v>
      </c>
      <c r="G945" t="s">
        <v>37</v>
      </c>
      <c r="H945" t="s">
        <v>99</v>
      </c>
      <c r="I945">
        <v>5</v>
      </c>
      <c r="J945">
        <v>2760</v>
      </c>
      <c r="K945" s="7">
        <v>0</v>
      </c>
      <c r="L945" t="s">
        <v>31</v>
      </c>
      <c r="M945" t="s">
        <v>39</v>
      </c>
      <c r="N945" t="s">
        <v>23</v>
      </c>
      <c r="P945">
        <f>VLOOKUP(Table2[[#This Row],[Product_ID]],Table1[#All],8,TRUE)</f>
        <v>0</v>
      </c>
    </row>
    <row r="946" spans="1:16" x14ac:dyDescent="0.3">
      <c r="A946" t="s">
        <v>1929</v>
      </c>
      <c r="B946" s="5" t="s">
        <v>1587</v>
      </c>
      <c r="C946" s="3" t="str">
        <f t="shared" si="14"/>
        <v>02-05-2023</v>
      </c>
      <c r="D946" t="s">
        <v>91</v>
      </c>
      <c r="E946" t="s">
        <v>829</v>
      </c>
      <c r="F946" t="s">
        <v>28</v>
      </c>
      <c r="G946" t="s">
        <v>29</v>
      </c>
      <c r="H946" t="s">
        <v>20</v>
      </c>
      <c r="I946">
        <v>3</v>
      </c>
      <c r="J946">
        <v>3698</v>
      </c>
      <c r="K946" s="7">
        <v>0</v>
      </c>
      <c r="L946" t="s">
        <v>38</v>
      </c>
      <c r="M946" t="s">
        <v>39</v>
      </c>
      <c r="N946" t="s">
        <v>32</v>
      </c>
      <c r="P946">
        <f>VLOOKUP(Table2[[#This Row],[Product_ID]],Table1[#All],8,TRUE)</f>
        <v>1500</v>
      </c>
    </row>
    <row r="947" spans="1:16" x14ac:dyDescent="0.3">
      <c r="A947" t="s">
        <v>1930</v>
      </c>
      <c r="B947" s="5" t="s">
        <v>1931</v>
      </c>
      <c r="C947" s="3" t="str">
        <f t="shared" si="14"/>
        <v>17-11-2023</v>
      </c>
      <c r="D947" t="s">
        <v>35</v>
      </c>
      <c r="E947" t="s">
        <v>88</v>
      </c>
      <c r="F947" t="s">
        <v>28</v>
      </c>
      <c r="G947" t="s">
        <v>29</v>
      </c>
      <c r="H947" t="s">
        <v>99</v>
      </c>
      <c r="I947">
        <v>5</v>
      </c>
      <c r="J947">
        <v>3574</v>
      </c>
      <c r="K947" s="7">
        <v>0.1</v>
      </c>
      <c r="L947" t="s">
        <v>58</v>
      </c>
      <c r="M947" t="s">
        <v>22</v>
      </c>
      <c r="N947" t="s">
        <v>59</v>
      </c>
      <c r="P947">
        <f>VLOOKUP(Table2[[#This Row],[Product_ID]],Table1[#All],8,TRUE)</f>
        <v>0</v>
      </c>
    </row>
    <row r="948" spans="1:16" x14ac:dyDescent="0.3">
      <c r="A948" t="s">
        <v>1556</v>
      </c>
      <c r="B948" s="5" t="s">
        <v>1452</v>
      </c>
      <c r="C948" s="3" t="str">
        <f t="shared" si="14"/>
        <v>03-10-2024</v>
      </c>
      <c r="D948" t="s">
        <v>46</v>
      </c>
      <c r="E948" t="s">
        <v>886</v>
      </c>
      <c r="F948" t="s">
        <v>64</v>
      </c>
      <c r="G948" t="s">
        <v>19</v>
      </c>
      <c r="H948" t="s">
        <v>30</v>
      </c>
      <c r="I948">
        <v>1</v>
      </c>
      <c r="J948">
        <v>2616</v>
      </c>
      <c r="K948" s="7">
        <v>0.05</v>
      </c>
      <c r="L948" t="s">
        <v>21</v>
      </c>
      <c r="M948" t="s">
        <v>22</v>
      </c>
      <c r="N948" t="s">
        <v>59</v>
      </c>
      <c r="O948">
        <v>3.5</v>
      </c>
      <c r="P948">
        <f>VLOOKUP(Table2[[#This Row],[Product_ID]],Table1[#All],8,TRUE)</f>
        <v>1500</v>
      </c>
    </row>
    <row r="949" spans="1:16" x14ac:dyDescent="0.3">
      <c r="A949" t="s">
        <v>1932</v>
      </c>
      <c r="B949" s="5" t="s">
        <v>1933</v>
      </c>
      <c r="C949" s="3" t="str">
        <f t="shared" si="14"/>
        <v>05-01-2023</v>
      </c>
      <c r="D949" t="s">
        <v>96</v>
      </c>
      <c r="E949" t="s">
        <v>758</v>
      </c>
      <c r="F949" t="s">
        <v>57</v>
      </c>
      <c r="G949" t="s">
        <v>37</v>
      </c>
      <c r="H949" t="s">
        <v>30</v>
      </c>
      <c r="I949">
        <v>1</v>
      </c>
      <c r="J949">
        <v>2456</v>
      </c>
      <c r="K949" s="7">
        <v>0.2</v>
      </c>
      <c r="L949" t="s">
        <v>31</v>
      </c>
      <c r="M949" t="s">
        <v>22</v>
      </c>
      <c r="N949" t="s">
        <v>32</v>
      </c>
      <c r="O949">
        <v>3.1</v>
      </c>
      <c r="P949">
        <f>VLOOKUP(Table2[[#This Row],[Product_ID]],Table1[#All],8,TRUE)</f>
        <v>1500</v>
      </c>
    </row>
    <row r="950" spans="1:16" x14ac:dyDescent="0.3">
      <c r="A950" t="s">
        <v>1652</v>
      </c>
      <c r="B950" s="5" t="s">
        <v>1934</v>
      </c>
      <c r="C950" s="3" t="str">
        <f t="shared" si="14"/>
        <v>06-09-2024</v>
      </c>
      <c r="D950" t="s">
        <v>114</v>
      </c>
      <c r="E950" t="s">
        <v>795</v>
      </c>
      <c r="F950" t="s">
        <v>73</v>
      </c>
      <c r="G950" t="s">
        <v>37</v>
      </c>
      <c r="H950" t="s">
        <v>99</v>
      </c>
      <c r="I950">
        <v>3</v>
      </c>
      <c r="J950">
        <v>6334</v>
      </c>
      <c r="K950" s="7">
        <v>0.1</v>
      </c>
      <c r="L950" t="s">
        <v>21</v>
      </c>
      <c r="M950" t="s">
        <v>22</v>
      </c>
      <c r="N950" t="s">
        <v>23</v>
      </c>
      <c r="O950">
        <v>3</v>
      </c>
      <c r="P950">
        <f>VLOOKUP(Table2[[#This Row],[Product_ID]],Table1[#All],8,TRUE)</f>
        <v>1500</v>
      </c>
    </row>
    <row r="951" spans="1:16" x14ac:dyDescent="0.3">
      <c r="A951" t="s">
        <v>987</v>
      </c>
      <c r="B951" s="5" t="s">
        <v>268</v>
      </c>
      <c r="C951" s="3" t="str">
        <f t="shared" si="14"/>
        <v>03-08-2023</v>
      </c>
      <c r="D951" t="s">
        <v>131</v>
      </c>
      <c r="E951" t="s">
        <v>1561</v>
      </c>
      <c r="F951" t="s">
        <v>98</v>
      </c>
      <c r="G951" t="s">
        <v>19</v>
      </c>
      <c r="H951" t="s">
        <v>30</v>
      </c>
      <c r="I951">
        <v>5</v>
      </c>
      <c r="J951">
        <v>3812</v>
      </c>
      <c r="K951" s="7">
        <v>0.05</v>
      </c>
      <c r="L951" t="s">
        <v>58</v>
      </c>
      <c r="M951" t="s">
        <v>22</v>
      </c>
      <c r="N951" t="s">
        <v>23</v>
      </c>
      <c r="O951">
        <v>4.3</v>
      </c>
      <c r="P951">
        <f>VLOOKUP(Table2[[#This Row],[Product_ID]],Table1[#All],8,TRUE)</f>
        <v>900</v>
      </c>
    </row>
    <row r="952" spans="1:16" x14ac:dyDescent="0.3">
      <c r="A952" t="s">
        <v>1935</v>
      </c>
      <c r="B952" s="5" t="s">
        <v>1936</v>
      </c>
      <c r="C952" s="3" t="str">
        <f t="shared" si="14"/>
        <v>13-05-2024</v>
      </c>
      <c r="D952" t="s">
        <v>91</v>
      </c>
      <c r="E952" t="s">
        <v>97</v>
      </c>
      <c r="F952" t="s">
        <v>18</v>
      </c>
      <c r="G952" t="s">
        <v>29</v>
      </c>
      <c r="H952" t="s">
        <v>30</v>
      </c>
      <c r="I952">
        <v>3</v>
      </c>
      <c r="J952">
        <v>7124</v>
      </c>
      <c r="K952" s="7">
        <v>0.15</v>
      </c>
      <c r="L952" t="s">
        <v>58</v>
      </c>
      <c r="M952" t="s">
        <v>39</v>
      </c>
      <c r="N952" t="s">
        <v>23</v>
      </c>
      <c r="O952">
        <v>3.6</v>
      </c>
      <c r="P952">
        <f>VLOOKUP(Table2[[#This Row],[Product_ID]],Table1[#All],8,TRUE)</f>
        <v>500</v>
      </c>
    </row>
    <row r="953" spans="1:16" x14ac:dyDescent="0.3">
      <c r="A953" t="s">
        <v>1389</v>
      </c>
      <c r="B953" s="5" t="s">
        <v>863</v>
      </c>
      <c r="C953" s="3" t="str">
        <f t="shared" si="14"/>
        <v>08-04-2023</v>
      </c>
      <c r="D953" t="s">
        <v>91</v>
      </c>
      <c r="E953" t="s">
        <v>1245</v>
      </c>
      <c r="F953" t="s">
        <v>98</v>
      </c>
      <c r="G953" t="s">
        <v>19</v>
      </c>
      <c r="H953" t="s">
        <v>99</v>
      </c>
      <c r="I953">
        <v>2</v>
      </c>
      <c r="J953">
        <v>1880</v>
      </c>
      <c r="K953" s="7">
        <v>0.05</v>
      </c>
      <c r="L953" t="s">
        <v>21</v>
      </c>
      <c r="M953" t="s">
        <v>22</v>
      </c>
      <c r="N953" t="s">
        <v>48</v>
      </c>
      <c r="O953">
        <v>4.5</v>
      </c>
      <c r="P953">
        <f>VLOOKUP(Table2[[#This Row],[Product_ID]],Table1[#All],8,TRUE)</f>
        <v>500</v>
      </c>
    </row>
    <row r="954" spans="1:16" x14ac:dyDescent="0.3">
      <c r="A954" t="s">
        <v>1937</v>
      </c>
      <c r="B954" s="5" t="s">
        <v>1938</v>
      </c>
      <c r="C954" s="3" t="str">
        <f t="shared" si="14"/>
        <v>14-06-2024</v>
      </c>
      <c r="D954" t="s">
        <v>46</v>
      </c>
      <c r="E954" t="s">
        <v>612</v>
      </c>
      <c r="F954" t="s">
        <v>28</v>
      </c>
      <c r="G954" t="s">
        <v>37</v>
      </c>
      <c r="H954" t="s">
        <v>99</v>
      </c>
      <c r="I954">
        <v>2</v>
      </c>
      <c r="J954">
        <v>5314</v>
      </c>
      <c r="K954" s="7">
        <v>0.1</v>
      </c>
      <c r="L954" t="s">
        <v>21</v>
      </c>
      <c r="M954" t="s">
        <v>39</v>
      </c>
      <c r="N954" t="s">
        <v>48</v>
      </c>
      <c r="O954">
        <v>4.7</v>
      </c>
      <c r="P954">
        <f>VLOOKUP(Table2[[#This Row],[Product_ID]],Table1[#All],8,TRUE)</f>
        <v>1200</v>
      </c>
    </row>
    <row r="955" spans="1:16" x14ac:dyDescent="0.3">
      <c r="A955" t="s">
        <v>1939</v>
      </c>
      <c r="B955" s="5" t="s">
        <v>101</v>
      </c>
      <c r="C955" s="3" t="str">
        <f t="shared" si="14"/>
        <v>06-01-2023</v>
      </c>
      <c r="D955" t="s">
        <v>84</v>
      </c>
      <c r="E955" t="s">
        <v>535</v>
      </c>
      <c r="F955" t="s">
        <v>73</v>
      </c>
      <c r="G955" t="s">
        <v>19</v>
      </c>
      <c r="H955" t="s">
        <v>77</v>
      </c>
      <c r="I955">
        <v>3</v>
      </c>
      <c r="J955">
        <v>2487</v>
      </c>
      <c r="K955" s="7">
        <v>0</v>
      </c>
      <c r="L955" t="s">
        <v>38</v>
      </c>
      <c r="M955" t="s">
        <v>39</v>
      </c>
      <c r="N955" t="s">
        <v>23</v>
      </c>
      <c r="P955">
        <f>VLOOKUP(Table2[[#This Row],[Product_ID]],Table1[#All],8,TRUE)</f>
        <v>0</v>
      </c>
    </row>
    <row r="956" spans="1:16" x14ac:dyDescent="0.3">
      <c r="A956" t="s">
        <v>1940</v>
      </c>
      <c r="B956" s="5" t="s">
        <v>1941</v>
      </c>
      <c r="C956" s="3" t="str">
        <f t="shared" si="14"/>
        <v>20-08-2023</v>
      </c>
      <c r="D956" t="s">
        <v>127</v>
      </c>
      <c r="E956" t="s">
        <v>286</v>
      </c>
      <c r="F956" t="s">
        <v>73</v>
      </c>
      <c r="G956" t="s">
        <v>29</v>
      </c>
      <c r="H956" t="s">
        <v>77</v>
      </c>
      <c r="I956">
        <v>4</v>
      </c>
      <c r="J956">
        <v>5516</v>
      </c>
      <c r="K956" s="7">
        <v>0</v>
      </c>
      <c r="L956" t="s">
        <v>38</v>
      </c>
      <c r="M956" t="s">
        <v>39</v>
      </c>
      <c r="N956" t="s">
        <v>32</v>
      </c>
      <c r="P956">
        <f>VLOOKUP(Table2[[#This Row],[Product_ID]],Table1[#All],8,TRUE)</f>
        <v>0</v>
      </c>
    </row>
    <row r="957" spans="1:16" x14ac:dyDescent="0.3">
      <c r="A957" t="s">
        <v>1942</v>
      </c>
      <c r="B957" s="5" t="s">
        <v>1943</v>
      </c>
      <c r="C957" s="3" t="str">
        <f t="shared" si="14"/>
        <v>23-05-2024</v>
      </c>
      <c r="D957" t="s">
        <v>84</v>
      </c>
      <c r="E957" t="s">
        <v>121</v>
      </c>
      <c r="F957" t="s">
        <v>28</v>
      </c>
      <c r="G957" t="s">
        <v>37</v>
      </c>
      <c r="H957" t="s">
        <v>99</v>
      </c>
      <c r="I957">
        <v>1</v>
      </c>
      <c r="J957">
        <v>7627</v>
      </c>
      <c r="K957" s="7">
        <v>0.2</v>
      </c>
      <c r="L957" t="s">
        <v>58</v>
      </c>
      <c r="M957" t="s">
        <v>22</v>
      </c>
      <c r="N957" t="s">
        <v>59</v>
      </c>
      <c r="P957">
        <f>VLOOKUP(Table2[[#This Row],[Product_ID]],Table1[#All],8,TRUE)</f>
        <v>700</v>
      </c>
    </row>
    <row r="958" spans="1:16" x14ac:dyDescent="0.3">
      <c r="A958" t="s">
        <v>1944</v>
      </c>
      <c r="B958" s="5" t="s">
        <v>1945</v>
      </c>
      <c r="C958" s="3" t="str">
        <f t="shared" si="14"/>
        <v>16-05-2024</v>
      </c>
      <c r="D958" t="s">
        <v>127</v>
      </c>
      <c r="E958" t="s">
        <v>886</v>
      </c>
      <c r="F958" t="s">
        <v>64</v>
      </c>
      <c r="G958" t="s">
        <v>53</v>
      </c>
      <c r="H958" t="s">
        <v>20</v>
      </c>
      <c r="I958">
        <v>5</v>
      </c>
      <c r="J958">
        <v>4265</v>
      </c>
      <c r="K958" s="7">
        <v>0.2</v>
      </c>
      <c r="L958" t="s">
        <v>31</v>
      </c>
      <c r="M958" t="s">
        <v>39</v>
      </c>
      <c r="N958" t="s">
        <v>59</v>
      </c>
      <c r="P958">
        <f>VLOOKUP(Table2[[#This Row],[Product_ID]],Table1[#All],8,TRUE)</f>
        <v>1500</v>
      </c>
    </row>
    <row r="959" spans="1:16" x14ac:dyDescent="0.3">
      <c r="A959" t="s">
        <v>1946</v>
      </c>
      <c r="B959" s="5" t="s">
        <v>1947</v>
      </c>
      <c r="C959" s="3" t="str">
        <f t="shared" si="14"/>
        <v>07-12-2023</v>
      </c>
      <c r="D959" t="s">
        <v>96</v>
      </c>
      <c r="E959" t="s">
        <v>1215</v>
      </c>
      <c r="F959" t="s">
        <v>73</v>
      </c>
      <c r="G959" t="s">
        <v>37</v>
      </c>
      <c r="H959" t="s">
        <v>99</v>
      </c>
      <c r="I959">
        <v>1</v>
      </c>
      <c r="J959">
        <v>9741</v>
      </c>
      <c r="K959" s="7">
        <v>0.05</v>
      </c>
      <c r="L959" t="s">
        <v>21</v>
      </c>
      <c r="M959" t="s">
        <v>39</v>
      </c>
      <c r="N959" t="s">
        <v>32</v>
      </c>
      <c r="P959">
        <f>VLOOKUP(Table2[[#This Row],[Product_ID]],Table1[#All],8,TRUE)</f>
        <v>700</v>
      </c>
    </row>
    <row r="960" spans="1:16" x14ac:dyDescent="0.3">
      <c r="A960" t="s">
        <v>1948</v>
      </c>
      <c r="B960" s="5" t="s">
        <v>673</v>
      </c>
      <c r="C960" s="3" t="str">
        <f t="shared" si="14"/>
        <v>06-03-2024</v>
      </c>
      <c r="D960" t="s">
        <v>16</v>
      </c>
      <c r="E960" t="s">
        <v>816</v>
      </c>
      <c r="F960" t="s">
        <v>28</v>
      </c>
      <c r="G960" t="s">
        <v>19</v>
      </c>
      <c r="H960" t="s">
        <v>99</v>
      </c>
      <c r="I960">
        <v>1</v>
      </c>
      <c r="J960">
        <v>5567</v>
      </c>
      <c r="K960" s="7">
        <v>0.2</v>
      </c>
      <c r="L960" t="s">
        <v>21</v>
      </c>
      <c r="M960" t="s">
        <v>22</v>
      </c>
      <c r="N960" t="s">
        <v>32</v>
      </c>
      <c r="P960">
        <f>VLOOKUP(Table2[[#This Row],[Product_ID]],Table1[#All],8,TRUE)</f>
        <v>1200</v>
      </c>
    </row>
    <row r="961" spans="1:16" x14ac:dyDescent="0.3">
      <c r="A961" t="s">
        <v>1471</v>
      </c>
      <c r="B961" s="5" t="s">
        <v>1949</v>
      </c>
      <c r="C961" s="3" t="str">
        <f t="shared" si="14"/>
        <v>19-02-2023</v>
      </c>
      <c r="D961" t="s">
        <v>114</v>
      </c>
      <c r="E961" t="s">
        <v>445</v>
      </c>
      <c r="F961" t="s">
        <v>43</v>
      </c>
      <c r="G961" t="s">
        <v>19</v>
      </c>
      <c r="H961" t="s">
        <v>30</v>
      </c>
      <c r="I961">
        <v>4</v>
      </c>
      <c r="J961">
        <v>2052</v>
      </c>
      <c r="K961" s="7">
        <v>0.2</v>
      </c>
      <c r="L961" t="s">
        <v>21</v>
      </c>
      <c r="M961" t="s">
        <v>39</v>
      </c>
      <c r="N961" t="s">
        <v>48</v>
      </c>
      <c r="O961">
        <v>3.7</v>
      </c>
      <c r="P961">
        <f>VLOOKUP(Table2[[#This Row],[Product_ID]],Table1[#All],8,TRUE)</f>
        <v>1500</v>
      </c>
    </row>
    <row r="962" spans="1:16" x14ac:dyDescent="0.3">
      <c r="A962" t="s">
        <v>1950</v>
      </c>
      <c r="B962" s="5" t="s">
        <v>1951</v>
      </c>
      <c r="C962" s="3" t="str">
        <f t="shared" ref="C962:C1025" si="15">TEXT(B962,"dd-mm-yyyy")</f>
        <v>25-12-2024</v>
      </c>
      <c r="D962" t="s">
        <v>16</v>
      </c>
      <c r="E962" t="s">
        <v>866</v>
      </c>
      <c r="F962" t="s">
        <v>98</v>
      </c>
      <c r="G962" t="s">
        <v>19</v>
      </c>
      <c r="H962" t="s">
        <v>99</v>
      </c>
      <c r="I962">
        <v>3</v>
      </c>
      <c r="J962">
        <v>3413</v>
      </c>
      <c r="K962" s="7">
        <v>0</v>
      </c>
      <c r="L962" t="s">
        <v>38</v>
      </c>
      <c r="M962" t="s">
        <v>22</v>
      </c>
      <c r="N962" t="s">
        <v>59</v>
      </c>
      <c r="P962">
        <f>VLOOKUP(Table2[[#This Row],[Product_ID]],Table1[#All],8,TRUE)</f>
        <v>900</v>
      </c>
    </row>
    <row r="963" spans="1:16" x14ac:dyDescent="0.3">
      <c r="A963" t="s">
        <v>1952</v>
      </c>
      <c r="B963" s="5" t="s">
        <v>1664</v>
      </c>
      <c r="C963" s="3" t="str">
        <f t="shared" si="15"/>
        <v>09-11-2024</v>
      </c>
      <c r="D963" t="s">
        <v>71</v>
      </c>
      <c r="E963" t="s">
        <v>575</v>
      </c>
      <c r="F963" t="s">
        <v>64</v>
      </c>
      <c r="G963" t="s">
        <v>29</v>
      </c>
      <c r="H963" t="s">
        <v>30</v>
      </c>
      <c r="I963">
        <v>3</v>
      </c>
      <c r="J963">
        <v>8190</v>
      </c>
      <c r="K963" s="7">
        <v>0.1</v>
      </c>
      <c r="L963" t="s">
        <v>31</v>
      </c>
      <c r="M963" t="s">
        <v>22</v>
      </c>
      <c r="N963" t="s">
        <v>59</v>
      </c>
      <c r="O963">
        <v>4.3</v>
      </c>
      <c r="P963">
        <f>VLOOKUP(Table2[[#This Row],[Product_ID]],Table1[#All],8,TRUE)</f>
        <v>0</v>
      </c>
    </row>
    <row r="964" spans="1:16" x14ac:dyDescent="0.3">
      <c r="A964" t="s">
        <v>984</v>
      </c>
      <c r="B964" s="5" t="s">
        <v>1953</v>
      </c>
      <c r="C964" s="3" t="str">
        <f t="shared" si="15"/>
        <v>31-07-2023</v>
      </c>
      <c r="D964" t="s">
        <v>96</v>
      </c>
      <c r="E964" t="s">
        <v>1913</v>
      </c>
      <c r="F964" t="s">
        <v>57</v>
      </c>
      <c r="G964" t="s">
        <v>53</v>
      </c>
      <c r="H964" t="s">
        <v>77</v>
      </c>
      <c r="I964">
        <v>1</v>
      </c>
      <c r="J964">
        <v>1818</v>
      </c>
      <c r="K964" s="7">
        <v>0.2</v>
      </c>
      <c r="L964" t="s">
        <v>21</v>
      </c>
      <c r="M964" t="s">
        <v>22</v>
      </c>
      <c r="N964" t="s">
        <v>59</v>
      </c>
      <c r="P964">
        <f>VLOOKUP(Table2[[#This Row],[Product_ID]],Table1[#All],8,TRUE)</f>
        <v>1200</v>
      </c>
    </row>
    <row r="965" spans="1:16" x14ac:dyDescent="0.3">
      <c r="A965" t="s">
        <v>1900</v>
      </c>
      <c r="B965" s="5" t="s">
        <v>1954</v>
      </c>
      <c r="C965" s="3" t="str">
        <f t="shared" si="15"/>
        <v>12-11-2024</v>
      </c>
      <c r="D965" t="s">
        <v>91</v>
      </c>
      <c r="E965" t="s">
        <v>819</v>
      </c>
      <c r="F965" t="s">
        <v>64</v>
      </c>
      <c r="G965" t="s">
        <v>37</v>
      </c>
      <c r="H965" t="s">
        <v>20</v>
      </c>
      <c r="I965">
        <v>4</v>
      </c>
      <c r="J965">
        <v>1155</v>
      </c>
      <c r="K965" s="7">
        <v>0.05</v>
      </c>
      <c r="L965" t="s">
        <v>58</v>
      </c>
      <c r="M965" t="s">
        <v>39</v>
      </c>
      <c r="N965" t="s">
        <v>32</v>
      </c>
      <c r="O965">
        <v>3.8</v>
      </c>
      <c r="P965">
        <f>VLOOKUP(Table2[[#This Row],[Product_ID]],Table1[#All],8,TRUE)</f>
        <v>0</v>
      </c>
    </row>
    <row r="966" spans="1:16" x14ac:dyDescent="0.3">
      <c r="A966" t="s">
        <v>1955</v>
      </c>
      <c r="B966" s="5" t="s">
        <v>1956</v>
      </c>
      <c r="C966" s="3" t="str">
        <f t="shared" si="15"/>
        <v>26-10-2023</v>
      </c>
      <c r="D966" t="s">
        <v>91</v>
      </c>
      <c r="E966" t="s">
        <v>880</v>
      </c>
      <c r="F966" t="s">
        <v>73</v>
      </c>
      <c r="G966" t="s">
        <v>19</v>
      </c>
      <c r="H966" t="s">
        <v>99</v>
      </c>
      <c r="I966">
        <v>1</v>
      </c>
      <c r="J966">
        <v>2410</v>
      </c>
      <c r="K966" s="7">
        <v>0</v>
      </c>
      <c r="L966" t="s">
        <v>38</v>
      </c>
      <c r="M966" t="s">
        <v>39</v>
      </c>
      <c r="N966" t="s">
        <v>48</v>
      </c>
      <c r="P966">
        <f>VLOOKUP(Table2[[#This Row],[Product_ID]],Table1[#All],8,TRUE)</f>
        <v>1200</v>
      </c>
    </row>
    <row r="967" spans="1:16" x14ac:dyDescent="0.3">
      <c r="A967" t="s">
        <v>1957</v>
      </c>
      <c r="B967" s="5" t="s">
        <v>1958</v>
      </c>
      <c r="C967" s="3" t="str">
        <f t="shared" si="15"/>
        <v>07-05-2024</v>
      </c>
      <c r="D967" t="s">
        <v>26</v>
      </c>
      <c r="E967" t="s">
        <v>569</v>
      </c>
      <c r="F967" t="s">
        <v>28</v>
      </c>
      <c r="G967" t="s">
        <v>37</v>
      </c>
      <c r="H967" t="s">
        <v>20</v>
      </c>
      <c r="I967">
        <v>1</v>
      </c>
      <c r="J967">
        <v>7958</v>
      </c>
      <c r="K967" s="7">
        <v>0.1</v>
      </c>
      <c r="L967" t="s">
        <v>21</v>
      </c>
      <c r="M967" t="s">
        <v>22</v>
      </c>
      <c r="N967" t="s">
        <v>23</v>
      </c>
      <c r="P967">
        <f>VLOOKUP(Table2[[#This Row],[Product_ID]],Table1[#All],8,TRUE)</f>
        <v>1500</v>
      </c>
    </row>
    <row r="968" spans="1:16" x14ac:dyDescent="0.3">
      <c r="A968" t="s">
        <v>1959</v>
      </c>
      <c r="B968" s="5" t="s">
        <v>1960</v>
      </c>
      <c r="C968" s="3" t="str">
        <f t="shared" si="15"/>
        <v>02-09-2023</v>
      </c>
      <c r="D968" t="s">
        <v>67</v>
      </c>
      <c r="E968" t="s">
        <v>17</v>
      </c>
      <c r="F968" t="s">
        <v>43</v>
      </c>
      <c r="G968" t="s">
        <v>19</v>
      </c>
      <c r="H968" t="s">
        <v>99</v>
      </c>
      <c r="I968">
        <v>2</v>
      </c>
      <c r="J968">
        <v>1519</v>
      </c>
      <c r="K968" s="7">
        <v>0</v>
      </c>
      <c r="L968" t="s">
        <v>38</v>
      </c>
      <c r="M968" t="s">
        <v>39</v>
      </c>
      <c r="N968" t="s">
        <v>32</v>
      </c>
      <c r="O968">
        <v>3.8</v>
      </c>
      <c r="P968">
        <f>VLOOKUP(Table2[[#This Row],[Product_ID]],Table1[#All],8,TRUE)</f>
        <v>700</v>
      </c>
    </row>
    <row r="969" spans="1:16" x14ac:dyDescent="0.3">
      <c r="A969" t="s">
        <v>1961</v>
      </c>
      <c r="B969" s="5" t="s">
        <v>1962</v>
      </c>
      <c r="C969" s="3" t="str">
        <f t="shared" si="15"/>
        <v>12-03-2024</v>
      </c>
      <c r="D969" t="s">
        <v>127</v>
      </c>
      <c r="E969" t="s">
        <v>278</v>
      </c>
      <c r="F969" t="s">
        <v>57</v>
      </c>
      <c r="G969" t="s">
        <v>29</v>
      </c>
      <c r="H969" t="s">
        <v>77</v>
      </c>
      <c r="I969">
        <v>4</v>
      </c>
      <c r="J969">
        <v>1197</v>
      </c>
      <c r="K969" s="7">
        <v>0.1</v>
      </c>
      <c r="L969" t="s">
        <v>31</v>
      </c>
      <c r="M969" t="s">
        <v>39</v>
      </c>
      <c r="N969" t="s">
        <v>23</v>
      </c>
      <c r="P969">
        <f>VLOOKUP(Table2[[#This Row],[Product_ID]],Table1[#All],8,TRUE)</f>
        <v>1200</v>
      </c>
    </row>
    <row r="970" spans="1:16" x14ac:dyDescent="0.3">
      <c r="A970" t="s">
        <v>1870</v>
      </c>
      <c r="B970" s="5" t="s">
        <v>313</v>
      </c>
      <c r="C970" s="3" t="str">
        <f t="shared" si="15"/>
        <v>09-03-2023</v>
      </c>
      <c r="D970" t="s">
        <v>71</v>
      </c>
      <c r="E970" t="s">
        <v>640</v>
      </c>
      <c r="F970" t="s">
        <v>43</v>
      </c>
      <c r="G970" t="s">
        <v>37</v>
      </c>
      <c r="H970" t="s">
        <v>20</v>
      </c>
      <c r="I970">
        <v>2</v>
      </c>
      <c r="J970">
        <v>4511</v>
      </c>
      <c r="K970" s="7">
        <v>0.05</v>
      </c>
      <c r="L970" t="s">
        <v>58</v>
      </c>
      <c r="M970" t="s">
        <v>39</v>
      </c>
      <c r="N970" t="s">
        <v>48</v>
      </c>
      <c r="O970">
        <v>3.4</v>
      </c>
      <c r="P970">
        <f>VLOOKUP(Table2[[#This Row],[Product_ID]],Table1[#All],8,TRUE)</f>
        <v>900</v>
      </c>
    </row>
    <row r="971" spans="1:16" x14ac:dyDescent="0.3">
      <c r="A971" t="s">
        <v>1963</v>
      </c>
      <c r="B971" s="5" t="s">
        <v>1749</v>
      </c>
      <c r="C971" s="3" t="str">
        <f t="shared" si="15"/>
        <v>08-01-2023</v>
      </c>
      <c r="D971" t="s">
        <v>26</v>
      </c>
      <c r="E971" t="s">
        <v>325</v>
      </c>
      <c r="F971" t="s">
        <v>64</v>
      </c>
      <c r="G971" t="s">
        <v>53</v>
      </c>
      <c r="H971" t="s">
        <v>20</v>
      </c>
      <c r="I971">
        <v>1</v>
      </c>
      <c r="J971">
        <v>4654</v>
      </c>
      <c r="K971" s="7">
        <v>0.15</v>
      </c>
      <c r="L971" t="s">
        <v>58</v>
      </c>
      <c r="M971" t="s">
        <v>22</v>
      </c>
      <c r="N971" t="s">
        <v>32</v>
      </c>
      <c r="O971">
        <v>3.1</v>
      </c>
      <c r="P971">
        <f>VLOOKUP(Table2[[#This Row],[Product_ID]],Table1[#All],8,TRUE)</f>
        <v>1200</v>
      </c>
    </row>
    <row r="972" spans="1:16" x14ac:dyDescent="0.3">
      <c r="A972" t="s">
        <v>1964</v>
      </c>
      <c r="B972" s="5" t="s">
        <v>1965</v>
      </c>
      <c r="C972" s="3" t="str">
        <f t="shared" si="15"/>
        <v>08-01-2023</v>
      </c>
      <c r="D972" t="s">
        <v>51</v>
      </c>
      <c r="E972" t="s">
        <v>47</v>
      </c>
      <c r="F972" t="s">
        <v>57</v>
      </c>
      <c r="G972" t="s">
        <v>37</v>
      </c>
      <c r="H972" t="s">
        <v>20</v>
      </c>
      <c r="I972">
        <v>1</v>
      </c>
      <c r="J972">
        <v>1467</v>
      </c>
      <c r="K972" s="7">
        <v>0.05</v>
      </c>
      <c r="L972" t="s">
        <v>58</v>
      </c>
      <c r="M972" t="s">
        <v>22</v>
      </c>
      <c r="N972" t="s">
        <v>59</v>
      </c>
      <c r="O972">
        <v>4</v>
      </c>
      <c r="P972">
        <f>VLOOKUP(Table2[[#This Row],[Product_ID]],Table1[#All],8,TRUE)</f>
        <v>700</v>
      </c>
    </row>
    <row r="973" spans="1:16" x14ac:dyDescent="0.3">
      <c r="A973" t="s">
        <v>558</v>
      </c>
      <c r="B973" s="5" t="s">
        <v>383</v>
      </c>
      <c r="C973" s="3" t="str">
        <f t="shared" si="15"/>
        <v>26-06-2023</v>
      </c>
      <c r="D973" t="s">
        <v>67</v>
      </c>
      <c r="E973" t="s">
        <v>263</v>
      </c>
      <c r="F973" t="s">
        <v>64</v>
      </c>
      <c r="G973" t="s">
        <v>37</v>
      </c>
      <c r="H973" t="s">
        <v>20</v>
      </c>
      <c r="I973">
        <v>2</v>
      </c>
      <c r="J973">
        <v>9457</v>
      </c>
      <c r="K973" s="7">
        <v>0</v>
      </c>
      <c r="L973" t="s">
        <v>21</v>
      </c>
      <c r="M973" t="s">
        <v>22</v>
      </c>
      <c r="N973" t="s">
        <v>32</v>
      </c>
      <c r="O973">
        <v>4.4000000000000004</v>
      </c>
      <c r="P973">
        <f>VLOOKUP(Table2[[#This Row],[Product_ID]],Table1[#All],8,TRUE)</f>
        <v>1500</v>
      </c>
    </row>
    <row r="974" spans="1:16" x14ac:dyDescent="0.3">
      <c r="A974" t="s">
        <v>1781</v>
      </c>
      <c r="B974" s="5" t="s">
        <v>1966</v>
      </c>
      <c r="C974" s="3" t="str">
        <f t="shared" si="15"/>
        <v>02-08-2023</v>
      </c>
      <c r="D974" t="s">
        <v>96</v>
      </c>
      <c r="E974" t="s">
        <v>1053</v>
      </c>
      <c r="F974" t="s">
        <v>73</v>
      </c>
      <c r="G974" t="s">
        <v>53</v>
      </c>
      <c r="H974" t="s">
        <v>20</v>
      </c>
      <c r="I974">
        <v>2</v>
      </c>
      <c r="J974">
        <v>3943</v>
      </c>
      <c r="K974" s="7">
        <v>0</v>
      </c>
      <c r="L974" t="s">
        <v>58</v>
      </c>
      <c r="M974" t="s">
        <v>22</v>
      </c>
      <c r="N974" t="s">
        <v>48</v>
      </c>
      <c r="P974">
        <f>VLOOKUP(Table2[[#This Row],[Product_ID]],Table1[#All],8,TRUE)</f>
        <v>0</v>
      </c>
    </row>
    <row r="975" spans="1:16" x14ac:dyDescent="0.3">
      <c r="A975" t="s">
        <v>1967</v>
      </c>
      <c r="B975" s="5" t="s">
        <v>1968</v>
      </c>
      <c r="C975" s="3" t="str">
        <f t="shared" si="15"/>
        <v>17-05-2023</v>
      </c>
      <c r="D975" t="s">
        <v>51</v>
      </c>
      <c r="E975" t="s">
        <v>178</v>
      </c>
      <c r="F975" t="s">
        <v>28</v>
      </c>
      <c r="G975" t="s">
        <v>37</v>
      </c>
      <c r="H975" t="s">
        <v>30</v>
      </c>
      <c r="I975">
        <v>4</v>
      </c>
      <c r="J975">
        <v>1455</v>
      </c>
      <c r="K975" s="7">
        <v>0.1</v>
      </c>
      <c r="L975" t="s">
        <v>31</v>
      </c>
      <c r="M975" t="s">
        <v>39</v>
      </c>
      <c r="N975" t="s">
        <v>32</v>
      </c>
      <c r="P975">
        <f>VLOOKUP(Table2[[#This Row],[Product_ID]],Table1[#All],8,TRUE)</f>
        <v>1200</v>
      </c>
    </row>
    <row r="976" spans="1:16" x14ac:dyDescent="0.3">
      <c r="A976" t="s">
        <v>1959</v>
      </c>
      <c r="B976" s="5" t="s">
        <v>1969</v>
      </c>
      <c r="C976" s="3" t="str">
        <f t="shared" si="15"/>
        <v>17-05-2024</v>
      </c>
      <c r="D976" t="s">
        <v>46</v>
      </c>
      <c r="E976" t="s">
        <v>816</v>
      </c>
      <c r="F976" t="s">
        <v>64</v>
      </c>
      <c r="G976" t="s">
        <v>29</v>
      </c>
      <c r="H976" t="s">
        <v>77</v>
      </c>
      <c r="I976">
        <v>5</v>
      </c>
      <c r="J976">
        <v>3954</v>
      </c>
      <c r="K976" s="7">
        <v>0.1</v>
      </c>
      <c r="L976" t="s">
        <v>21</v>
      </c>
      <c r="M976" t="s">
        <v>22</v>
      </c>
      <c r="N976" t="s">
        <v>59</v>
      </c>
      <c r="P976">
        <f>VLOOKUP(Table2[[#This Row],[Product_ID]],Table1[#All],8,TRUE)</f>
        <v>1200</v>
      </c>
    </row>
    <row r="977" spans="1:16" x14ac:dyDescent="0.3">
      <c r="A977" t="s">
        <v>1970</v>
      </c>
      <c r="B977" s="5" t="s">
        <v>1971</v>
      </c>
      <c r="C977" s="3" t="str">
        <f t="shared" si="15"/>
        <v>19-12-2024</v>
      </c>
      <c r="D977" t="s">
        <v>114</v>
      </c>
      <c r="E977" t="s">
        <v>1493</v>
      </c>
      <c r="F977" t="s">
        <v>98</v>
      </c>
      <c r="G977" t="s">
        <v>37</v>
      </c>
      <c r="H977" t="s">
        <v>20</v>
      </c>
      <c r="I977">
        <v>2</v>
      </c>
      <c r="J977">
        <v>1989</v>
      </c>
      <c r="K977" s="7">
        <v>0.1</v>
      </c>
      <c r="L977" t="s">
        <v>31</v>
      </c>
      <c r="M977" t="s">
        <v>22</v>
      </c>
      <c r="N977" t="s">
        <v>59</v>
      </c>
      <c r="P977">
        <f>VLOOKUP(Table2[[#This Row],[Product_ID]],Table1[#All],8,TRUE)</f>
        <v>700</v>
      </c>
    </row>
    <row r="978" spans="1:16" x14ac:dyDescent="0.3">
      <c r="A978" t="s">
        <v>1972</v>
      </c>
      <c r="B978" s="5" t="s">
        <v>1973</v>
      </c>
      <c r="C978" s="3" t="str">
        <f t="shared" si="15"/>
        <v>08-02-2024</v>
      </c>
      <c r="D978" t="s">
        <v>114</v>
      </c>
      <c r="E978" t="s">
        <v>1552</v>
      </c>
      <c r="F978" t="s">
        <v>43</v>
      </c>
      <c r="G978" t="s">
        <v>37</v>
      </c>
      <c r="H978" t="s">
        <v>20</v>
      </c>
      <c r="I978">
        <v>5</v>
      </c>
      <c r="J978">
        <v>8085</v>
      </c>
      <c r="K978" s="7">
        <v>0.05</v>
      </c>
      <c r="L978" t="s">
        <v>58</v>
      </c>
      <c r="M978" t="s">
        <v>22</v>
      </c>
      <c r="N978" t="s">
        <v>59</v>
      </c>
      <c r="O978">
        <v>3.4</v>
      </c>
      <c r="P978">
        <f>VLOOKUP(Table2[[#This Row],[Product_ID]],Table1[#All],8,TRUE)</f>
        <v>1200</v>
      </c>
    </row>
    <row r="979" spans="1:16" x14ac:dyDescent="0.3">
      <c r="A979" t="s">
        <v>1974</v>
      </c>
      <c r="B979" s="5" t="s">
        <v>1975</v>
      </c>
      <c r="C979" s="3" t="str">
        <f t="shared" si="15"/>
        <v>12-04-2024</v>
      </c>
      <c r="D979" t="s">
        <v>51</v>
      </c>
      <c r="E979" t="s">
        <v>88</v>
      </c>
      <c r="F979" t="s">
        <v>98</v>
      </c>
      <c r="G979" t="s">
        <v>19</v>
      </c>
      <c r="H979" t="s">
        <v>99</v>
      </c>
      <c r="I979">
        <v>2</v>
      </c>
      <c r="J979">
        <v>8358</v>
      </c>
      <c r="K979" s="7">
        <v>0.2</v>
      </c>
      <c r="L979" t="s">
        <v>58</v>
      </c>
      <c r="M979" t="s">
        <v>22</v>
      </c>
      <c r="N979" t="s">
        <v>23</v>
      </c>
      <c r="P979">
        <f>VLOOKUP(Table2[[#This Row],[Product_ID]],Table1[#All],8,TRUE)</f>
        <v>0</v>
      </c>
    </row>
    <row r="980" spans="1:16" x14ac:dyDescent="0.3">
      <c r="A980" t="s">
        <v>1976</v>
      </c>
      <c r="B980" s="5" t="s">
        <v>394</v>
      </c>
      <c r="C980" s="3" t="str">
        <f t="shared" si="15"/>
        <v>06-12-2023</v>
      </c>
      <c r="D980" t="s">
        <v>80</v>
      </c>
      <c r="E980" t="s">
        <v>237</v>
      </c>
      <c r="F980" t="s">
        <v>73</v>
      </c>
      <c r="G980" t="s">
        <v>53</v>
      </c>
      <c r="H980" t="s">
        <v>77</v>
      </c>
      <c r="I980">
        <v>4</v>
      </c>
      <c r="J980">
        <v>7284</v>
      </c>
      <c r="K980" s="7">
        <v>0.1</v>
      </c>
      <c r="L980" t="s">
        <v>31</v>
      </c>
      <c r="M980" t="s">
        <v>22</v>
      </c>
      <c r="N980" t="s">
        <v>59</v>
      </c>
      <c r="O980">
        <v>3.8</v>
      </c>
      <c r="P980">
        <f>VLOOKUP(Table2[[#This Row],[Product_ID]],Table1[#All],8,TRUE)</f>
        <v>900</v>
      </c>
    </row>
    <row r="981" spans="1:16" x14ac:dyDescent="0.3">
      <c r="A981" t="s">
        <v>1977</v>
      </c>
      <c r="B981" s="5" t="s">
        <v>1978</v>
      </c>
      <c r="C981" s="3" t="str">
        <f t="shared" si="15"/>
        <v>12-03-2023</v>
      </c>
      <c r="D981" t="s">
        <v>80</v>
      </c>
      <c r="E981" t="s">
        <v>886</v>
      </c>
      <c r="F981" t="s">
        <v>64</v>
      </c>
      <c r="G981" t="s">
        <v>53</v>
      </c>
      <c r="H981" t="s">
        <v>77</v>
      </c>
      <c r="I981">
        <v>4</v>
      </c>
      <c r="J981">
        <v>7755</v>
      </c>
      <c r="K981" s="7">
        <v>0.2</v>
      </c>
      <c r="L981" t="s">
        <v>58</v>
      </c>
      <c r="M981" t="s">
        <v>39</v>
      </c>
      <c r="N981" t="s">
        <v>48</v>
      </c>
      <c r="P981">
        <f>VLOOKUP(Table2[[#This Row],[Product_ID]],Table1[#All],8,TRUE)</f>
        <v>1500</v>
      </c>
    </row>
    <row r="982" spans="1:16" x14ac:dyDescent="0.3">
      <c r="A982" t="s">
        <v>1979</v>
      </c>
      <c r="B982" s="5" t="s">
        <v>1980</v>
      </c>
      <c r="C982" s="3" t="str">
        <f t="shared" si="15"/>
        <v>09-09-2023</v>
      </c>
      <c r="D982" t="s">
        <v>71</v>
      </c>
      <c r="E982" t="s">
        <v>471</v>
      </c>
      <c r="F982" t="s">
        <v>64</v>
      </c>
      <c r="G982" t="s">
        <v>53</v>
      </c>
      <c r="H982" t="s">
        <v>99</v>
      </c>
      <c r="I982">
        <v>5</v>
      </c>
      <c r="J982">
        <v>2897</v>
      </c>
      <c r="K982" s="7">
        <v>0.05</v>
      </c>
      <c r="L982" t="s">
        <v>38</v>
      </c>
      <c r="M982" t="s">
        <v>39</v>
      </c>
      <c r="N982" t="s">
        <v>59</v>
      </c>
      <c r="O982">
        <v>3.3</v>
      </c>
      <c r="P982">
        <f>VLOOKUP(Table2[[#This Row],[Product_ID]],Table1[#All],8,TRUE)</f>
        <v>700</v>
      </c>
    </row>
    <row r="983" spans="1:16" x14ac:dyDescent="0.3">
      <c r="A983" t="s">
        <v>1981</v>
      </c>
      <c r="B983" s="5" t="s">
        <v>1982</v>
      </c>
      <c r="C983" s="3" t="str">
        <f t="shared" si="15"/>
        <v>18-12-2024</v>
      </c>
      <c r="D983" t="s">
        <v>71</v>
      </c>
      <c r="E983" t="s">
        <v>550</v>
      </c>
      <c r="F983" t="s">
        <v>57</v>
      </c>
      <c r="G983" t="s">
        <v>29</v>
      </c>
      <c r="H983" t="s">
        <v>20</v>
      </c>
      <c r="I983">
        <v>4</v>
      </c>
      <c r="J983">
        <v>1008</v>
      </c>
      <c r="K983" s="7">
        <v>0.2</v>
      </c>
      <c r="L983" t="s">
        <v>21</v>
      </c>
      <c r="M983" t="s">
        <v>22</v>
      </c>
      <c r="N983" t="s">
        <v>59</v>
      </c>
      <c r="O983">
        <v>3.3</v>
      </c>
      <c r="P983">
        <f>VLOOKUP(Table2[[#This Row],[Product_ID]],Table1[#All],8,TRUE)</f>
        <v>700</v>
      </c>
    </row>
    <row r="984" spans="1:16" x14ac:dyDescent="0.3">
      <c r="A984" t="s">
        <v>1983</v>
      </c>
      <c r="B984" s="5" t="s">
        <v>1984</v>
      </c>
      <c r="C984" s="3" t="str">
        <f t="shared" si="15"/>
        <v>19-03-2023</v>
      </c>
      <c r="D984" t="s">
        <v>114</v>
      </c>
      <c r="E984" t="s">
        <v>643</v>
      </c>
      <c r="F984" t="s">
        <v>28</v>
      </c>
      <c r="G984" t="s">
        <v>37</v>
      </c>
      <c r="H984" t="s">
        <v>77</v>
      </c>
      <c r="I984">
        <v>2</v>
      </c>
      <c r="J984">
        <v>1480</v>
      </c>
      <c r="K984" s="7">
        <v>0.2</v>
      </c>
      <c r="L984" t="s">
        <v>58</v>
      </c>
      <c r="M984" t="s">
        <v>22</v>
      </c>
      <c r="N984" t="s">
        <v>32</v>
      </c>
      <c r="P984">
        <f>VLOOKUP(Table2[[#This Row],[Product_ID]],Table1[#All],8,TRUE)</f>
        <v>1200</v>
      </c>
    </row>
    <row r="985" spans="1:16" x14ac:dyDescent="0.3">
      <c r="A985" t="s">
        <v>1985</v>
      </c>
      <c r="B985" s="5" t="s">
        <v>1261</v>
      </c>
      <c r="C985" s="3" t="str">
        <f t="shared" si="15"/>
        <v>11-06-2024</v>
      </c>
      <c r="D985" t="s">
        <v>35</v>
      </c>
      <c r="E985" t="s">
        <v>1608</v>
      </c>
      <c r="F985" t="s">
        <v>73</v>
      </c>
      <c r="G985" t="s">
        <v>37</v>
      </c>
      <c r="H985" t="s">
        <v>99</v>
      </c>
      <c r="I985">
        <v>1</v>
      </c>
      <c r="J985">
        <v>8494</v>
      </c>
      <c r="K985" s="7">
        <v>0.2</v>
      </c>
      <c r="L985" t="s">
        <v>31</v>
      </c>
      <c r="M985" t="s">
        <v>22</v>
      </c>
      <c r="N985" t="s">
        <v>32</v>
      </c>
      <c r="P985">
        <f>VLOOKUP(Table2[[#This Row],[Product_ID]],Table1[#All],8,TRUE)</f>
        <v>0</v>
      </c>
    </row>
    <row r="986" spans="1:16" x14ac:dyDescent="0.3">
      <c r="A986" t="s">
        <v>1986</v>
      </c>
      <c r="B986" s="5" t="s">
        <v>568</v>
      </c>
      <c r="C986" s="3" t="str">
        <f t="shared" si="15"/>
        <v>14-12-2024</v>
      </c>
      <c r="D986" t="s">
        <v>71</v>
      </c>
      <c r="E986" t="s">
        <v>1193</v>
      </c>
      <c r="F986" t="s">
        <v>98</v>
      </c>
      <c r="G986" t="s">
        <v>19</v>
      </c>
      <c r="H986" t="s">
        <v>77</v>
      </c>
      <c r="I986">
        <v>1</v>
      </c>
      <c r="J986">
        <v>2799</v>
      </c>
      <c r="K986" s="7">
        <v>0.15</v>
      </c>
      <c r="L986" t="s">
        <v>21</v>
      </c>
      <c r="M986" t="s">
        <v>39</v>
      </c>
      <c r="N986" t="s">
        <v>48</v>
      </c>
      <c r="P986">
        <f>VLOOKUP(Table2[[#This Row],[Product_ID]],Table1[#All],8,TRUE)</f>
        <v>900</v>
      </c>
    </row>
    <row r="987" spans="1:16" x14ac:dyDescent="0.3">
      <c r="A987" t="s">
        <v>1987</v>
      </c>
      <c r="B987" s="5" t="s">
        <v>1988</v>
      </c>
      <c r="C987" s="3" t="str">
        <f t="shared" si="15"/>
        <v>11-05-2024</v>
      </c>
      <c r="D987" t="s">
        <v>80</v>
      </c>
      <c r="E987" t="s">
        <v>560</v>
      </c>
      <c r="F987" t="s">
        <v>73</v>
      </c>
      <c r="G987" t="s">
        <v>53</v>
      </c>
      <c r="H987" t="s">
        <v>30</v>
      </c>
      <c r="I987">
        <v>4</v>
      </c>
      <c r="J987">
        <v>7165</v>
      </c>
      <c r="K987" s="7">
        <v>0.05</v>
      </c>
      <c r="L987" t="s">
        <v>31</v>
      </c>
      <c r="M987" t="s">
        <v>22</v>
      </c>
      <c r="N987" t="s">
        <v>59</v>
      </c>
      <c r="P987">
        <f>VLOOKUP(Table2[[#This Row],[Product_ID]],Table1[#All],8,TRUE)</f>
        <v>500</v>
      </c>
    </row>
    <row r="988" spans="1:16" x14ac:dyDescent="0.3">
      <c r="A988" t="s">
        <v>1989</v>
      </c>
      <c r="B988" s="5" t="s">
        <v>283</v>
      </c>
      <c r="C988" s="3" t="str">
        <f t="shared" si="15"/>
        <v>15-04-2023</v>
      </c>
      <c r="D988" t="s">
        <v>26</v>
      </c>
      <c r="E988" t="s">
        <v>1237</v>
      </c>
      <c r="F988" t="s">
        <v>28</v>
      </c>
      <c r="G988" t="s">
        <v>53</v>
      </c>
      <c r="H988" t="s">
        <v>99</v>
      </c>
      <c r="I988">
        <v>2</v>
      </c>
      <c r="J988">
        <v>5678</v>
      </c>
      <c r="K988" s="7">
        <v>0.15</v>
      </c>
      <c r="L988" t="s">
        <v>21</v>
      </c>
      <c r="M988" t="s">
        <v>22</v>
      </c>
      <c r="N988" t="s">
        <v>23</v>
      </c>
      <c r="P988">
        <f>VLOOKUP(Table2[[#This Row],[Product_ID]],Table1[#All],8,TRUE)</f>
        <v>0</v>
      </c>
    </row>
    <row r="989" spans="1:16" x14ac:dyDescent="0.3">
      <c r="A989" t="s">
        <v>1990</v>
      </c>
      <c r="B989" s="5" t="s">
        <v>75</v>
      </c>
      <c r="C989" s="3" t="str">
        <f t="shared" si="15"/>
        <v>30-01-2024</v>
      </c>
      <c r="D989" t="s">
        <v>91</v>
      </c>
      <c r="E989" t="s">
        <v>1782</v>
      </c>
      <c r="F989" t="s">
        <v>64</v>
      </c>
      <c r="G989" t="s">
        <v>19</v>
      </c>
      <c r="H989" t="s">
        <v>20</v>
      </c>
      <c r="I989">
        <v>2</v>
      </c>
      <c r="J989">
        <v>4274</v>
      </c>
      <c r="K989" s="7">
        <v>0.15</v>
      </c>
      <c r="L989" t="s">
        <v>31</v>
      </c>
      <c r="M989" t="s">
        <v>39</v>
      </c>
      <c r="N989" t="s">
        <v>59</v>
      </c>
      <c r="O989">
        <v>4.4000000000000004</v>
      </c>
      <c r="P989">
        <f>VLOOKUP(Table2[[#This Row],[Product_ID]],Table1[#All],8,TRUE)</f>
        <v>1500</v>
      </c>
    </row>
    <row r="990" spans="1:16" x14ac:dyDescent="0.3">
      <c r="A990" t="s">
        <v>1991</v>
      </c>
      <c r="B990" s="5" t="s">
        <v>372</v>
      </c>
      <c r="C990" s="3" t="str">
        <f t="shared" si="15"/>
        <v>02-02-2023</v>
      </c>
      <c r="D990" t="s">
        <v>96</v>
      </c>
      <c r="E990" t="s">
        <v>724</v>
      </c>
      <c r="F990" t="s">
        <v>64</v>
      </c>
      <c r="G990" t="s">
        <v>37</v>
      </c>
      <c r="H990" t="s">
        <v>77</v>
      </c>
      <c r="I990">
        <v>5</v>
      </c>
      <c r="J990">
        <v>5686</v>
      </c>
      <c r="K990" s="7">
        <v>0</v>
      </c>
      <c r="L990" t="s">
        <v>58</v>
      </c>
      <c r="M990" t="s">
        <v>22</v>
      </c>
      <c r="N990" t="s">
        <v>48</v>
      </c>
      <c r="P990">
        <f>VLOOKUP(Table2[[#This Row],[Product_ID]],Table1[#All],8,TRUE)</f>
        <v>900</v>
      </c>
    </row>
    <row r="991" spans="1:16" x14ac:dyDescent="0.3">
      <c r="A991" t="s">
        <v>1992</v>
      </c>
      <c r="B991" s="5" t="s">
        <v>1497</v>
      </c>
      <c r="C991" s="3" t="str">
        <f t="shared" si="15"/>
        <v>04-08-2023</v>
      </c>
      <c r="D991" t="s">
        <v>84</v>
      </c>
      <c r="E991" t="s">
        <v>17</v>
      </c>
      <c r="F991" t="s">
        <v>18</v>
      </c>
      <c r="G991" t="s">
        <v>19</v>
      </c>
      <c r="H991" t="s">
        <v>20</v>
      </c>
      <c r="I991">
        <v>2</v>
      </c>
      <c r="J991">
        <v>2318</v>
      </c>
      <c r="K991" s="7">
        <v>0.2</v>
      </c>
      <c r="L991" t="s">
        <v>21</v>
      </c>
      <c r="M991" t="s">
        <v>39</v>
      </c>
      <c r="N991" t="s">
        <v>48</v>
      </c>
      <c r="P991">
        <f>VLOOKUP(Table2[[#This Row],[Product_ID]],Table1[#All],8,TRUE)</f>
        <v>700</v>
      </c>
    </row>
    <row r="992" spans="1:16" x14ac:dyDescent="0.3">
      <c r="A992" t="s">
        <v>267</v>
      </c>
      <c r="B992" s="5" t="s">
        <v>1993</v>
      </c>
      <c r="C992" s="3" t="str">
        <f t="shared" si="15"/>
        <v>30-11-2023</v>
      </c>
      <c r="D992" t="s">
        <v>71</v>
      </c>
      <c r="E992" t="s">
        <v>259</v>
      </c>
      <c r="F992" t="s">
        <v>43</v>
      </c>
      <c r="G992" t="s">
        <v>19</v>
      </c>
      <c r="H992" t="s">
        <v>99</v>
      </c>
      <c r="I992">
        <v>4</v>
      </c>
      <c r="J992">
        <v>6051</v>
      </c>
      <c r="K992" s="7">
        <v>0</v>
      </c>
      <c r="L992" t="s">
        <v>58</v>
      </c>
      <c r="M992" t="s">
        <v>22</v>
      </c>
      <c r="N992" t="s">
        <v>23</v>
      </c>
      <c r="O992">
        <v>4.2</v>
      </c>
      <c r="P992">
        <f>VLOOKUP(Table2[[#This Row],[Product_ID]],Table1[#All],8,TRUE)</f>
        <v>0</v>
      </c>
    </row>
    <row r="993" spans="1:16" x14ac:dyDescent="0.3">
      <c r="A993" t="s">
        <v>1994</v>
      </c>
      <c r="B993" s="5" t="s">
        <v>159</v>
      </c>
      <c r="C993" s="3" t="str">
        <f t="shared" si="15"/>
        <v>17-06-2024</v>
      </c>
      <c r="D993" t="s">
        <v>127</v>
      </c>
      <c r="E993" t="s">
        <v>72</v>
      </c>
      <c r="F993" t="s">
        <v>18</v>
      </c>
      <c r="G993" t="s">
        <v>19</v>
      </c>
      <c r="H993" t="s">
        <v>77</v>
      </c>
      <c r="I993">
        <v>5</v>
      </c>
      <c r="J993">
        <v>5431</v>
      </c>
      <c r="K993" s="7">
        <v>0.2</v>
      </c>
      <c r="L993" t="s">
        <v>58</v>
      </c>
      <c r="M993" t="s">
        <v>39</v>
      </c>
      <c r="N993" t="s">
        <v>48</v>
      </c>
      <c r="P993">
        <f>VLOOKUP(Table2[[#This Row],[Product_ID]],Table1[#All],8,TRUE)</f>
        <v>0</v>
      </c>
    </row>
    <row r="994" spans="1:16" x14ac:dyDescent="0.3">
      <c r="A994" t="s">
        <v>817</v>
      </c>
      <c r="B994" s="5" t="s">
        <v>1995</v>
      </c>
      <c r="C994" s="3" t="str">
        <f t="shared" si="15"/>
        <v>10-04-2023</v>
      </c>
      <c r="D994" t="s">
        <v>51</v>
      </c>
      <c r="E994" t="s">
        <v>1608</v>
      </c>
      <c r="F994" t="s">
        <v>28</v>
      </c>
      <c r="G994" t="s">
        <v>37</v>
      </c>
      <c r="H994" t="s">
        <v>30</v>
      </c>
      <c r="I994">
        <v>1</v>
      </c>
      <c r="J994">
        <v>4084</v>
      </c>
      <c r="K994" s="7">
        <v>0</v>
      </c>
      <c r="L994" t="s">
        <v>31</v>
      </c>
      <c r="M994" t="s">
        <v>39</v>
      </c>
      <c r="N994" t="s">
        <v>23</v>
      </c>
      <c r="O994">
        <v>3.5</v>
      </c>
      <c r="P994">
        <f>VLOOKUP(Table2[[#This Row],[Product_ID]],Table1[#All],8,TRUE)</f>
        <v>0</v>
      </c>
    </row>
    <row r="995" spans="1:16" x14ac:dyDescent="0.3">
      <c r="A995" t="s">
        <v>553</v>
      </c>
      <c r="B995" s="5" t="s">
        <v>874</v>
      </c>
      <c r="C995" s="3" t="str">
        <f t="shared" si="15"/>
        <v>20-04-2024</v>
      </c>
      <c r="D995" t="s">
        <v>26</v>
      </c>
      <c r="E995" t="s">
        <v>597</v>
      </c>
      <c r="F995" t="s">
        <v>73</v>
      </c>
      <c r="G995" t="s">
        <v>53</v>
      </c>
      <c r="H995" t="s">
        <v>30</v>
      </c>
      <c r="I995">
        <v>4</v>
      </c>
      <c r="J995">
        <v>4832</v>
      </c>
      <c r="K995" s="7">
        <v>0.15</v>
      </c>
      <c r="L995" t="s">
        <v>58</v>
      </c>
      <c r="M995" t="s">
        <v>22</v>
      </c>
      <c r="N995" t="s">
        <v>23</v>
      </c>
      <c r="O995">
        <v>4.5999999999999996</v>
      </c>
      <c r="P995">
        <f>VLOOKUP(Table2[[#This Row],[Product_ID]],Table1[#All],8,TRUE)</f>
        <v>1500</v>
      </c>
    </row>
    <row r="996" spans="1:16" x14ac:dyDescent="0.3">
      <c r="A996" t="s">
        <v>1717</v>
      </c>
      <c r="B996" s="5" t="s">
        <v>104</v>
      </c>
      <c r="C996" s="3" t="str">
        <f t="shared" si="15"/>
        <v>24-09-2024</v>
      </c>
      <c r="D996" t="s">
        <v>91</v>
      </c>
      <c r="E996" t="s">
        <v>550</v>
      </c>
      <c r="F996" t="s">
        <v>18</v>
      </c>
      <c r="G996" t="s">
        <v>37</v>
      </c>
      <c r="H996" t="s">
        <v>30</v>
      </c>
      <c r="I996">
        <v>1</v>
      </c>
      <c r="J996">
        <v>4016</v>
      </c>
      <c r="K996" s="7">
        <v>0.05</v>
      </c>
      <c r="L996" t="s">
        <v>58</v>
      </c>
      <c r="M996" t="s">
        <v>39</v>
      </c>
      <c r="N996" t="s">
        <v>48</v>
      </c>
      <c r="O996">
        <v>4.0999999999999996</v>
      </c>
      <c r="P996">
        <f>VLOOKUP(Table2[[#This Row],[Product_ID]],Table1[#All],8,TRUE)</f>
        <v>700</v>
      </c>
    </row>
    <row r="997" spans="1:16" x14ac:dyDescent="0.3">
      <c r="A997" t="s">
        <v>1996</v>
      </c>
      <c r="B997" s="5" t="s">
        <v>305</v>
      </c>
      <c r="C997" s="3" t="str">
        <f t="shared" si="15"/>
        <v>05-05-2023</v>
      </c>
      <c r="D997" t="s">
        <v>71</v>
      </c>
      <c r="E997" t="s">
        <v>1124</v>
      </c>
      <c r="F997" t="s">
        <v>57</v>
      </c>
      <c r="G997" t="s">
        <v>29</v>
      </c>
      <c r="H997" t="s">
        <v>30</v>
      </c>
      <c r="I997">
        <v>5</v>
      </c>
      <c r="J997">
        <v>3655</v>
      </c>
      <c r="K997" s="7">
        <v>0.1</v>
      </c>
      <c r="L997" t="s">
        <v>21</v>
      </c>
      <c r="M997" t="s">
        <v>39</v>
      </c>
      <c r="N997" t="s">
        <v>32</v>
      </c>
      <c r="P997">
        <f>VLOOKUP(Table2[[#This Row],[Product_ID]],Table1[#All],8,TRUE)</f>
        <v>700</v>
      </c>
    </row>
    <row r="998" spans="1:16" x14ac:dyDescent="0.3">
      <c r="A998" t="s">
        <v>1997</v>
      </c>
      <c r="B998" s="5" t="s">
        <v>1998</v>
      </c>
      <c r="C998" s="3" t="str">
        <f t="shared" si="15"/>
        <v>19-08-2024</v>
      </c>
      <c r="D998" t="s">
        <v>131</v>
      </c>
      <c r="E998" t="s">
        <v>52</v>
      </c>
      <c r="F998" t="s">
        <v>64</v>
      </c>
      <c r="G998" t="s">
        <v>19</v>
      </c>
      <c r="H998" t="s">
        <v>30</v>
      </c>
      <c r="I998">
        <v>1</v>
      </c>
      <c r="J998">
        <v>3522</v>
      </c>
      <c r="K998" s="7">
        <v>0.1</v>
      </c>
      <c r="L998" t="s">
        <v>31</v>
      </c>
      <c r="M998" t="s">
        <v>39</v>
      </c>
      <c r="N998" t="s">
        <v>23</v>
      </c>
      <c r="O998">
        <v>3.8</v>
      </c>
      <c r="P998">
        <f>VLOOKUP(Table2[[#This Row],[Product_ID]],Table1[#All],8,TRUE)</f>
        <v>1500</v>
      </c>
    </row>
    <row r="999" spans="1:16" x14ac:dyDescent="0.3">
      <c r="A999" t="s">
        <v>1999</v>
      </c>
      <c r="B999" s="5" t="s">
        <v>2000</v>
      </c>
      <c r="C999" s="3" t="str">
        <f t="shared" si="15"/>
        <v>04-10-2023</v>
      </c>
      <c r="D999" t="s">
        <v>131</v>
      </c>
      <c r="E999" t="s">
        <v>1066</v>
      </c>
      <c r="F999" t="s">
        <v>57</v>
      </c>
      <c r="G999" t="s">
        <v>53</v>
      </c>
      <c r="H999" t="s">
        <v>99</v>
      </c>
      <c r="I999">
        <v>4</v>
      </c>
      <c r="J999">
        <v>9652</v>
      </c>
      <c r="K999" s="7">
        <v>0</v>
      </c>
      <c r="L999" t="s">
        <v>58</v>
      </c>
      <c r="M999" t="s">
        <v>39</v>
      </c>
      <c r="N999" t="s">
        <v>48</v>
      </c>
      <c r="O999">
        <v>4.7</v>
      </c>
      <c r="P999">
        <f>VLOOKUP(Table2[[#This Row],[Product_ID]],Table1[#All],8,TRUE)</f>
        <v>700</v>
      </c>
    </row>
    <row r="1000" spans="1:16" x14ac:dyDescent="0.3">
      <c r="A1000" t="s">
        <v>729</v>
      </c>
      <c r="B1000" s="5" t="s">
        <v>1079</v>
      </c>
      <c r="C1000" s="3" t="str">
        <f t="shared" si="15"/>
        <v>02-12-2023</v>
      </c>
      <c r="D1000" t="s">
        <v>26</v>
      </c>
      <c r="E1000" t="s">
        <v>36</v>
      </c>
      <c r="F1000" t="s">
        <v>43</v>
      </c>
      <c r="G1000" t="s">
        <v>37</v>
      </c>
      <c r="H1000" t="s">
        <v>20</v>
      </c>
      <c r="I1000">
        <v>3</v>
      </c>
      <c r="J1000">
        <v>8826</v>
      </c>
      <c r="K1000" s="7">
        <v>0.15</v>
      </c>
      <c r="L1000" t="s">
        <v>21</v>
      </c>
      <c r="M1000" t="s">
        <v>22</v>
      </c>
      <c r="N1000" t="s">
        <v>23</v>
      </c>
      <c r="O1000">
        <v>4</v>
      </c>
      <c r="P1000">
        <f>VLOOKUP(Table2[[#This Row],[Product_ID]],Table1[#All],8,TRUE)</f>
        <v>1500</v>
      </c>
    </row>
    <row r="1001" spans="1:16" x14ac:dyDescent="0.3">
      <c r="A1001" t="s">
        <v>2001</v>
      </c>
      <c r="B1001" s="5" t="s">
        <v>2002</v>
      </c>
      <c r="C1001" s="3" t="str">
        <f t="shared" si="15"/>
        <v>12-06-2023</v>
      </c>
      <c r="D1001" t="s">
        <v>71</v>
      </c>
      <c r="E1001" t="s">
        <v>118</v>
      </c>
      <c r="F1001" t="s">
        <v>18</v>
      </c>
      <c r="G1001" t="s">
        <v>19</v>
      </c>
      <c r="H1001" t="s">
        <v>77</v>
      </c>
      <c r="I1001">
        <v>2</v>
      </c>
      <c r="J1001">
        <v>8771</v>
      </c>
      <c r="K1001" s="7">
        <v>0.15</v>
      </c>
      <c r="L1001" t="s">
        <v>21</v>
      </c>
      <c r="M1001" t="s">
        <v>22</v>
      </c>
      <c r="N1001" t="s">
        <v>59</v>
      </c>
      <c r="O1001">
        <v>4.7</v>
      </c>
      <c r="P1001">
        <f>VLOOKUP(Table2[[#This Row],[Product_ID]],Table1[#All],8,TRUE)</f>
        <v>700</v>
      </c>
    </row>
    <row r="1002" spans="1:16" x14ac:dyDescent="0.3">
      <c r="A1002" t="s">
        <v>1408</v>
      </c>
      <c r="B1002" s="5" t="s">
        <v>388</v>
      </c>
      <c r="C1002" s="3" t="str">
        <f t="shared" si="15"/>
        <v>30-05-2024</v>
      </c>
      <c r="D1002" t="s">
        <v>46</v>
      </c>
      <c r="E1002" t="s">
        <v>452</v>
      </c>
      <c r="F1002" t="s">
        <v>98</v>
      </c>
      <c r="G1002" t="s">
        <v>53</v>
      </c>
      <c r="H1002" t="s">
        <v>30</v>
      </c>
      <c r="I1002">
        <v>1</v>
      </c>
      <c r="J1002">
        <v>7138</v>
      </c>
      <c r="K1002" s="7">
        <v>0.2</v>
      </c>
      <c r="L1002" t="s">
        <v>31</v>
      </c>
      <c r="M1002" t="s">
        <v>22</v>
      </c>
      <c r="N1002" t="s">
        <v>59</v>
      </c>
      <c r="O1002">
        <v>4.5</v>
      </c>
      <c r="P1002">
        <f>VLOOKUP(Table2[[#This Row],[Product_ID]],Table1[#All],8,TRUE)</f>
        <v>1200</v>
      </c>
    </row>
    <row r="1003" spans="1:16" x14ac:dyDescent="0.3">
      <c r="A1003" t="s">
        <v>2003</v>
      </c>
      <c r="B1003" s="5" t="s">
        <v>2004</v>
      </c>
      <c r="C1003" s="3" t="str">
        <f t="shared" si="15"/>
        <v>16-07-2023</v>
      </c>
      <c r="D1003" t="s">
        <v>16</v>
      </c>
      <c r="E1003" t="s">
        <v>428</v>
      </c>
      <c r="F1003" t="s">
        <v>64</v>
      </c>
      <c r="G1003" t="s">
        <v>53</v>
      </c>
      <c r="H1003" t="s">
        <v>77</v>
      </c>
      <c r="I1003">
        <v>5</v>
      </c>
      <c r="J1003">
        <v>6855</v>
      </c>
      <c r="K1003" s="7">
        <v>0</v>
      </c>
      <c r="L1003" t="s">
        <v>31</v>
      </c>
      <c r="M1003" t="s">
        <v>39</v>
      </c>
      <c r="N1003" t="s">
        <v>59</v>
      </c>
      <c r="P1003">
        <f>VLOOKUP(Table2[[#This Row],[Product_ID]],Table1[#All],8,TRUE)</f>
        <v>500</v>
      </c>
    </row>
    <row r="1004" spans="1:16" x14ac:dyDescent="0.3">
      <c r="A1004" t="s">
        <v>789</v>
      </c>
      <c r="B1004" s="5" t="s">
        <v>2005</v>
      </c>
      <c r="C1004" s="3" t="str">
        <f t="shared" si="15"/>
        <v>13-01-2024</v>
      </c>
      <c r="D1004" t="s">
        <v>84</v>
      </c>
      <c r="E1004" t="s">
        <v>115</v>
      </c>
      <c r="F1004" t="s">
        <v>98</v>
      </c>
      <c r="G1004" t="s">
        <v>29</v>
      </c>
      <c r="H1004" t="s">
        <v>20</v>
      </c>
      <c r="I1004">
        <v>2</v>
      </c>
      <c r="J1004">
        <v>5635</v>
      </c>
      <c r="K1004" s="7">
        <v>0.05</v>
      </c>
      <c r="L1004" t="s">
        <v>58</v>
      </c>
      <c r="M1004" t="s">
        <v>39</v>
      </c>
      <c r="N1004" t="s">
        <v>32</v>
      </c>
      <c r="P1004">
        <f>VLOOKUP(Table2[[#This Row],[Product_ID]],Table1[#All],8,TRUE)</f>
        <v>900</v>
      </c>
    </row>
    <row r="1005" spans="1:16" x14ac:dyDescent="0.3">
      <c r="A1005" t="s">
        <v>2006</v>
      </c>
      <c r="B1005" s="5" t="s">
        <v>1581</v>
      </c>
      <c r="C1005" s="3" t="str">
        <f t="shared" si="15"/>
        <v>12-09-2023</v>
      </c>
      <c r="D1005" t="s">
        <v>46</v>
      </c>
      <c r="E1005" t="s">
        <v>398</v>
      </c>
      <c r="F1005" t="s">
        <v>43</v>
      </c>
      <c r="G1005" t="s">
        <v>19</v>
      </c>
      <c r="H1005" t="s">
        <v>77</v>
      </c>
      <c r="I1005">
        <v>1</v>
      </c>
      <c r="J1005">
        <v>8268</v>
      </c>
      <c r="K1005" s="7">
        <v>0</v>
      </c>
      <c r="L1005" t="s">
        <v>58</v>
      </c>
      <c r="M1005" t="s">
        <v>39</v>
      </c>
      <c r="N1005" t="s">
        <v>23</v>
      </c>
      <c r="P1005">
        <f>VLOOKUP(Table2[[#This Row],[Product_ID]],Table1[#All],8,TRUE)</f>
        <v>700</v>
      </c>
    </row>
    <row r="1006" spans="1:16" x14ac:dyDescent="0.3">
      <c r="A1006" t="s">
        <v>2007</v>
      </c>
      <c r="B1006" s="5" t="s">
        <v>2008</v>
      </c>
      <c r="C1006" s="3" t="str">
        <f t="shared" si="15"/>
        <v>24-01-2024</v>
      </c>
      <c r="D1006" t="s">
        <v>35</v>
      </c>
      <c r="E1006" t="s">
        <v>247</v>
      </c>
      <c r="F1006" t="s">
        <v>73</v>
      </c>
      <c r="G1006" t="s">
        <v>37</v>
      </c>
      <c r="H1006" t="s">
        <v>20</v>
      </c>
      <c r="I1006">
        <v>5</v>
      </c>
      <c r="J1006">
        <v>4168</v>
      </c>
      <c r="K1006" s="7">
        <v>0.2</v>
      </c>
      <c r="L1006" t="s">
        <v>38</v>
      </c>
      <c r="M1006" t="s">
        <v>39</v>
      </c>
      <c r="N1006" t="s">
        <v>32</v>
      </c>
      <c r="O1006">
        <v>3.2</v>
      </c>
      <c r="P1006">
        <f>VLOOKUP(Table2[[#This Row],[Product_ID]],Table1[#All],8,TRUE)</f>
        <v>1500</v>
      </c>
    </row>
    <row r="1007" spans="1:16" x14ac:dyDescent="0.3">
      <c r="A1007" t="s">
        <v>2009</v>
      </c>
      <c r="B1007" s="5" t="s">
        <v>2010</v>
      </c>
      <c r="C1007" s="3" t="str">
        <f t="shared" si="15"/>
        <v>11-03-2024</v>
      </c>
      <c r="D1007" t="s">
        <v>131</v>
      </c>
      <c r="E1007" t="s">
        <v>829</v>
      </c>
      <c r="F1007" t="s">
        <v>28</v>
      </c>
      <c r="G1007" t="s">
        <v>29</v>
      </c>
      <c r="H1007" t="s">
        <v>20</v>
      </c>
      <c r="I1007">
        <v>1</v>
      </c>
      <c r="J1007">
        <v>6304</v>
      </c>
      <c r="K1007" s="7">
        <v>0.05</v>
      </c>
      <c r="L1007" t="s">
        <v>58</v>
      </c>
      <c r="M1007" t="s">
        <v>39</v>
      </c>
      <c r="N1007" t="s">
        <v>59</v>
      </c>
      <c r="P1007">
        <f>VLOOKUP(Table2[[#This Row],[Product_ID]],Table1[#All],8,TRUE)</f>
        <v>1500</v>
      </c>
    </row>
    <row r="1008" spans="1:16" x14ac:dyDescent="0.3">
      <c r="A1008" t="s">
        <v>832</v>
      </c>
      <c r="B1008" s="5" t="s">
        <v>1918</v>
      </c>
      <c r="C1008" s="3" t="str">
        <f t="shared" si="15"/>
        <v>23-04-2024</v>
      </c>
      <c r="D1008" t="s">
        <v>26</v>
      </c>
      <c r="E1008" t="s">
        <v>1129</v>
      </c>
      <c r="F1008" t="s">
        <v>18</v>
      </c>
      <c r="G1008" t="s">
        <v>29</v>
      </c>
      <c r="H1008" t="s">
        <v>99</v>
      </c>
      <c r="I1008">
        <v>4</v>
      </c>
      <c r="J1008">
        <v>1807</v>
      </c>
      <c r="K1008" s="7">
        <v>0</v>
      </c>
      <c r="L1008" t="s">
        <v>21</v>
      </c>
      <c r="M1008" t="s">
        <v>22</v>
      </c>
      <c r="N1008" t="s">
        <v>48</v>
      </c>
      <c r="P1008">
        <f>VLOOKUP(Table2[[#This Row],[Product_ID]],Table1[#All],8,TRUE)</f>
        <v>1500</v>
      </c>
    </row>
    <row r="1009" spans="1:16" x14ac:dyDescent="0.3">
      <c r="A1009" t="s">
        <v>2011</v>
      </c>
      <c r="B1009" s="5" t="s">
        <v>2012</v>
      </c>
      <c r="C1009" s="3" t="str">
        <f t="shared" si="15"/>
        <v>27-06-2023</v>
      </c>
      <c r="D1009" t="s">
        <v>67</v>
      </c>
      <c r="E1009" t="s">
        <v>800</v>
      </c>
      <c r="F1009" t="s">
        <v>57</v>
      </c>
      <c r="G1009" t="s">
        <v>37</v>
      </c>
      <c r="H1009" t="s">
        <v>99</v>
      </c>
      <c r="I1009">
        <v>1</v>
      </c>
      <c r="J1009">
        <v>4317</v>
      </c>
      <c r="K1009" s="7">
        <v>0.05</v>
      </c>
      <c r="L1009" t="s">
        <v>21</v>
      </c>
      <c r="M1009" t="s">
        <v>22</v>
      </c>
      <c r="N1009" t="s">
        <v>59</v>
      </c>
      <c r="O1009">
        <v>5</v>
      </c>
      <c r="P1009">
        <f>VLOOKUP(Table2[[#This Row],[Product_ID]],Table1[#All],8,TRUE)</f>
        <v>1200</v>
      </c>
    </row>
    <row r="1010" spans="1:16" x14ac:dyDescent="0.3">
      <c r="A1010" t="s">
        <v>2013</v>
      </c>
      <c r="B1010" s="5" t="s">
        <v>1675</v>
      </c>
      <c r="C1010" s="3" t="str">
        <f t="shared" si="15"/>
        <v>27-10-2024</v>
      </c>
      <c r="D1010" t="s">
        <v>46</v>
      </c>
      <c r="E1010" t="s">
        <v>149</v>
      </c>
      <c r="F1010" t="s">
        <v>43</v>
      </c>
      <c r="G1010" t="s">
        <v>37</v>
      </c>
      <c r="H1010" t="s">
        <v>99</v>
      </c>
      <c r="I1010">
        <v>5</v>
      </c>
      <c r="J1010">
        <v>6859</v>
      </c>
      <c r="K1010" s="7">
        <v>0.2</v>
      </c>
      <c r="L1010" t="s">
        <v>58</v>
      </c>
      <c r="M1010" t="s">
        <v>39</v>
      </c>
      <c r="N1010" t="s">
        <v>59</v>
      </c>
      <c r="O1010">
        <v>4.5</v>
      </c>
      <c r="P1010">
        <f>VLOOKUP(Table2[[#This Row],[Product_ID]],Table1[#All],8,TRUE)</f>
        <v>500</v>
      </c>
    </row>
    <row r="1011" spans="1:16" x14ac:dyDescent="0.3">
      <c r="A1011" t="s">
        <v>2014</v>
      </c>
      <c r="B1011" s="5" t="s">
        <v>1105</v>
      </c>
      <c r="C1011" s="3" t="str">
        <f t="shared" si="15"/>
        <v>23-09-2024</v>
      </c>
      <c r="D1011" t="s">
        <v>71</v>
      </c>
      <c r="E1011" t="s">
        <v>482</v>
      </c>
      <c r="F1011" t="s">
        <v>43</v>
      </c>
      <c r="G1011" t="s">
        <v>29</v>
      </c>
      <c r="H1011" t="s">
        <v>99</v>
      </c>
      <c r="I1011">
        <v>4</v>
      </c>
      <c r="J1011">
        <v>3505</v>
      </c>
      <c r="K1011" s="7">
        <v>0.1</v>
      </c>
      <c r="L1011" t="s">
        <v>31</v>
      </c>
      <c r="M1011" t="s">
        <v>39</v>
      </c>
      <c r="N1011" t="s">
        <v>59</v>
      </c>
      <c r="P1011">
        <f>VLOOKUP(Table2[[#This Row],[Product_ID]],Table1[#All],8,TRUE)</f>
        <v>700</v>
      </c>
    </row>
    <row r="1012" spans="1:16" x14ac:dyDescent="0.3">
      <c r="A1012" t="s">
        <v>2015</v>
      </c>
      <c r="B1012" s="5" t="s">
        <v>653</v>
      </c>
      <c r="C1012" s="3" t="str">
        <f t="shared" si="15"/>
        <v>28-03-2024</v>
      </c>
      <c r="D1012" t="s">
        <v>84</v>
      </c>
      <c r="E1012" t="s">
        <v>97</v>
      </c>
      <c r="F1012" t="s">
        <v>57</v>
      </c>
      <c r="G1012" t="s">
        <v>37</v>
      </c>
      <c r="H1012" t="s">
        <v>30</v>
      </c>
      <c r="I1012">
        <v>4</v>
      </c>
      <c r="J1012">
        <v>4462</v>
      </c>
      <c r="K1012" s="7">
        <v>0</v>
      </c>
      <c r="L1012" t="s">
        <v>21</v>
      </c>
      <c r="M1012" t="s">
        <v>39</v>
      </c>
      <c r="N1012" t="s">
        <v>23</v>
      </c>
      <c r="O1012">
        <v>4.3</v>
      </c>
      <c r="P1012">
        <f>VLOOKUP(Table2[[#This Row],[Product_ID]],Table1[#All],8,TRUE)</f>
        <v>500</v>
      </c>
    </row>
    <row r="1013" spans="1:16" x14ac:dyDescent="0.3">
      <c r="A1013" t="s">
        <v>2016</v>
      </c>
      <c r="B1013" s="5" t="s">
        <v>2017</v>
      </c>
      <c r="C1013" s="3" t="str">
        <f t="shared" si="15"/>
        <v>27-05-2024</v>
      </c>
      <c r="D1013" t="s">
        <v>96</v>
      </c>
      <c r="E1013" t="s">
        <v>1220</v>
      </c>
      <c r="F1013" t="s">
        <v>18</v>
      </c>
      <c r="G1013" t="s">
        <v>53</v>
      </c>
      <c r="H1013" t="s">
        <v>30</v>
      </c>
      <c r="I1013">
        <v>2</v>
      </c>
      <c r="J1013">
        <v>7897</v>
      </c>
      <c r="K1013" s="7">
        <v>0.15</v>
      </c>
      <c r="L1013" t="s">
        <v>38</v>
      </c>
      <c r="M1013" t="s">
        <v>39</v>
      </c>
      <c r="N1013" t="s">
        <v>23</v>
      </c>
      <c r="O1013">
        <v>4.7</v>
      </c>
      <c r="P1013">
        <f>VLOOKUP(Table2[[#This Row],[Product_ID]],Table1[#All],8,TRUE)</f>
        <v>0</v>
      </c>
    </row>
    <row r="1014" spans="1:16" x14ac:dyDescent="0.3">
      <c r="A1014" t="s">
        <v>1660</v>
      </c>
      <c r="B1014" s="5" t="s">
        <v>2018</v>
      </c>
      <c r="C1014" s="3" t="str">
        <f t="shared" si="15"/>
        <v>14-04-2023</v>
      </c>
      <c r="D1014" t="s">
        <v>114</v>
      </c>
      <c r="E1014" t="s">
        <v>81</v>
      </c>
      <c r="F1014" t="s">
        <v>43</v>
      </c>
      <c r="G1014" t="s">
        <v>37</v>
      </c>
      <c r="H1014" t="s">
        <v>30</v>
      </c>
      <c r="I1014">
        <v>2</v>
      </c>
      <c r="J1014">
        <v>6120</v>
      </c>
      <c r="K1014" s="7">
        <v>0.2</v>
      </c>
      <c r="L1014" t="s">
        <v>58</v>
      </c>
      <c r="M1014" t="s">
        <v>39</v>
      </c>
      <c r="N1014" t="s">
        <v>23</v>
      </c>
      <c r="P1014">
        <f>VLOOKUP(Table2[[#This Row],[Product_ID]],Table1[#All],8,TRUE)</f>
        <v>1200</v>
      </c>
    </row>
    <row r="1015" spans="1:16" x14ac:dyDescent="0.3">
      <c r="A1015" t="s">
        <v>2019</v>
      </c>
      <c r="B1015" s="5" t="s">
        <v>1131</v>
      </c>
      <c r="C1015" s="3" t="str">
        <f t="shared" si="15"/>
        <v>30-11-2024</v>
      </c>
      <c r="D1015" t="s">
        <v>51</v>
      </c>
      <c r="E1015" t="s">
        <v>1202</v>
      </c>
      <c r="F1015" t="s">
        <v>43</v>
      </c>
      <c r="G1015" t="s">
        <v>29</v>
      </c>
      <c r="H1015" t="s">
        <v>20</v>
      </c>
      <c r="I1015">
        <v>4</v>
      </c>
      <c r="J1015">
        <v>7511</v>
      </c>
      <c r="K1015" s="7">
        <v>0</v>
      </c>
      <c r="L1015" t="s">
        <v>31</v>
      </c>
      <c r="M1015" t="s">
        <v>39</v>
      </c>
      <c r="N1015" t="s">
        <v>48</v>
      </c>
      <c r="P1015">
        <f>VLOOKUP(Table2[[#This Row],[Product_ID]],Table1[#All],8,TRUE)</f>
        <v>700</v>
      </c>
    </row>
    <row r="1016" spans="1:16" x14ac:dyDescent="0.3">
      <c r="A1016" t="s">
        <v>1900</v>
      </c>
      <c r="B1016" s="5" t="s">
        <v>1382</v>
      </c>
      <c r="C1016" s="3" t="str">
        <f t="shared" si="15"/>
        <v>25-02-2024</v>
      </c>
      <c r="D1016" t="s">
        <v>62</v>
      </c>
      <c r="E1016" t="s">
        <v>771</v>
      </c>
      <c r="F1016" t="s">
        <v>18</v>
      </c>
      <c r="G1016" t="s">
        <v>29</v>
      </c>
      <c r="H1016" t="s">
        <v>20</v>
      </c>
      <c r="I1016">
        <v>1</v>
      </c>
      <c r="J1016">
        <v>7058</v>
      </c>
      <c r="K1016" s="7">
        <v>0.15</v>
      </c>
      <c r="L1016" t="s">
        <v>31</v>
      </c>
      <c r="M1016" t="s">
        <v>22</v>
      </c>
      <c r="N1016" t="s">
        <v>59</v>
      </c>
      <c r="P1016">
        <f>VLOOKUP(Table2[[#This Row],[Product_ID]],Table1[#All],8,TRUE)</f>
        <v>1200</v>
      </c>
    </row>
    <row r="1017" spans="1:16" x14ac:dyDescent="0.3">
      <c r="A1017" t="s">
        <v>2020</v>
      </c>
      <c r="B1017" s="5" t="s">
        <v>2021</v>
      </c>
      <c r="C1017" s="3" t="str">
        <f t="shared" si="15"/>
        <v>30-12-2024</v>
      </c>
      <c r="D1017" t="s">
        <v>46</v>
      </c>
      <c r="E1017" t="s">
        <v>626</v>
      </c>
      <c r="F1017" t="s">
        <v>18</v>
      </c>
      <c r="G1017" t="s">
        <v>19</v>
      </c>
      <c r="H1017" t="s">
        <v>20</v>
      </c>
      <c r="I1017">
        <v>5</v>
      </c>
      <c r="J1017">
        <v>6020</v>
      </c>
      <c r="K1017" s="7">
        <v>0</v>
      </c>
      <c r="L1017" t="s">
        <v>31</v>
      </c>
      <c r="M1017" t="s">
        <v>39</v>
      </c>
      <c r="N1017" t="s">
        <v>59</v>
      </c>
      <c r="O1017">
        <v>4.5999999999999996</v>
      </c>
      <c r="P1017">
        <f>VLOOKUP(Table2[[#This Row],[Product_ID]],Table1[#All],8,TRUE)</f>
        <v>1200</v>
      </c>
    </row>
    <row r="1018" spans="1:16" x14ac:dyDescent="0.3">
      <c r="A1018" t="s">
        <v>760</v>
      </c>
      <c r="B1018" s="5" t="s">
        <v>2022</v>
      </c>
      <c r="C1018" s="3" t="str">
        <f t="shared" si="15"/>
        <v>22-02-2024</v>
      </c>
      <c r="D1018" t="s">
        <v>35</v>
      </c>
      <c r="E1018" t="s">
        <v>742</v>
      </c>
      <c r="F1018" t="s">
        <v>98</v>
      </c>
      <c r="G1018" t="s">
        <v>19</v>
      </c>
      <c r="H1018" t="s">
        <v>30</v>
      </c>
      <c r="I1018">
        <v>5</v>
      </c>
      <c r="J1018">
        <v>9021</v>
      </c>
      <c r="K1018" s="7">
        <v>0.2</v>
      </c>
      <c r="L1018" t="s">
        <v>38</v>
      </c>
      <c r="M1018" t="s">
        <v>22</v>
      </c>
      <c r="N1018" t="s">
        <v>23</v>
      </c>
      <c r="O1018">
        <v>4.8</v>
      </c>
      <c r="P1018">
        <f>VLOOKUP(Table2[[#This Row],[Product_ID]],Table1[#All],8,TRUE)</f>
        <v>0</v>
      </c>
    </row>
    <row r="1019" spans="1:16" x14ac:dyDescent="0.3">
      <c r="A1019" t="s">
        <v>774</v>
      </c>
      <c r="B1019" s="5" t="s">
        <v>2023</v>
      </c>
      <c r="C1019" s="3" t="str">
        <f t="shared" si="15"/>
        <v>07-12-2024</v>
      </c>
      <c r="D1019" t="s">
        <v>71</v>
      </c>
      <c r="E1019" t="s">
        <v>181</v>
      </c>
      <c r="F1019" t="s">
        <v>43</v>
      </c>
      <c r="G1019" t="s">
        <v>29</v>
      </c>
      <c r="H1019" t="s">
        <v>20</v>
      </c>
      <c r="I1019">
        <v>2</v>
      </c>
      <c r="J1019">
        <v>9230</v>
      </c>
      <c r="K1019" s="7">
        <v>0.05</v>
      </c>
      <c r="L1019" t="s">
        <v>58</v>
      </c>
      <c r="M1019" t="s">
        <v>39</v>
      </c>
      <c r="N1019" t="s">
        <v>48</v>
      </c>
      <c r="P1019">
        <f>VLOOKUP(Table2[[#This Row],[Product_ID]],Table1[#All],8,TRUE)</f>
        <v>1500</v>
      </c>
    </row>
    <row r="1020" spans="1:16" x14ac:dyDescent="0.3">
      <c r="A1020" t="s">
        <v>2024</v>
      </c>
      <c r="B1020" s="5" t="s">
        <v>1603</v>
      </c>
      <c r="C1020" s="3" t="str">
        <f t="shared" si="15"/>
        <v>29-06-2024</v>
      </c>
      <c r="D1020" t="s">
        <v>51</v>
      </c>
      <c r="E1020" t="s">
        <v>331</v>
      </c>
      <c r="F1020" t="s">
        <v>73</v>
      </c>
      <c r="G1020" t="s">
        <v>53</v>
      </c>
      <c r="H1020" t="s">
        <v>20</v>
      </c>
      <c r="I1020">
        <v>3</v>
      </c>
      <c r="J1020">
        <v>7608</v>
      </c>
      <c r="K1020" s="7">
        <v>0.1</v>
      </c>
      <c r="L1020" t="s">
        <v>31</v>
      </c>
      <c r="M1020" t="s">
        <v>22</v>
      </c>
      <c r="N1020" t="s">
        <v>23</v>
      </c>
      <c r="P1020">
        <f>VLOOKUP(Table2[[#This Row],[Product_ID]],Table1[#All],8,TRUE)</f>
        <v>900</v>
      </c>
    </row>
    <row r="1021" spans="1:16" x14ac:dyDescent="0.3">
      <c r="A1021" t="s">
        <v>241</v>
      </c>
      <c r="B1021" s="5" t="s">
        <v>2025</v>
      </c>
      <c r="C1021" s="3" t="str">
        <f t="shared" si="15"/>
        <v>15-12-2024</v>
      </c>
      <c r="D1021" t="s">
        <v>91</v>
      </c>
      <c r="E1021" t="s">
        <v>1043</v>
      </c>
      <c r="F1021" t="s">
        <v>57</v>
      </c>
      <c r="G1021" t="s">
        <v>29</v>
      </c>
      <c r="H1021" t="s">
        <v>99</v>
      </c>
      <c r="I1021">
        <v>4</v>
      </c>
      <c r="J1021">
        <v>7616</v>
      </c>
      <c r="K1021" s="7">
        <v>0.2</v>
      </c>
      <c r="L1021" t="s">
        <v>58</v>
      </c>
      <c r="M1021" t="s">
        <v>39</v>
      </c>
      <c r="N1021" t="s">
        <v>59</v>
      </c>
      <c r="O1021">
        <v>3.4</v>
      </c>
      <c r="P1021">
        <f>VLOOKUP(Table2[[#This Row],[Product_ID]],Table1[#All],8,TRUE)</f>
        <v>1500</v>
      </c>
    </row>
    <row r="1022" spans="1:16" x14ac:dyDescent="0.3">
      <c r="A1022" t="s">
        <v>2026</v>
      </c>
      <c r="B1022" s="5" t="s">
        <v>2027</v>
      </c>
      <c r="C1022" s="3" t="str">
        <f t="shared" si="15"/>
        <v>11-08-2023</v>
      </c>
      <c r="D1022" t="s">
        <v>67</v>
      </c>
      <c r="E1022" t="s">
        <v>1710</v>
      </c>
      <c r="F1022" t="s">
        <v>28</v>
      </c>
      <c r="G1022" t="s">
        <v>37</v>
      </c>
      <c r="H1022" t="s">
        <v>99</v>
      </c>
      <c r="I1022">
        <v>5</v>
      </c>
      <c r="J1022">
        <v>3365</v>
      </c>
      <c r="K1022" s="7">
        <v>0.15</v>
      </c>
      <c r="L1022" t="s">
        <v>58</v>
      </c>
      <c r="M1022" t="s">
        <v>22</v>
      </c>
      <c r="N1022" t="s">
        <v>59</v>
      </c>
      <c r="O1022">
        <v>4.7</v>
      </c>
      <c r="P1022">
        <f>VLOOKUP(Table2[[#This Row],[Product_ID]],Table1[#All],8,TRUE)</f>
        <v>1500</v>
      </c>
    </row>
    <row r="1023" spans="1:16" x14ac:dyDescent="0.3">
      <c r="A1023" t="s">
        <v>2028</v>
      </c>
      <c r="B1023" s="5" t="s">
        <v>2029</v>
      </c>
      <c r="C1023" s="3" t="str">
        <f t="shared" si="15"/>
        <v>07-10-2023</v>
      </c>
      <c r="D1023" t="s">
        <v>51</v>
      </c>
      <c r="E1023" t="s">
        <v>936</v>
      </c>
      <c r="F1023" t="s">
        <v>98</v>
      </c>
      <c r="G1023" t="s">
        <v>19</v>
      </c>
      <c r="H1023" t="s">
        <v>30</v>
      </c>
      <c r="I1023">
        <v>1</v>
      </c>
      <c r="J1023">
        <v>1603</v>
      </c>
      <c r="K1023" s="7">
        <v>0.05</v>
      </c>
      <c r="L1023" t="s">
        <v>58</v>
      </c>
      <c r="M1023" t="s">
        <v>39</v>
      </c>
      <c r="N1023" t="s">
        <v>59</v>
      </c>
      <c r="P1023">
        <f>VLOOKUP(Table2[[#This Row],[Product_ID]],Table1[#All],8,TRUE)</f>
        <v>1200</v>
      </c>
    </row>
    <row r="1024" spans="1:16" x14ac:dyDescent="0.3">
      <c r="A1024" t="s">
        <v>2030</v>
      </c>
      <c r="B1024" s="5" t="s">
        <v>2031</v>
      </c>
      <c r="C1024" s="3" t="str">
        <f t="shared" si="15"/>
        <v>09-11-2023</v>
      </c>
      <c r="D1024" t="s">
        <v>71</v>
      </c>
      <c r="E1024" t="s">
        <v>348</v>
      </c>
      <c r="F1024" t="s">
        <v>64</v>
      </c>
      <c r="G1024" t="s">
        <v>29</v>
      </c>
      <c r="H1024" t="s">
        <v>20</v>
      </c>
      <c r="I1024">
        <v>5</v>
      </c>
      <c r="J1024">
        <v>9386</v>
      </c>
      <c r="K1024" s="7">
        <v>0.05</v>
      </c>
      <c r="L1024" t="s">
        <v>31</v>
      </c>
      <c r="M1024" t="s">
        <v>22</v>
      </c>
      <c r="N1024" t="s">
        <v>59</v>
      </c>
      <c r="P1024">
        <f>VLOOKUP(Table2[[#This Row],[Product_ID]],Table1[#All],8,TRUE)</f>
        <v>900</v>
      </c>
    </row>
    <row r="1025" spans="1:16" x14ac:dyDescent="0.3">
      <c r="A1025" t="s">
        <v>510</v>
      </c>
      <c r="B1025" s="5" t="s">
        <v>2032</v>
      </c>
      <c r="C1025" s="3" t="str">
        <f t="shared" si="15"/>
        <v>13-09-2023</v>
      </c>
      <c r="D1025" t="s">
        <v>127</v>
      </c>
      <c r="E1025" t="s">
        <v>2033</v>
      </c>
      <c r="F1025" t="s">
        <v>43</v>
      </c>
      <c r="G1025" t="s">
        <v>29</v>
      </c>
      <c r="H1025" t="s">
        <v>77</v>
      </c>
      <c r="I1025">
        <v>3</v>
      </c>
      <c r="J1025">
        <v>8915</v>
      </c>
      <c r="K1025" s="7">
        <v>0</v>
      </c>
      <c r="L1025" t="s">
        <v>38</v>
      </c>
      <c r="M1025" t="s">
        <v>22</v>
      </c>
      <c r="N1025" t="s">
        <v>32</v>
      </c>
      <c r="O1025">
        <v>3.5</v>
      </c>
      <c r="P1025">
        <f>VLOOKUP(Table2[[#This Row],[Product_ID]],Table1[#All],8,TRUE)</f>
        <v>1200</v>
      </c>
    </row>
    <row r="1026" spans="1:16" x14ac:dyDescent="0.3">
      <c r="A1026" t="s">
        <v>2034</v>
      </c>
      <c r="B1026" s="5" t="s">
        <v>2035</v>
      </c>
      <c r="C1026" s="3" t="str">
        <f t="shared" ref="C1026:C1089" si="16">TEXT(B1026,"dd-mm-yyyy")</f>
        <v>28-01-2023</v>
      </c>
      <c r="D1026" t="s">
        <v>46</v>
      </c>
      <c r="E1026" t="s">
        <v>1327</v>
      </c>
      <c r="F1026" t="s">
        <v>43</v>
      </c>
      <c r="G1026" t="s">
        <v>37</v>
      </c>
      <c r="H1026" t="s">
        <v>30</v>
      </c>
      <c r="I1026">
        <v>4</v>
      </c>
      <c r="J1026">
        <v>9006</v>
      </c>
      <c r="K1026" s="7">
        <v>0</v>
      </c>
      <c r="L1026" t="s">
        <v>21</v>
      </c>
      <c r="M1026" t="s">
        <v>39</v>
      </c>
      <c r="N1026" t="s">
        <v>48</v>
      </c>
      <c r="O1026">
        <v>4.8</v>
      </c>
      <c r="P1026">
        <f>VLOOKUP(Table2[[#This Row],[Product_ID]],Table1[#All],8,TRUE)</f>
        <v>1200</v>
      </c>
    </row>
    <row r="1027" spans="1:16" x14ac:dyDescent="0.3">
      <c r="A1027" t="s">
        <v>2036</v>
      </c>
      <c r="B1027" s="5" t="s">
        <v>863</v>
      </c>
      <c r="C1027" s="3" t="str">
        <f t="shared" si="16"/>
        <v>08-04-2023</v>
      </c>
      <c r="D1027" t="s">
        <v>46</v>
      </c>
      <c r="E1027" t="s">
        <v>762</v>
      </c>
      <c r="F1027" t="s">
        <v>43</v>
      </c>
      <c r="G1027" t="s">
        <v>29</v>
      </c>
      <c r="H1027" t="s">
        <v>30</v>
      </c>
      <c r="I1027">
        <v>5</v>
      </c>
      <c r="J1027">
        <v>7774</v>
      </c>
      <c r="K1027" s="7">
        <v>0</v>
      </c>
      <c r="L1027" t="s">
        <v>58</v>
      </c>
      <c r="M1027" t="s">
        <v>22</v>
      </c>
      <c r="N1027" t="s">
        <v>48</v>
      </c>
      <c r="P1027">
        <f>VLOOKUP(Table2[[#This Row],[Product_ID]],Table1[#All],8,TRUE)</f>
        <v>1500</v>
      </c>
    </row>
    <row r="1028" spans="1:16" x14ac:dyDescent="0.3">
      <c r="A1028" t="s">
        <v>2037</v>
      </c>
      <c r="B1028" s="5" t="s">
        <v>2038</v>
      </c>
      <c r="C1028" s="3" t="str">
        <f t="shared" si="16"/>
        <v>04-07-2023</v>
      </c>
      <c r="D1028" t="s">
        <v>35</v>
      </c>
      <c r="E1028" t="s">
        <v>1024</v>
      </c>
      <c r="F1028" t="s">
        <v>43</v>
      </c>
      <c r="G1028" t="s">
        <v>29</v>
      </c>
      <c r="H1028" t="s">
        <v>99</v>
      </c>
      <c r="I1028">
        <v>5</v>
      </c>
      <c r="J1028">
        <v>6562</v>
      </c>
      <c r="K1028" s="7">
        <v>0.2</v>
      </c>
      <c r="L1028" t="s">
        <v>58</v>
      </c>
      <c r="M1028" t="s">
        <v>39</v>
      </c>
      <c r="N1028" t="s">
        <v>48</v>
      </c>
      <c r="P1028">
        <f>VLOOKUP(Table2[[#This Row],[Product_ID]],Table1[#All],8,TRUE)</f>
        <v>500</v>
      </c>
    </row>
    <row r="1029" spans="1:16" x14ac:dyDescent="0.3">
      <c r="A1029" t="s">
        <v>2039</v>
      </c>
      <c r="B1029" s="5" t="s">
        <v>517</v>
      </c>
      <c r="C1029" s="3" t="str">
        <f t="shared" si="16"/>
        <v>16-05-2023</v>
      </c>
      <c r="D1029" t="s">
        <v>26</v>
      </c>
      <c r="E1029" t="s">
        <v>2040</v>
      </c>
      <c r="F1029" t="s">
        <v>57</v>
      </c>
      <c r="G1029" t="s">
        <v>53</v>
      </c>
      <c r="H1029" t="s">
        <v>30</v>
      </c>
      <c r="I1029">
        <v>3</v>
      </c>
      <c r="J1029">
        <v>7289</v>
      </c>
      <c r="K1029" s="7">
        <v>0.05</v>
      </c>
      <c r="L1029" t="s">
        <v>38</v>
      </c>
      <c r="M1029" t="s">
        <v>39</v>
      </c>
      <c r="N1029" t="s">
        <v>32</v>
      </c>
      <c r="O1029">
        <v>3.9</v>
      </c>
      <c r="P1029">
        <f>VLOOKUP(Table2[[#This Row],[Product_ID]],Table1[#All],8,TRUE)</f>
        <v>700</v>
      </c>
    </row>
    <row r="1030" spans="1:16" x14ac:dyDescent="0.3">
      <c r="A1030" t="s">
        <v>2041</v>
      </c>
      <c r="B1030" s="5" t="s">
        <v>212</v>
      </c>
      <c r="C1030" s="3" t="str">
        <f t="shared" si="16"/>
        <v>16-07-2023</v>
      </c>
      <c r="D1030" t="s">
        <v>131</v>
      </c>
      <c r="E1030" t="s">
        <v>1356</v>
      </c>
      <c r="F1030" t="s">
        <v>98</v>
      </c>
      <c r="G1030" t="s">
        <v>29</v>
      </c>
      <c r="H1030" t="s">
        <v>77</v>
      </c>
      <c r="I1030">
        <v>3</v>
      </c>
      <c r="J1030">
        <v>5613</v>
      </c>
      <c r="K1030" s="7">
        <v>0</v>
      </c>
      <c r="L1030" t="s">
        <v>38</v>
      </c>
      <c r="M1030" t="s">
        <v>39</v>
      </c>
      <c r="N1030" t="s">
        <v>23</v>
      </c>
      <c r="P1030">
        <f>VLOOKUP(Table2[[#This Row],[Product_ID]],Table1[#All],8,TRUE)</f>
        <v>900</v>
      </c>
    </row>
    <row r="1031" spans="1:16" x14ac:dyDescent="0.3">
      <c r="A1031" t="s">
        <v>2042</v>
      </c>
      <c r="B1031" s="5" t="s">
        <v>2043</v>
      </c>
      <c r="C1031" s="3" t="str">
        <f t="shared" si="16"/>
        <v>25-04-2024</v>
      </c>
      <c r="D1031" t="s">
        <v>67</v>
      </c>
      <c r="E1031" t="s">
        <v>918</v>
      </c>
      <c r="F1031" t="s">
        <v>98</v>
      </c>
      <c r="G1031" t="s">
        <v>37</v>
      </c>
      <c r="H1031" t="s">
        <v>77</v>
      </c>
      <c r="I1031">
        <v>2</v>
      </c>
      <c r="J1031">
        <v>5945</v>
      </c>
      <c r="K1031" s="7">
        <v>0.05</v>
      </c>
      <c r="L1031" t="s">
        <v>38</v>
      </c>
      <c r="M1031" t="s">
        <v>22</v>
      </c>
      <c r="N1031" t="s">
        <v>32</v>
      </c>
      <c r="P1031">
        <f>VLOOKUP(Table2[[#This Row],[Product_ID]],Table1[#All],8,TRUE)</f>
        <v>0</v>
      </c>
    </row>
    <row r="1032" spans="1:16" x14ac:dyDescent="0.3">
      <c r="A1032" t="s">
        <v>811</v>
      </c>
      <c r="B1032" s="5" t="s">
        <v>1136</v>
      </c>
      <c r="C1032" s="3" t="str">
        <f t="shared" si="16"/>
        <v>14-07-2023</v>
      </c>
      <c r="D1032" t="s">
        <v>71</v>
      </c>
      <c r="E1032" t="s">
        <v>63</v>
      </c>
      <c r="F1032" t="s">
        <v>98</v>
      </c>
      <c r="G1032" t="s">
        <v>19</v>
      </c>
      <c r="H1032" t="s">
        <v>20</v>
      </c>
      <c r="I1032">
        <v>3</v>
      </c>
      <c r="J1032">
        <v>7911</v>
      </c>
      <c r="K1032" s="7">
        <v>0.2</v>
      </c>
      <c r="L1032" t="s">
        <v>58</v>
      </c>
      <c r="M1032" t="s">
        <v>22</v>
      </c>
      <c r="N1032" t="s">
        <v>23</v>
      </c>
      <c r="O1032">
        <v>4</v>
      </c>
      <c r="P1032">
        <f>VLOOKUP(Table2[[#This Row],[Product_ID]],Table1[#All],8,TRUE)</f>
        <v>500</v>
      </c>
    </row>
    <row r="1033" spans="1:16" x14ac:dyDescent="0.3">
      <c r="A1033" t="s">
        <v>2044</v>
      </c>
      <c r="B1033" s="5" t="s">
        <v>556</v>
      </c>
      <c r="C1033" s="3" t="str">
        <f t="shared" si="16"/>
        <v>07-03-2024</v>
      </c>
      <c r="D1033" t="s">
        <v>67</v>
      </c>
      <c r="E1033" t="s">
        <v>128</v>
      </c>
      <c r="F1033" t="s">
        <v>18</v>
      </c>
      <c r="G1033" t="s">
        <v>19</v>
      </c>
      <c r="H1033" t="s">
        <v>99</v>
      </c>
      <c r="I1033">
        <v>3</v>
      </c>
      <c r="J1033">
        <v>5462</v>
      </c>
      <c r="K1033" s="7">
        <v>0.2</v>
      </c>
      <c r="L1033" t="s">
        <v>38</v>
      </c>
      <c r="M1033" t="s">
        <v>22</v>
      </c>
      <c r="N1033" t="s">
        <v>32</v>
      </c>
      <c r="O1033">
        <v>4.5999999999999996</v>
      </c>
      <c r="P1033">
        <f>VLOOKUP(Table2[[#This Row],[Product_ID]],Table1[#All],8,TRUE)</f>
        <v>500</v>
      </c>
    </row>
    <row r="1034" spans="1:16" x14ac:dyDescent="0.3">
      <c r="A1034" t="s">
        <v>2045</v>
      </c>
      <c r="B1034" s="5" t="s">
        <v>2046</v>
      </c>
      <c r="C1034" s="3" t="str">
        <f t="shared" si="16"/>
        <v>02-01-2023</v>
      </c>
      <c r="D1034" t="s">
        <v>80</v>
      </c>
      <c r="E1034" t="s">
        <v>115</v>
      </c>
      <c r="F1034" t="s">
        <v>64</v>
      </c>
      <c r="G1034" t="s">
        <v>53</v>
      </c>
      <c r="H1034" t="s">
        <v>77</v>
      </c>
      <c r="I1034">
        <v>3</v>
      </c>
      <c r="J1034">
        <v>5961</v>
      </c>
      <c r="K1034" s="7">
        <v>0.1</v>
      </c>
      <c r="L1034" t="s">
        <v>58</v>
      </c>
      <c r="M1034" t="s">
        <v>39</v>
      </c>
      <c r="N1034" t="s">
        <v>23</v>
      </c>
      <c r="O1034">
        <v>3.8</v>
      </c>
      <c r="P1034">
        <f>VLOOKUP(Table2[[#This Row],[Product_ID]],Table1[#All],8,TRUE)</f>
        <v>900</v>
      </c>
    </row>
    <row r="1035" spans="1:16" x14ac:dyDescent="0.3">
      <c r="A1035" t="s">
        <v>2047</v>
      </c>
      <c r="B1035" s="5" t="s">
        <v>2048</v>
      </c>
      <c r="C1035" s="3" t="str">
        <f t="shared" si="16"/>
        <v>13-01-2024</v>
      </c>
      <c r="D1035" t="s">
        <v>127</v>
      </c>
      <c r="E1035" t="s">
        <v>575</v>
      </c>
      <c r="F1035" t="s">
        <v>43</v>
      </c>
      <c r="G1035" t="s">
        <v>29</v>
      </c>
      <c r="H1035" t="s">
        <v>99</v>
      </c>
      <c r="I1035">
        <v>2</v>
      </c>
      <c r="J1035">
        <v>9265</v>
      </c>
      <c r="K1035" s="7">
        <v>0.05</v>
      </c>
      <c r="L1035" t="s">
        <v>31</v>
      </c>
      <c r="M1035" t="s">
        <v>22</v>
      </c>
      <c r="N1035" t="s">
        <v>59</v>
      </c>
      <c r="O1035">
        <v>4.3</v>
      </c>
      <c r="P1035">
        <f>VLOOKUP(Table2[[#This Row],[Product_ID]],Table1[#All],8,TRUE)</f>
        <v>0</v>
      </c>
    </row>
    <row r="1036" spans="1:16" x14ac:dyDescent="0.3">
      <c r="A1036" t="s">
        <v>971</v>
      </c>
      <c r="B1036" s="5" t="s">
        <v>2049</v>
      </c>
      <c r="C1036" s="3" t="str">
        <f t="shared" si="16"/>
        <v>08-05-2024</v>
      </c>
      <c r="D1036" t="s">
        <v>51</v>
      </c>
      <c r="E1036" t="s">
        <v>365</v>
      </c>
      <c r="F1036" t="s">
        <v>98</v>
      </c>
      <c r="G1036" t="s">
        <v>37</v>
      </c>
      <c r="H1036" t="s">
        <v>99</v>
      </c>
      <c r="I1036">
        <v>5</v>
      </c>
      <c r="J1036">
        <v>7241</v>
      </c>
      <c r="K1036" s="7">
        <v>0.05</v>
      </c>
      <c r="L1036" t="s">
        <v>31</v>
      </c>
      <c r="M1036" t="s">
        <v>22</v>
      </c>
      <c r="N1036" t="s">
        <v>48</v>
      </c>
      <c r="P1036">
        <f>VLOOKUP(Table2[[#This Row],[Product_ID]],Table1[#All],8,TRUE)</f>
        <v>1500</v>
      </c>
    </row>
    <row r="1037" spans="1:16" x14ac:dyDescent="0.3">
      <c r="A1037" t="s">
        <v>2050</v>
      </c>
      <c r="B1037" s="5" t="s">
        <v>488</v>
      </c>
      <c r="C1037" s="3" t="str">
        <f t="shared" si="16"/>
        <v>24-04-2023</v>
      </c>
      <c r="D1037" t="s">
        <v>16</v>
      </c>
      <c r="E1037" t="s">
        <v>816</v>
      </c>
      <c r="F1037" t="s">
        <v>28</v>
      </c>
      <c r="G1037" t="s">
        <v>53</v>
      </c>
      <c r="H1037" t="s">
        <v>99</v>
      </c>
      <c r="I1037">
        <v>2</v>
      </c>
      <c r="J1037">
        <v>6566</v>
      </c>
      <c r="K1037" s="7">
        <v>0.2</v>
      </c>
      <c r="L1037" t="s">
        <v>58</v>
      </c>
      <c r="M1037" t="s">
        <v>39</v>
      </c>
      <c r="N1037" t="s">
        <v>32</v>
      </c>
      <c r="P1037">
        <f>VLOOKUP(Table2[[#This Row],[Product_ID]],Table1[#All],8,TRUE)</f>
        <v>1200</v>
      </c>
    </row>
    <row r="1038" spans="1:16" x14ac:dyDescent="0.3">
      <c r="A1038" t="s">
        <v>616</v>
      </c>
      <c r="B1038" s="5" t="s">
        <v>2025</v>
      </c>
      <c r="C1038" s="3" t="str">
        <f t="shared" si="16"/>
        <v>15-12-2024</v>
      </c>
      <c r="D1038" t="s">
        <v>114</v>
      </c>
      <c r="E1038" t="s">
        <v>1782</v>
      </c>
      <c r="F1038" t="s">
        <v>98</v>
      </c>
      <c r="G1038" t="s">
        <v>53</v>
      </c>
      <c r="H1038" t="s">
        <v>30</v>
      </c>
      <c r="I1038">
        <v>3</v>
      </c>
      <c r="J1038">
        <v>5817</v>
      </c>
      <c r="K1038" s="7">
        <v>0.1</v>
      </c>
      <c r="L1038" t="s">
        <v>58</v>
      </c>
      <c r="M1038" t="s">
        <v>39</v>
      </c>
      <c r="N1038" t="s">
        <v>59</v>
      </c>
      <c r="P1038">
        <f>VLOOKUP(Table2[[#This Row],[Product_ID]],Table1[#All],8,TRUE)</f>
        <v>1500</v>
      </c>
    </row>
    <row r="1039" spans="1:16" x14ac:dyDescent="0.3">
      <c r="A1039" t="s">
        <v>2051</v>
      </c>
      <c r="B1039" s="5" t="s">
        <v>2052</v>
      </c>
      <c r="C1039" s="3" t="str">
        <f t="shared" si="16"/>
        <v>24-02-2023</v>
      </c>
      <c r="D1039" t="s">
        <v>131</v>
      </c>
      <c r="E1039" t="s">
        <v>620</v>
      </c>
      <c r="F1039" t="s">
        <v>28</v>
      </c>
      <c r="G1039" t="s">
        <v>19</v>
      </c>
      <c r="H1039" t="s">
        <v>77</v>
      </c>
      <c r="I1039">
        <v>1</v>
      </c>
      <c r="J1039">
        <v>2810</v>
      </c>
      <c r="K1039" s="7">
        <v>0</v>
      </c>
      <c r="L1039" t="s">
        <v>38</v>
      </c>
      <c r="M1039" t="s">
        <v>22</v>
      </c>
      <c r="N1039" t="s">
        <v>59</v>
      </c>
      <c r="O1039">
        <v>3.5</v>
      </c>
      <c r="P1039">
        <f>VLOOKUP(Table2[[#This Row],[Product_ID]],Table1[#All],8,TRUE)</f>
        <v>900</v>
      </c>
    </row>
    <row r="1040" spans="1:16" x14ac:dyDescent="0.3">
      <c r="A1040" t="s">
        <v>2053</v>
      </c>
      <c r="B1040" s="5" t="s">
        <v>2054</v>
      </c>
      <c r="C1040" s="3" t="str">
        <f t="shared" si="16"/>
        <v>14-12-2023</v>
      </c>
      <c r="D1040" t="s">
        <v>131</v>
      </c>
      <c r="E1040" t="s">
        <v>1710</v>
      </c>
      <c r="F1040" t="s">
        <v>57</v>
      </c>
      <c r="G1040" t="s">
        <v>29</v>
      </c>
      <c r="H1040" t="s">
        <v>99</v>
      </c>
      <c r="I1040">
        <v>4</v>
      </c>
      <c r="J1040">
        <v>4604</v>
      </c>
      <c r="K1040" s="7">
        <v>0.1</v>
      </c>
      <c r="L1040" t="s">
        <v>38</v>
      </c>
      <c r="M1040" t="s">
        <v>39</v>
      </c>
      <c r="N1040" t="s">
        <v>48</v>
      </c>
      <c r="P1040">
        <f>VLOOKUP(Table2[[#This Row],[Product_ID]],Table1[#All],8,TRUE)</f>
        <v>1500</v>
      </c>
    </row>
    <row r="1041" spans="1:16" x14ac:dyDescent="0.3">
      <c r="A1041" t="s">
        <v>2055</v>
      </c>
      <c r="B1041" s="5" t="s">
        <v>1747</v>
      </c>
      <c r="C1041" s="3" t="str">
        <f t="shared" si="16"/>
        <v>03-10-2024</v>
      </c>
      <c r="D1041" t="s">
        <v>114</v>
      </c>
      <c r="E1041" t="s">
        <v>286</v>
      </c>
      <c r="F1041" t="s">
        <v>18</v>
      </c>
      <c r="G1041" t="s">
        <v>53</v>
      </c>
      <c r="H1041" t="s">
        <v>30</v>
      </c>
      <c r="I1041">
        <v>3</v>
      </c>
      <c r="J1041">
        <v>9773</v>
      </c>
      <c r="K1041" s="7">
        <v>0</v>
      </c>
      <c r="L1041" t="s">
        <v>58</v>
      </c>
      <c r="M1041" t="s">
        <v>22</v>
      </c>
      <c r="N1041" t="s">
        <v>48</v>
      </c>
      <c r="O1041">
        <v>3.2</v>
      </c>
      <c r="P1041">
        <f>VLOOKUP(Table2[[#This Row],[Product_ID]],Table1[#All],8,TRUE)</f>
        <v>0</v>
      </c>
    </row>
    <row r="1042" spans="1:16" x14ac:dyDescent="0.3">
      <c r="A1042" t="s">
        <v>2056</v>
      </c>
      <c r="B1042" s="5" t="s">
        <v>2057</v>
      </c>
      <c r="C1042" s="3" t="str">
        <f t="shared" si="16"/>
        <v>02-10-2023</v>
      </c>
      <c r="D1042" t="s">
        <v>84</v>
      </c>
      <c r="E1042" t="s">
        <v>778</v>
      </c>
      <c r="F1042" t="s">
        <v>18</v>
      </c>
      <c r="G1042" t="s">
        <v>37</v>
      </c>
      <c r="H1042" t="s">
        <v>20</v>
      </c>
      <c r="I1042">
        <v>3</v>
      </c>
      <c r="J1042">
        <v>2703</v>
      </c>
      <c r="K1042" s="7">
        <v>0.1</v>
      </c>
      <c r="L1042" t="s">
        <v>38</v>
      </c>
      <c r="M1042" t="s">
        <v>22</v>
      </c>
      <c r="N1042" t="s">
        <v>23</v>
      </c>
      <c r="P1042">
        <f>VLOOKUP(Table2[[#This Row],[Product_ID]],Table1[#All],8,TRUE)</f>
        <v>900</v>
      </c>
    </row>
    <row r="1043" spans="1:16" x14ac:dyDescent="0.3">
      <c r="A1043" t="s">
        <v>1078</v>
      </c>
      <c r="B1043" s="5" t="s">
        <v>1379</v>
      </c>
      <c r="C1043" s="3" t="str">
        <f t="shared" si="16"/>
        <v>02-01-2024</v>
      </c>
      <c r="D1043" t="s">
        <v>71</v>
      </c>
      <c r="E1043" t="s">
        <v>615</v>
      </c>
      <c r="F1043" t="s">
        <v>28</v>
      </c>
      <c r="G1043" t="s">
        <v>19</v>
      </c>
      <c r="H1043" t="s">
        <v>99</v>
      </c>
      <c r="I1043">
        <v>3</v>
      </c>
      <c r="J1043">
        <v>9045</v>
      </c>
      <c r="K1043" s="7">
        <v>0.15</v>
      </c>
      <c r="L1043" t="s">
        <v>31</v>
      </c>
      <c r="M1043" t="s">
        <v>39</v>
      </c>
      <c r="N1043" t="s">
        <v>59</v>
      </c>
      <c r="P1043">
        <f>VLOOKUP(Table2[[#This Row],[Product_ID]],Table1[#All],8,TRUE)</f>
        <v>1500</v>
      </c>
    </row>
    <row r="1044" spans="1:16" x14ac:dyDescent="0.3">
      <c r="A1044" t="s">
        <v>2058</v>
      </c>
      <c r="B1044" s="5" t="s">
        <v>2059</v>
      </c>
      <c r="C1044" s="3" t="str">
        <f t="shared" si="16"/>
        <v>21-08-2024</v>
      </c>
      <c r="D1044" t="s">
        <v>80</v>
      </c>
      <c r="E1044" t="s">
        <v>503</v>
      </c>
      <c r="F1044" t="s">
        <v>73</v>
      </c>
      <c r="G1044" t="s">
        <v>37</v>
      </c>
      <c r="H1044" t="s">
        <v>99</v>
      </c>
      <c r="I1044">
        <v>1</v>
      </c>
      <c r="J1044">
        <v>7049</v>
      </c>
      <c r="K1044" s="7">
        <v>0.2</v>
      </c>
      <c r="L1044" t="s">
        <v>38</v>
      </c>
      <c r="M1044" t="s">
        <v>39</v>
      </c>
      <c r="N1044" t="s">
        <v>32</v>
      </c>
      <c r="O1044">
        <v>3.1</v>
      </c>
      <c r="P1044">
        <f>VLOOKUP(Table2[[#This Row],[Product_ID]],Table1[#All],8,TRUE)</f>
        <v>0</v>
      </c>
    </row>
    <row r="1045" spans="1:16" x14ac:dyDescent="0.3">
      <c r="A1045" t="s">
        <v>2060</v>
      </c>
      <c r="B1045" s="5" t="s">
        <v>2061</v>
      </c>
      <c r="C1045" s="3" t="str">
        <f t="shared" si="16"/>
        <v>26-10-2023</v>
      </c>
      <c r="D1045" t="s">
        <v>16</v>
      </c>
      <c r="E1045" t="s">
        <v>420</v>
      </c>
      <c r="F1045" t="s">
        <v>73</v>
      </c>
      <c r="G1045" t="s">
        <v>37</v>
      </c>
      <c r="H1045" t="s">
        <v>20</v>
      </c>
      <c r="I1045">
        <v>3</v>
      </c>
      <c r="J1045">
        <v>1395</v>
      </c>
      <c r="K1045" s="7">
        <v>0.1</v>
      </c>
      <c r="L1045" t="s">
        <v>58</v>
      </c>
      <c r="M1045" t="s">
        <v>39</v>
      </c>
      <c r="N1045" t="s">
        <v>32</v>
      </c>
      <c r="O1045">
        <v>4.5</v>
      </c>
      <c r="P1045">
        <f>VLOOKUP(Table2[[#This Row],[Product_ID]],Table1[#All],8,TRUE)</f>
        <v>500</v>
      </c>
    </row>
    <row r="1046" spans="1:16" x14ac:dyDescent="0.3">
      <c r="A1046" t="s">
        <v>2062</v>
      </c>
      <c r="B1046" s="5" t="s">
        <v>2012</v>
      </c>
      <c r="C1046" s="3" t="str">
        <f t="shared" si="16"/>
        <v>27-06-2023</v>
      </c>
      <c r="D1046" t="s">
        <v>114</v>
      </c>
      <c r="E1046" t="s">
        <v>585</v>
      </c>
      <c r="F1046" t="s">
        <v>73</v>
      </c>
      <c r="G1046" t="s">
        <v>37</v>
      </c>
      <c r="H1046" t="s">
        <v>30</v>
      </c>
      <c r="I1046">
        <v>4</v>
      </c>
      <c r="J1046">
        <v>8360</v>
      </c>
      <c r="K1046" s="7">
        <v>0</v>
      </c>
      <c r="L1046" t="s">
        <v>38</v>
      </c>
      <c r="M1046" t="s">
        <v>22</v>
      </c>
      <c r="N1046" t="s">
        <v>48</v>
      </c>
      <c r="P1046">
        <f>VLOOKUP(Table2[[#This Row],[Product_ID]],Table1[#All],8,TRUE)</f>
        <v>700</v>
      </c>
    </row>
    <row r="1047" spans="1:16" x14ac:dyDescent="0.3">
      <c r="A1047" t="s">
        <v>2063</v>
      </c>
      <c r="B1047" s="5" t="s">
        <v>823</v>
      </c>
      <c r="C1047" s="3" t="str">
        <f t="shared" si="16"/>
        <v>12-08-2024</v>
      </c>
      <c r="D1047" t="s">
        <v>62</v>
      </c>
      <c r="E1047" t="s">
        <v>1215</v>
      </c>
      <c r="F1047" t="s">
        <v>18</v>
      </c>
      <c r="G1047" t="s">
        <v>29</v>
      </c>
      <c r="H1047" t="s">
        <v>77</v>
      </c>
      <c r="I1047">
        <v>5</v>
      </c>
      <c r="J1047">
        <v>3161</v>
      </c>
      <c r="K1047" s="7">
        <v>0.1</v>
      </c>
      <c r="L1047" t="s">
        <v>38</v>
      </c>
      <c r="M1047" t="s">
        <v>39</v>
      </c>
      <c r="N1047" t="s">
        <v>32</v>
      </c>
      <c r="O1047">
        <v>3.8</v>
      </c>
      <c r="P1047">
        <f>VLOOKUP(Table2[[#This Row],[Product_ID]],Table1[#All],8,TRUE)</f>
        <v>700</v>
      </c>
    </row>
    <row r="1048" spans="1:16" x14ac:dyDescent="0.3">
      <c r="A1048" t="s">
        <v>547</v>
      </c>
      <c r="B1048" s="5" t="s">
        <v>2064</v>
      </c>
      <c r="C1048" s="3" t="str">
        <f t="shared" si="16"/>
        <v>10-12-2024</v>
      </c>
      <c r="D1048" t="s">
        <v>84</v>
      </c>
      <c r="E1048" t="s">
        <v>226</v>
      </c>
      <c r="F1048" t="s">
        <v>64</v>
      </c>
      <c r="G1048" t="s">
        <v>19</v>
      </c>
      <c r="H1048" t="s">
        <v>77</v>
      </c>
      <c r="I1048">
        <v>3</v>
      </c>
      <c r="J1048">
        <v>7288</v>
      </c>
      <c r="K1048" s="7">
        <v>0</v>
      </c>
      <c r="L1048" t="s">
        <v>31</v>
      </c>
      <c r="M1048" t="s">
        <v>22</v>
      </c>
      <c r="N1048" t="s">
        <v>23</v>
      </c>
      <c r="O1048">
        <v>4.5</v>
      </c>
      <c r="P1048">
        <f>VLOOKUP(Table2[[#This Row],[Product_ID]],Table1[#All],8,TRUE)</f>
        <v>700</v>
      </c>
    </row>
    <row r="1049" spans="1:16" x14ac:dyDescent="0.3">
      <c r="A1049" t="s">
        <v>2065</v>
      </c>
      <c r="B1049" s="5" t="s">
        <v>2066</v>
      </c>
      <c r="C1049" s="3" t="str">
        <f t="shared" si="16"/>
        <v>05-03-2024</v>
      </c>
      <c r="D1049" t="s">
        <v>80</v>
      </c>
      <c r="E1049" t="s">
        <v>181</v>
      </c>
      <c r="F1049" t="s">
        <v>43</v>
      </c>
      <c r="G1049" t="s">
        <v>19</v>
      </c>
      <c r="H1049" t="s">
        <v>20</v>
      </c>
      <c r="I1049">
        <v>4</v>
      </c>
      <c r="J1049">
        <v>9383</v>
      </c>
      <c r="K1049" s="7">
        <v>0.15</v>
      </c>
      <c r="L1049" t="s">
        <v>31</v>
      </c>
      <c r="M1049" t="s">
        <v>22</v>
      </c>
      <c r="N1049" t="s">
        <v>59</v>
      </c>
      <c r="O1049">
        <v>4.5</v>
      </c>
      <c r="P1049">
        <f>VLOOKUP(Table2[[#This Row],[Product_ID]],Table1[#All],8,TRUE)</f>
        <v>1500</v>
      </c>
    </row>
    <row r="1050" spans="1:16" x14ac:dyDescent="0.3">
      <c r="A1050" t="s">
        <v>2067</v>
      </c>
      <c r="B1050" s="5" t="s">
        <v>2068</v>
      </c>
      <c r="C1050" s="3" t="str">
        <f t="shared" si="16"/>
        <v>07-04-2023</v>
      </c>
      <c r="D1050" t="s">
        <v>51</v>
      </c>
      <c r="E1050" t="s">
        <v>417</v>
      </c>
      <c r="F1050" t="s">
        <v>43</v>
      </c>
      <c r="G1050" t="s">
        <v>19</v>
      </c>
      <c r="H1050" t="s">
        <v>99</v>
      </c>
      <c r="I1050">
        <v>3</v>
      </c>
      <c r="J1050">
        <v>5884</v>
      </c>
      <c r="K1050" s="7">
        <v>0</v>
      </c>
      <c r="L1050" t="s">
        <v>21</v>
      </c>
      <c r="M1050" t="s">
        <v>22</v>
      </c>
      <c r="N1050" t="s">
        <v>59</v>
      </c>
      <c r="P1050">
        <f>VLOOKUP(Table2[[#This Row],[Product_ID]],Table1[#All],8,TRUE)</f>
        <v>1500</v>
      </c>
    </row>
    <row r="1051" spans="1:16" x14ac:dyDescent="0.3">
      <c r="A1051" t="s">
        <v>480</v>
      </c>
      <c r="B1051" s="5" t="s">
        <v>2069</v>
      </c>
      <c r="C1051" s="3" t="str">
        <f t="shared" si="16"/>
        <v>29-05-2023</v>
      </c>
      <c r="D1051" t="s">
        <v>16</v>
      </c>
      <c r="E1051" t="s">
        <v>550</v>
      </c>
      <c r="F1051" t="s">
        <v>43</v>
      </c>
      <c r="G1051" t="s">
        <v>29</v>
      </c>
      <c r="H1051" t="s">
        <v>30</v>
      </c>
      <c r="I1051">
        <v>2</v>
      </c>
      <c r="J1051">
        <v>2802</v>
      </c>
      <c r="K1051" s="7">
        <v>0.05</v>
      </c>
      <c r="L1051" t="s">
        <v>21</v>
      </c>
      <c r="M1051" t="s">
        <v>22</v>
      </c>
      <c r="N1051" t="s">
        <v>23</v>
      </c>
      <c r="O1051">
        <v>3</v>
      </c>
      <c r="P1051">
        <f>VLOOKUP(Table2[[#This Row],[Product_ID]],Table1[#All],8,TRUE)</f>
        <v>700</v>
      </c>
    </row>
    <row r="1052" spans="1:16" x14ac:dyDescent="0.3">
      <c r="A1052" t="s">
        <v>2070</v>
      </c>
      <c r="B1052" s="5" t="s">
        <v>2071</v>
      </c>
      <c r="C1052" s="3" t="str">
        <f t="shared" si="16"/>
        <v>03-08-2024</v>
      </c>
      <c r="D1052" t="s">
        <v>91</v>
      </c>
      <c r="E1052" t="s">
        <v>56</v>
      </c>
      <c r="F1052" t="s">
        <v>73</v>
      </c>
      <c r="G1052" t="s">
        <v>37</v>
      </c>
      <c r="H1052" t="s">
        <v>77</v>
      </c>
      <c r="I1052">
        <v>3</v>
      </c>
      <c r="J1052">
        <v>8035</v>
      </c>
      <c r="K1052" s="7">
        <v>0.1</v>
      </c>
      <c r="L1052" t="s">
        <v>21</v>
      </c>
      <c r="M1052" t="s">
        <v>22</v>
      </c>
      <c r="N1052" t="s">
        <v>32</v>
      </c>
      <c r="O1052">
        <v>4.9000000000000004</v>
      </c>
      <c r="P1052">
        <f>VLOOKUP(Table2[[#This Row],[Product_ID]],Table1[#All],8,TRUE)</f>
        <v>700</v>
      </c>
    </row>
    <row r="1053" spans="1:16" x14ac:dyDescent="0.3">
      <c r="A1053" t="s">
        <v>2072</v>
      </c>
      <c r="B1053" s="5" t="s">
        <v>587</v>
      </c>
      <c r="C1053" s="3" t="str">
        <f t="shared" si="16"/>
        <v>27-06-2024</v>
      </c>
      <c r="D1053" t="s">
        <v>46</v>
      </c>
      <c r="E1053" t="s">
        <v>819</v>
      </c>
      <c r="F1053" t="s">
        <v>43</v>
      </c>
      <c r="G1053" t="s">
        <v>53</v>
      </c>
      <c r="H1053" t="s">
        <v>30</v>
      </c>
      <c r="I1053">
        <v>3</v>
      </c>
      <c r="J1053">
        <v>9750</v>
      </c>
      <c r="K1053" s="7">
        <v>0</v>
      </c>
      <c r="L1053" t="s">
        <v>31</v>
      </c>
      <c r="M1053" t="s">
        <v>39</v>
      </c>
      <c r="N1053" t="s">
        <v>23</v>
      </c>
      <c r="P1053">
        <f>VLOOKUP(Table2[[#This Row],[Product_ID]],Table1[#All],8,TRUE)</f>
        <v>0</v>
      </c>
    </row>
    <row r="1054" spans="1:16" x14ac:dyDescent="0.3">
      <c r="A1054" t="s">
        <v>2073</v>
      </c>
      <c r="B1054" s="5" t="s">
        <v>532</v>
      </c>
      <c r="C1054" s="3" t="str">
        <f t="shared" si="16"/>
        <v>05-10-2023</v>
      </c>
      <c r="D1054" t="s">
        <v>62</v>
      </c>
      <c r="E1054" t="s">
        <v>1727</v>
      </c>
      <c r="F1054" t="s">
        <v>57</v>
      </c>
      <c r="G1054" t="s">
        <v>37</v>
      </c>
      <c r="H1054" t="s">
        <v>77</v>
      </c>
      <c r="I1054">
        <v>4</v>
      </c>
      <c r="J1054">
        <v>9028</v>
      </c>
      <c r="K1054" s="7">
        <v>0.05</v>
      </c>
      <c r="L1054" t="s">
        <v>38</v>
      </c>
      <c r="M1054" t="s">
        <v>39</v>
      </c>
      <c r="N1054" t="s">
        <v>32</v>
      </c>
      <c r="O1054">
        <v>4.7</v>
      </c>
      <c r="P1054">
        <f>VLOOKUP(Table2[[#This Row],[Product_ID]],Table1[#All],8,TRUE)</f>
        <v>500</v>
      </c>
    </row>
    <row r="1055" spans="1:16" x14ac:dyDescent="0.3">
      <c r="A1055" t="s">
        <v>932</v>
      </c>
      <c r="B1055" s="5" t="s">
        <v>2074</v>
      </c>
      <c r="C1055" s="3" t="str">
        <f t="shared" si="16"/>
        <v>02-04-2023</v>
      </c>
      <c r="D1055" t="s">
        <v>62</v>
      </c>
      <c r="E1055" t="s">
        <v>1651</v>
      </c>
      <c r="F1055" t="s">
        <v>98</v>
      </c>
      <c r="G1055" t="s">
        <v>37</v>
      </c>
      <c r="H1055" t="s">
        <v>99</v>
      </c>
      <c r="I1055">
        <v>2</v>
      </c>
      <c r="J1055">
        <v>7460</v>
      </c>
      <c r="K1055" s="7">
        <v>0.1</v>
      </c>
      <c r="L1055" t="s">
        <v>21</v>
      </c>
      <c r="M1055" t="s">
        <v>39</v>
      </c>
      <c r="N1055" t="s">
        <v>23</v>
      </c>
      <c r="O1055">
        <v>3</v>
      </c>
      <c r="P1055">
        <f>VLOOKUP(Table2[[#This Row],[Product_ID]],Table1[#All],8,TRUE)</f>
        <v>500</v>
      </c>
    </row>
    <row r="1056" spans="1:16" x14ac:dyDescent="0.3">
      <c r="A1056" t="s">
        <v>2075</v>
      </c>
      <c r="B1056" s="5" t="s">
        <v>2076</v>
      </c>
      <c r="C1056" s="3" t="str">
        <f t="shared" si="16"/>
        <v>04-08-2023</v>
      </c>
      <c r="D1056" t="s">
        <v>127</v>
      </c>
      <c r="E1056" t="s">
        <v>381</v>
      </c>
      <c r="F1056" t="s">
        <v>43</v>
      </c>
      <c r="G1056" t="s">
        <v>19</v>
      </c>
      <c r="H1056" t="s">
        <v>20</v>
      </c>
      <c r="I1056">
        <v>2</v>
      </c>
      <c r="J1056">
        <v>2963</v>
      </c>
      <c r="K1056" s="7">
        <v>0.2</v>
      </c>
      <c r="L1056" t="s">
        <v>31</v>
      </c>
      <c r="M1056" t="s">
        <v>39</v>
      </c>
      <c r="N1056" t="s">
        <v>48</v>
      </c>
      <c r="P1056">
        <f>VLOOKUP(Table2[[#This Row],[Product_ID]],Table1[#All],8,TRUE)</f>
        <v>1500</v>
      </c>
    </row>
    <row r="1057" spans="1:16" x14ac:dyDescent="0.3">
      <c r="A1057" t="s">
        <v>2077</v>
      </c>
      <c r="B1057" s="5" t="s">
        <v>2078</v>
      </c>
      <c r="C1057" s="3" t="str">
        <f t="shared" si="16"/>
        <v>17-12-2024</v>
      </c>
      <c r="D1057" t="s">
        <v>96</v>
      </c>
      <c r="E1057" t="s">
        <v>712</v>
      </c>
      <c r="F1057" t="s">
        <v>73</v>
      </c>
      <c r="G1057" t="s">
        <v>19</v>
      </c>
      <c r="H1057" t="s">
        <v>77</v>
      </c>
      <c r="I1057">
        <v>2</v>
      </c>
      <c r="J1057">
        <v>7038</v>
      </c>
      <c r="K1057" s="7">
        <v>0</v>
      </c>
      <c r="L1057" t="s">
        <v>21</v>
      </c>
      <c r="M1057" t="s">
        <v>39</v>
      </c>
      <c r="N1057" t="s">
        <v>48</v>
      </c>
      <c r="P1057">
        <f>VLOOKUP(Table2[[#This Row],[Product_ID]],Table1[#All],8,TRUE)</f>
        <v>700</v>
      </c>
    </row>
    <row r="1058" spans="1:16" x14ac:dyDescent="0.3">
      <c r="A1058" t="s">
        <v>2079</v>
      </c>
      <c r="B1058" s="5" t="s">
        <v>2080</v>
      </c>
      <c r="C1058" s="3" t="str">
        <f t="shared" si="16"/>
        <v>07-08-2023</v>
      </c>
      <c r="D1058" t="s">
        <v>84</v>
      </c>
      <c r="E1058" t="s">
        <v>373</v>
      </c>
      <c r="F1058" t="s">
        <v>98</v>
      </c>
      <c r="G1058" t="s">
        <v>53</v>
      </c>
      <c r="H1058" t="s">
        <v>77</v>
      </c>
      <c r="I1058">
        <v>3</v>
      </c>
      <c r="J1058">
        <v>3341</v>
      </c>
      <c r="K1058" s="7">
        <v>0.05</v>
      </c>
      <c r="L1058" t="s">
        <v>21</v>
      </c>
      <c r="M1058" t="s">
        <v>22</v>
      </c>
      <c r="N1058" t="s">
        <v>59</v>
      </c>
      <c r="O1058">
        <v>4.7</v>
      </c>
      <c r="P1058">
        <f>VLOOKUP(Table2[[#This Row],[Product_ID]],Table1[#All],8,TRUE)</f>
        <v>700</v>
      </c>
    </row>
    <row r="1059" spans="1:16" x14ac:dyDescent="0.3">
      <c r="A1059" t="s">
        <v>1501</v>
      </c>
      <c r="B1059" s="5" t="s">
        <v>463</v>
      </c>
      <c r="C1059" s="3" t="str">
        <f t="shared" si="16"/>
        <v>10-05-2024</v>
      </c>
      <c r="D1059" t="s">
        <v>80</v>
      </c>
      <c r="E1059" t="s">
        <v>1297</v>
      </c>
      <c r="F1059" t="s">
        <v>98</v>
      </c>
      <c r="G1059" t="s">
        <v>53</v>
      </c>
      <c r="H1059" t="s">
        <v>77</v>
      </c>
      <c r="I1059">
        <v>3</v>
      </c>
      <c r="J1059">
        <v>9303</v>
      </c>
      <c r="K1059" s="7">
        <v>0.2</v>
      </c>
      <c r="L1059" t="s">
        <v>58</v>
      </c>
      <c r="M1059" t="s">
        <v>39</v>
      </c>
      <c r="N1059" t="s">
        <v>23</v>
      </c>
      <c r="O1059">
        <v>4.2</v>
      </c>
      <c r="P1059">
        <f>VLOOKUP(Table2[[#This Row],[Product_ID]],Table1[#All],8,TRUE)</f>
        <v>1200</v>
      </c>
    </row>
    <row r="1060" spans="1:16" x14ac:dyDescent="0.3">
      <c r="A1060" t="s">
        <v>2081</v>
      </c>
      <c r="B1060" s="5" t="s">
        <v>2082</v>
      </c>
      <c r="C1060" s="3" t="str">
        <f t="shared" si="16"/>
        <v>22-12-2023</v>
      </c>
      <c r="D1060" t="s">
        <v>127</v>
      </c>
      <c r="E1060" t="s">
        <v>620</v>
      </c>
      <c r="F1060" t="s">
        <v>98</v>
      </c>
      <c r="G1060" t="s">
        <v>19</v>
      </c>
      <c r="H1060" t="s">
        <v>20</v>
      </c>
      <c r="I1060">
        <v>4</v>
      </c>
      <c r="J1060">
        <v>7449</v>
      </c>
      <c r="K1060" s="7">
        <v>0.2</v>
      </c>
      <c r="L1060" t="s">
        <v>21</v>
      </c>
      <c r="M1060" t="s">
        <v>22</v>
      </c>
      <c r="N1060" t="s">
        <v>32</v>
      </c>
      <c r="O1060">
        <v>4.2</v>
      </c>
      <c r="P1060">
        <f>VLOOKUP(Table2[[#This Row],[Product_ID]],Table1[#All],8,TRUE)</f>
        <v>900</v>
      </c>
    </row>
    <row r="1061" spans="1:16" x14ac:dyDescent="0.3">
      <c r="A1061" t="s">
        <v>2083</v>
      </c>
      <c r="B1061" s="5" t="s">
        <v>2084</v>
      </c>
      <c r="C1061" s="3" t="str">
        <f t="shared" si="16"/>
        <v>16-01-2023</v>
      </c>
      <c r="D1061" t="s">
        <v>67</v>
      </c>
      <c r="E1061" t="s">
        <v>557</v>
      </c>
      <c r="F1061" t="s">
        <v>28</v>
      </c>
      <c r="G1061" t="s">
        <v>37</v>
      </c>
      <c r="H1061" t="s">
        <v>99</v>
      </c>
      <c r="I1061">
        <v>1</v>
      </c>
      <c r="J1061">
        <v>8234</v>
      </c>
      <c r="K1061" s="7">
        <v>0.1</v>
      </c>
      <c r="L1061" t="s">
        <v>58</v>
      </c>
      <c r="M1061" t="s">
        <v>39</v>
      </c>
      <c r="N1061" t="s">
        <v>59</v>
      </c>
      <c r="P1061">
        <f>VLOOKUP(Table2[[#This Row],[Product_ID]],Table1[#All],8,TRUE)</f>
        <v>1500</v>
      </c>
    </row>
    <row r="1062" spans="1:16" x14ac:dyDescent="0.3">
      <c r="A1062" t="s">
        <v>2085</v>
      </c>
      <c r="B1062" s="5" t="s">
        <v>2086</v>
      </c>
      <c r="C1062" s="3" t="str">
        <f t="shared" si="16"/>
        <v>12-06-2024</v>
      </c>
      <c r="D1062" t="s">
        <v>51</v>
      </c>
      <c r="E1062" t="s">
        <v>300</v>
      </c>
      <c r="F1062" t="s">
        <v>43</v>
      </c>
      <c r="G1062" t="s">
        <v>29</v>
      </c>
      <c r="H1062" t="s">
        <v>77</v>
      </c>
      <c r="I1062">
        <v>5</v>
      </c>
      <c r="J1062">
        <v>4982</v>
      </c>
      <c r="K1062" s="7">
        <v>0</v>
      </c>
      <c r="L1062" t="s">
        <v>31</v>
      </c>
      <c r="M1062" t="s">
        <v>39</v>
      </c>
      <c r="N1062" t="s">
        <v>48</v>
      </c>
      <c r="P1062">
        <f>VLOOKUP(Table2[[#This Row],[Product_ID]],Table1[#All],8,TRUE)</f>
        <v>500</v>
      </c>
    </row>
    <row r="1063" spans="1:16" x14ac:dyDescent="0.3">
      <c r="A1063" t="s">
        <v>2087</v>
      </c>
      <c r="B1063" s="5" t="s">
        <v>2088</v>
      </c>
      <c r="C1063" s="3" t="str">
        <f t="shared" si="16"/>
        <v>12-03-2024</v>
      </c>
      <c r="D1063" t="s">
        <v>114</v>
      </c>
      <c r="E1063" t="s">
        <v>351</v>
      </c>
      <c r="F1063" t="s">
        <v>64</v>
      </c>
      <c r="G1063" t="s">
        <v>19</v>
      </c>
      <c r="H1063" t="s">
        <v>20</v>
      </c>
      <c r="I1063">
        <v>1</v>
      </c>
      <c r="J1063">
        <v>3319</v>
      </c>
      <c r="K1063" s="7">
        <v>0</v>
      </c>
      <c r="L1063" t="s">
        <v>58</v>
      </c>
      <c r="M1063" t="s">
        <v>39</v>
      </c>
      <c r="N1063" t="s">
        <v>23</v>
      </c>
      <c r="O1063">
        <v>3.4</v>
      </c>
      <c r="P1063">
        <f>VLOOKUP(Table2[[#This Row],[Product_ID]],Table1[#All],8,TRUE)</f>
        <v>900</v>
      </c>
    </row>
    <row r="1064" spans="1:16" x14ac:dyDescent="0.3">
      <c r="A1064" t="s">
        <v>179</v>
      </c>
      <c r="B1064" s="5" t="s">
        <v>2089</v>
      </c>
      <c r="C1064" s="3" t="str">
        <f t="shared" si="16"/>
        <v>20-12-2024</v>
      </c>
      <c r="D1064" t="s">
        <v>26</v>
      </c>
      <c r="E1064" t="s">
        <v>1493</v>
      </c>
      <c r="F1064" t="s">
        <v>64</v>
      </c>
      <c r="G1064" t="s">
        <v>37</v>
      </c>
      <c r="H1064" t="s">
        <v>99</v>
      </c>
      <c r="I1064">
        <v>5</v>
      </c>
      <c r="J1064">
        <v>9742</v>
      </c>
      <c r="K1064" s="7">
        <v>0</v>
      </c>
      <c r="L1064" t="s">
        <v>38</v>
      </c>
      <c r="M1064" t="s">
        <v>22</v>
      </c>
      <c r="N1064" t="s">
        <v>23</v>
      </c>
      <c r="O1064">
        <v>3</v>
      </c>
      <c r="P1064">
        <f>VLOOKUP(Table2[[#This Row],[Product_ID]],Table1[#All],8,TRUE)</f>
        <v>700</v>
      </c>
    </row>
    <row r="1065" spans="1:16" x14ac:dyDescent="0.3">
      <c r="A1065" t="s">
        <v>2090</v>
      </c>
      <c r="B1065" s="5" t="s">
        <v>2091</v>
      </c>
      <c r="C1065" s="3" t="str">
        <f t="shared" si="16"/>
        <v>09-02-2024</v>
      </c>
      <c r="D1065" t="s">
        <v>35</v>
      </c>
      <c r="E1065" t="s">
        <v>1215</v>
      </c>
      <c r="F1065" t="s">
        <v>57</v>
      </c>
      <c r="G1065" t="s">
        <v>53</v>
      </c>
      <c r="H1065" t="s">
        <v>30</v>
      </c>
      <c r="I1065">
        <v>1</v>
      </c>
      <c r="J1065">
        <v>4171</v>
      </c>
      <c r="K1065" s="7">
        <v>0</v>
      </c>
      <c r="L1065" t="s">
        <v>21</v>
      </c>
      <c r="M1065" t="s">
        <v>22</v>
      </c>
      <c r="N1065" t="s">
        <v>32</v>
      </c>
      <c r="O1065">
        <v>5</v>
      </c>
      <c r="P1065">
        <f>VLOOKUP(Table2[[#This Row],[Product_ID]],Table1[#All],8,TRUE)</f>
        <v>700</v>
      </c>
    </row>
    <row r="1066" spans="1:16" x14ac:dyDescent="0.3">
      <c r="A1066" t="s">
        <v>2092</v>
      </c>
      <c r="B1066" s="5" t="s">
        <v>2093</v>
      </c>
      <c r="C1066" s="3" t="str">
        <f t="shared" si="16"/>
        <v>14-08-2024</v>
      </c>
      <c r="D1066" t="s">
        <v>16</v>
      </c>
      <c r="E1066" t="s">
        <v>1174</v>
      </c>
      <c r="F1066" t="s">
        <v>18</v>
      </c>
      <c r="G1066" t="s">
        <v>37</v>
      </c>
      <c r="H1066" t="s">
        <v>99</v>
      </c>
      <c r="I1066">
        <v>5</v>
      </c>
      <c r="J1066">
        <v>8420</v>
      </c>
      <c r="K1066" s="7">
        <v>0.15</v>
      </c>
      <c r="L1066" t="s">
        <v>31</v>
      </c>
      <c r="M1066" t="s">
        <v>22</v>
      </c>
      <c r="N1066" t="s">
        <v>23</v>
      </c>
      <c r="P1066">
        <f>VLOOKUP(Table2[[#This Row],[Product_ID]],Table1[#All],8,TRUE)</f>
        <v>900</v>
      </c>
    </row>
    <row r="1067" spans="1:16" x14ac:dyDescent="0.3">
      <c r="A1067" t="s">
        <v>2094</v>
      </c>
      <c r="B1067" s="5" t="s">
        <v>2095</v>
      </c>
      <c r="C1067" s="3" t="str">
        <f t="shared" si="16"/>
        <v>11-10-2023</v>
      </c>
      <c r="D1067" t="s">
        <v>16</v>
      </c>
      <c r="E1067" t="s">
        <v>440</v>
      </c>
      <c r="F1067" t="s">
        <v>98</v>
      </c>
      <c r="G1067" t="s">
        <v>29</v>
      </c>
      <c r="H1067" t="s">
        <v>30</v>
      </c>
      <c r="I1067">
        <v>5</v>
      </c>
      <c r="J1067">
        <v>2295</v>
      </c>
      <c r="K1067" s="7">
        <v>0</v>
      </c>
      <c r="L1067" t="s">
        <v>31</v>
      </c>
      <c r="M1067" t="s">
        <v>22</v>
      </c>
      <c r="N1067" t="s">
        <v>48</v>
      </c>
      <c r="P1067">
        <f>VLOOKUP(Table2[[#This Row],[Product_ID]],Table1[#All],8,TRUE)</f>
        <v>700</v>
      </c>
    </row>
    <row r="1068" spans="1:16" x14ac:dyDescent="0.3">
      <c r="A1068" t="s">
        <v>2096</v>
      </c>
      <c r="B1068" s="5" t="s">
        <v>402</v>
      </c>
      <c r="C1068" s="3" t="str">
        <f t="shared" si="16"/>
        <v>27-08-2023</v>
      </c>
      <c r="D1068" t="s">
        <v>46</v>
      </c>
      <c r="E1068" t="s">
        <v>17</v>
      </c>
      <c r="F1068" t="s">
        <v>73</v>
      </c>
      <c r="G1068" t="s">
        <v>29</v>
      </c>
      <c r="H1068" t="s">
        <v>30</v>
      </c>
      <c r="I1068">
        <v>5</v>
      </c>
      <c r="J1068">
        <v>6753</v>
      </c>
      <c r="K1068" s="7">
        <v>0.2</v>
      </c>
      <c r="L1068" t="s">
        <v>21</v>
      </c>
      <c r="M1068" t="s">
        <v>39</v>
      </c>
      <c r="N1068" t="s">
        <v>59</v>
      </c>
      <c r="O1068">
        <v>3.4</v>
      </c>
      <c r="P1068">
        <f>VLOOKUP(Table2[[#This Row],[Product_ID]],Table1[#All],8,TRUE)</f>
        <v>700</v>
      </c>
    </row>
    <row r="1069" spans="1:16" x14ac:dyDescent="0.3">
      <c r="A1069" t="s">
        <v>2019</v>
      </c>
      <c r="B1069" s="5" t="s">
        <v>451</v>
      </c>
      <c r="C1069" s="3" t="str">
        <f t="shared" si="16"/>
        <v>11-12-2023</v>
      </c>
      <c r="D1069" t="s">
        <v>71</v>
      </c>
      <c r="E1069" t="s">
        <v>1108</v>
      </c>
      <c r="F1069" t="s">
        <v>28</v>
      </c>
      <c r="G1069" t="s">
        <v>53</v>
      </c>
      <c r="H1069" t="s">
        <v>20</v>
      </c>
      <c r="I1069">
        <v>5</v>
      </c>
      <c r="J1069">
        <v>3746</v>
      </c>
      <c r="K1069" s="7">
        <v>0.2</v>
      </c>
      <c r="L1069" t="s">
        <v>38</v>
      </c>
      <c r="M1069" t="s">
        <v>39</v>
      </c>
      <c r="N1069" t="s">
        <v>59</v>
      </c>
      <c r="P1069">
        <f>VLOOKUP(Table2[[#This Row],[Product_ID]],Table1[#All],8,TRUE)</f>
        <v>700</v>
      </c>
    </row>
    <row r="1070" spans="1:16" x14ac:dyDescent="0.3">
      <c r="A1070" t="s">
        <v>2019</v>
      </c>
      <c r="B1070" s="5" t="s">
        <v>2097</v>
      </c>
      <c r="C1070" s="3" t="str">
        <f t="shared" si="16"/>
        <v>22-08-2023</v>
      </c>
      <c r="D1070" t="s">
        <v>35</v>
      </c>
      <c r="E1070" t="s">
        <v>486</v>
      </c>
      <c r="F1070" t="s">
        <v>73</v>
      </c>
      <c r="G1070" t="s">
        <v>37</v>
      </c>
      <c r="H1070" t="s">
        <v>30</v>
      </c>
      <c r="I1070">
        <v>2</v>
      </c>
      <c r="J1070">
        <v>4830</v>
      </c>
      <c r="K1070" s="7">
        <v>0</v>
      </c>
      <c r="L1070" t="s">
        <v>58</v>
      </c>
      <c r="M1070" t="s">
        <v>39</v>
      </c>
      <c r="N1070" t="s">
        <v>59</v>
      </c>
      <c r="P1070">
        <f>VLOOKUP(Table2[[#This Row],[Product_ID]],Table1[#All],8,TRUE)</f>
        <v>500</v>
      </c>
    </row>
    <row r="1071" spans="1:16" x14ac:dyDescent="0.3">
      <c r="A1071" t="s">
        <v>2098</v>
      </c>
      <c r="B1071" s="5" t="s">
        <v>2099</v>
      </c>
      <c r="C1071" s="3" t="str">
        <f t="shared" si="16"/>
        <v>02-11-2024</v>
      </c>
      <c r="D1071" t="s">
        <v>91</v>
      </c>
      <c r="E1071" t="s">
        <v>437</v>
      </c>
      <c r="F1071" t="s">
        <v>57</v>
      </c>
      <c r="G1071" t="s">
        <v>53</v>
      </c>
      <c r="H1071" t="s">
        <v>30</v>
      </c>
      <c r="I1071">
        <v>3</v>
      </c>
      <c r="J1071">
        <v>3722</v>
      </c>
      <c r="K1071" s="7">
        <v>0.05</v>
      </c>
      <c r="L1071" t="s">
        <v>58</v>
      </c>
      <c r="M1071" t="s">
        <v>22</v>
      </c>
      <c r="N1071" t="s">
        <v>48</v>
      </c>
      <c r="P1071">
        <f>VLOOKUP(Table2[[#This Row],[Product_ID]],Table1[#All],8,TRUE)</f>
        <v>0</v>
      </c>
    </row>
    <row r="1072" spans="1:16" x14ac:dyDescent="0.3">
      <c r="A1072" t="s">
        <v>2100</v>
      </c>
      <c r="B1072" s="5" t="s">
        <v>2101</v>
      </c>
      <c r="C1072" s="3" t="str">
        <f t="shared" si="16"/>
        <v>07-02-2023</v>
      </c>
      <c r="D1072" t="s">
        <v>96</v>
      </c>
      <c r="E1072" t="s">
        <v>160</v>
      </c>
      <c r="F1072" t="s">
        <v>57</v>
      </c>
      <c r="G1072" t="s">
        <v>19</v>
      </c>
      <c r="H1072" t="s">
        <v>77</v>
      </c>
      <c r="I1072">
        <v>2</v>
      </c>
      <c r="J1072">
        <v>1134</v>
      </c>
      <c r="K1072" s="7">
        <v>0.05</v>
      </c>
      <c r="L1072" t="s">
        <v>38</v>
      </c>
      <c r="M1072" t="s">
        <v>22</v>
      </c>
      <c r="N1072" t="s">
        <v>32</v>
      </c>
      <c r="P1072">
        <f>VLOOKUP(Table2[[#This Row],[Product_ID]],Table1[#All],8,TRUE)</f>
        <v>1200</v>
      </c>
    </row>
    <row r="1073" spans="1:16" x14ac:dyDescent="0.3">
      <c r="A1073" t="s">
        <v>2102</v>
      </c>
      <c r="B1073" s="5" t="s">
        <v>2103</v>
      </c>
      <c r="C1073" s="3" t="str">
        <f t="shared" si="16"/>
        <v>08-09-2023</v>
      </c>
      <c r="D1073" t="s">
        <v>51</v>
      </c>
      <c r="E1073" t="s">
        <v>348</v>
      </c>
      <c r="F1073" t="s">
        <v>73</v>
      </c>
      <c r="G1073" t="s">
        <v>29</v>
      </c>
      <c r="H1073" t="s">
        <v>30</v>
      </c>
      <c r="I1073">
        <v>5</v>
      </c>
      <c r="J1073">
        <v>4965</v>
      </c>
      <c r="K1073" s="7">
        <v>0</v>
      </c>
      <c r="L1073" t="s">
        <v>31</v>
      </c>
      <c r="M1073" t="s">
        <v>39</v>
      </c>
      <c r="N1073" t="s">
        <v>32</v>
      </c>
      <c r="O1073">
        <v>4.5999999999999996</v>
      </c>
      <c r="P1073">
        <f>VLOOKUP(Table2[[#This Row],[Product_ID]],Table1[#All],8,TRUE)</f>
        <v>900</v>
      </c>
    </row>
    <row r="1074" spans="1:16" x14ac:dyDescent="0.3">
      <c r="A1074" t="s">
        <v>641</v>
      </c>
      <c r="B1074" s="5" t="s">
        <v>509</v>
      </c>
      <c r="C1074" s="3" t="str">
        <f t="shared" si="16"/>
        <v>18-01-2024</v>
      </c>
      <c r="D1074" t="s">
        <v>131</v>
      </c>
      <c r="E1074" t="s">
        <v>76</v>
      </c>
      <c r="F1074" t="s">
        <v>18</v>
      </c>
      <c r="G1074" t="s">
        <v>53</v>
      </c>
      <c r="H1074" t="s">
        <v>20</v>
      </c>
      <c r="I1074">
        <v>4</v>
      </c>
      <c r="J1074">
        <v>4632</v>
      </c>
      <c r="K1074" s="7">
        <v>0</v>
      </c>
      <c r="L1074" t="s">
        <v>58</v>
      </c>
      <c r="M1074" t="s">
        <v>22</v>
      </c>
      <c r="N1074" t="s">
        <v>59</v>
      </c>
      <c r="O1074">
        <v>3</v>
      </c>
      <c r="P1074">
        <f>VLOOKUP(Table2[[#This Row],[Product_ID]],Table1[#All],8,TRUE)</f>
        <v>1500</v>
      </c>
    </row>
    <row r="1075" spans="1:16" x14ac:dyDescent="0.3">
      <c r="A1075" t="s">
        <v>1584</v>
      </c>
      <c r="B1075" s="5" t="s">
        <v>2104</v>
      </c>
      <c r="C1075" s="3" t="str">
        <f t="shared" si="16"/>
        <v>07-05-2024</v>
      </c>
      <c r="D1075" t="s">
        <v>84</v>
      </c>
      <c r="E1075" t="s">
        <v>269</v>
      </c>
      <c r="F1075" t="s">
        <v>57</v>
      </c>
      <c r="G1075" t="s">
        <v>29</v>
      </c>
      <c r="H1075" t="s">
        <v>30</v>
      </c>
      <c r="I1075">
        <v>5</v>
      </c>
      <c r="J1075">
        <v>4209</v>
      </c>
      <c r="K1075" s="7">
        <v>0.05</v>
      </c>
      <c r="L1075" t="s">
        <v>38</v>
      </c>
      <c r="M1075" t="s">
        <v>22</v>
      </c>
      <c r="N1075" t="s">
        <v>32</v>
      </c>
      <c r="O1075">
        <v>4.7</v>
      </c>
      <c r="P1075">
        <f>VLOOKUP(Table2[[#This Row],[Product_ID]],Table1[#All],8,TRUE)</f>
        <v>0</v>
      </c>
    </row>
    <row r="1076" spans="1:16" x14ac:dyDescent="0.3">
      <c r="A1076" t="s">
        <v>2105</v>
      </c>
      <c r="B1076" s="5" t="s">
        <v>1370</v>
      </c>
      <c r="C1076" s="3" t="str">
        <f t="shared" si="16"/>
        <v>30-03-2024</v>
      </c>
      <c r="D1076" t="s">
        <v>91</v>
      </c>
      <c r="E1076" t="s">
        <v>647</v>
      </c>
      <c r="F1076" t="s">
        <v>18</v>
      </c>
      <c r="G1076" t="s">
        <v>53</v>
      </c>
      <c r="H1076" t="s">
        <v>20</v>
      </c>
      <c r="I1076">
        <v>1</v>
      </c>
      <c r="J1076">
        <v>6975</v>
      </c>
      <c r="K1076" s="7">
        <v>0.15</v>
      </c>
      <c r="L1076" t="s">
        <v>58</v>
      </c>
      <c r="M1076" t="s">
        <v>22</v>
      </c>
      <c r="N1076" t="s">
        <v>23</v>
      </c>
      <c r="P1076">
        <f>VLOOKUP(Table2[[#This Row],[Product_ID]],Table1[#All],8,TRUE)</f>
        <v>700</v>
      </c>
    </row>
    <row r="1077" spans="1:16" x14ac:dyDescent="0.3">
      <c r="A1077" t="s">
        <v>1717</v>
      </c>
      <c r="B1077" s="5" t="s">
        <v>2106</v>
      </c>
      <c r="C1077" s="3" t="str">
        <f t="shared" si="16"/>
        <v>05-04-2023</v>
      </c>
      <c r="D1077" t="s">
        <v>127</v>
      </c>
      <c r="E1077" t="s">
        <v>1009</v>
      </c>
      <c r="F1077" t="s">
        <v>64</v>
      </c>
      <c r="G1077" t="s">
        <v>29</v>
      </c>
      <c r="H1077" t="s">
        <v>99</v>
      </c>
      <c r="I1077">
        <v>1</v>
      </c>
      <c r="J1077">
        <v>7502</v>
      </c>
      <c r="K1077" s="7">
        <v>0.1</v>
      </c>
      <c r="L1077" t="s">
        <v>38</v>
      </c>
      <c r="M1077" t="s">
        <v>39</v>
      </c>
      <c r="N1077" t="s">
        <v>23</v>
      </c>
      <c r="P1077">
        <f>VLOOKUP(Table2[[#This Row],[Product_ID]],Table1[#All],8,TRUE)</f>
        <v>500</v>
      </c>
    </row>
    <row r="1078" spans="1:16" x14ac:dyDescent="0.3">
      <c r="A1078" t="s">
        <v>2107</v>
      </c>
      <c r="B1078" s="5" t="s">
        <v>2108</v>
      </c>
      <c r="C1078" s="3" t="str">
        <f t="shared" si="16"/>
        <v>01-03-2023</v>
      </c>
      <c r="D1078" t="s">
        <v>26</v>
      </c>
      <c r="E1078" t="s">
        <v>1608</v>
      </c>
      <c r="F1078" t="s">
        <v>28</v>
      </c>
      <c r="G1078" t="s">
        <v>37</v>
      </c>
      <c r="H1078" t="s">
        <v>77</v>
      </c>
      <c r="I1078">
        <v>2</v>
      </c>
      <c r="J1078">
        <v>5262</v>
      </c>
      <c r="K1078" s="7">
        <v>0.1</v>
      </c>
      <c r="L1078" t="s">
        <v>31</v>
      </c>
      <c r="M1078" t="s">
        <v>39</v>
      </c>
      <c r="N1078" t="s">
        <v>32</v>
      </c>
      <c r="O1078">
        <v>4.4000000000000004</v>
      </c>
      <c r="P1078">
        <f>VLOOKUP(Table2[[#This Row],[Product_ID]],Table1[#All],8,TRUE)</f>
        <v>0</v>
      </c>
    </row>
    <row r="1079" spans="1:16" x14ac:dyDescent="0.3">
      <c r="A1079" t="s">
        <v>2109</v>
      </c>
      <c r="B1079" s="5" t="s">
        <v>2110</v>
      </c>
      <c r="C1079" s="3" t="str">
        <f t="shared" si="16"/>
        <v>28-07-2024</v>
      </c>
      <c r="D1079" t="s">
        <v>114</v>
      </c>
      <c r="E1079" t="s">
        <v>1220</v>
      </c>
      <c r="F1079" t="s">
        <v>28</v>
      </c>
      <c r="G1079" t="s">
        <v>29</v>
      </c>
      <c r="H1079" t="s">
        <v>20</v>
      </c>
      <c r="I1079">
        <v>5</v>
      </c>
      <c r="J1079">
        <v>8725</v>
      </c>
      <c r="K1079" s="7">
        <v>0.2</v>
      </c>
      <c r="L1079" t="s">
        <v>31</v>
      </c>
      <c r="M1079" t="s">
        <v>39</v>
      </c>
      <c r="N1079" t="s">
        <v>32</v>
      </c>
      <c r="O1079">
        <v>4.7</v>
      </c>
      <c r="P1079">
        <f>VLOOKUP(Table2[[#This Row],[Product_ID]],Table1[#All],8,TRUE)</f>
        <v>0</v>
      </c>
    </row>
    <row r="1080" spans="1:16" x14ac:dyDescent="0.3">
      <c r="A1080" t="s">
        <v>2111</v>
      </c>
      <c r="B1080" s="5" t="s">
        <v>2112</v>
      </c>
      <c r="C1080" s="3" t="str">
        <f t="shared" si="16"/>
        <v>11-01-2023</v>
      </c>
      <c r="D1080" t="s">
        <v>131</v>
      </c>
      <c r="E1080" t="s">
        <v>348</v>
      </c>
      <c r="F1080" t="s">
        <v>18</v>
      </c>
      <c r="G1080" t="s">
        <v>29</v>
      </c>
      <c r="H1080" t="s">
        <v>20</v>
      </c>
      <c r="I1080">
        <v>3</v>
      </c>
      <c r="J1080">
        <v>8808</v>
      </c>
      <c r="K1080" s="7">
        <v>0.05</v>
      </c>
      <c r="L1080" t="s">
        <v>31</v>
      </c>
      <c r="M1080" t="s">
        <v>22</v>
      </c>
      <c r="N1080" t="s">
        <v>32</v>
      </c>
      <c r="P1080">
        <f>VLOOKUP(Table2[[#This Row],[Product_ID]],Table1[#All],8,TRUE)</f>
        <v>900</v>
      </c>
    </row>
    <row r="1081" spans="1:16" x14ac:dyDescent="0.3">
      <c r="A1081" t="s">
        <v>1640</v>
      </c>
      <c r="B1081" s="5" t="s">
        <v>2113</v>
      </c>
      <c r="C1081" s="3" t="str">
        <f t="shared" si="16"/>
        <v>11-04-2024</v>
      </c>
      <c r="D1081" t="s">
        <v>96</v>
      </c>
      <c r="E1081" t="s">
        <v>400</v>
      </c>
      <c r="F1081" t="s">
        <v>18</v>
      </c>
      <c r="G1081" t="s">
        <v>53</v>
      </c>
      <c r="H1081" t="s">
        <v>20</v>
      </c>
      <c r="I1081">
        <v>1</v>
      </c>
      <c r="J1081">
        <v>7552</v>
      </c>
      <c r="K1081" s="7">
        <v>0.05</v>
      </c>
      <c r="L1081" t="s">
        <v>31</v>
      </c>
      <c r="M1081" t="s">
        <v>39</v>
      </c>
      <c r="N1081" t="s">
        <v>59</v>
      </c>
      <c r="O1081">
        <v>3.3</v>
      </c>
      <c r="P1081">
        <f>VLOOKUP(Table2[[#This Row],[Product_ID]],Table1[#All],8,TRUE)</f>
        <v>700</v>
      </c>
    </row>
    <row r="1082" spans="1:16" x14ac:dyDescent="0.3">
      <c r="A1082" t="s">
        <v>2114</v>
      </c>
      <c r="B1082" s="5" t="s">
        <v>642</v>
      </c>
      <c r="C1082" s="3" t="str">
        <f t="shared" si="16"/>
        <v>10-04-2024</v>
      </c>
      <c r="D1082" t="s">
        <v>62</v>
      </c>
      <c r="E1082" t="s">
        <v>259</v>
      </c>
      <c r="F1082" t="s">
        <v>57</v>
      </c>
      <c r="G1082" t="s">
        <v>19</v>
      </c>
      <c r="H1082" t="s">
        <v>77</v>
      </c>
      <c r="I1082">
        <v>1</v>
      </c>
      <c r="J1082">
        <v>3021</v>
      </c>
      <c r="K1082" s="7">
        <v>0.15</v>
      </c>
      <c r="L1082" t="s">
        <v>58</v>
      </c>
      <c r="M1082" t="s">
        <v>22</v>
      </c>
      <c r="N1082" t="s">
        <v>48</v>
      </c>
      <c r="O1082">
        <v>4</v>
      </c>
      <c r="P1082">
        <f>VLOOKUP(Table2[[#This Row],[Product_ID]],Table1[#All],8,TRUE)</f>
        <v>0</v>
      </c>
    </row>
    <row r="1083" spans="1:16" x14ac:dyDescent="0.3">
      <c r="A1083" t="s">
        <v>2115</v>
      </c>
      <c r="B1083" s="5" t="s">
        <v>1736</v>
      </c>
      <c r="C1083" s="3" t="str">
        <f t="shared" si="16"/>
        <v>18-07-2023</v>
      </c>
      <c r="D1083" t="s">
        <v>91</v>
      </c>
      <c r="E1083" t="s">
        <v>368</v>
      </c>
      <c r="F1083" t="s">
        <v>28</v>
      </c>
      <c r="G1083" t="s">
        <v>53</v>
      </c>
      <c r="H1083" t="s">
        <v>20</v>
      </c>
      <c r="I1083">
        <v>5</v>
      </c>
      <c r="J1083">
        <v>3714</v>
      </c>
      <c r="K1083" s="7">
        <v>0.2</v>
      </c>
      <c r="L1083" t="s">
        <v>31</v>
      </c>
      <c r="M1083" t="s">
        <v>39</v>
      </c>
      <c r="N1083" t="s">
        <v>23</v>
      </c>
      <c r="P1083">
        <f>VLOOKUP(Table2[[#This Row],[Product_ID]],Table1[#All],8,TRUE)</f>
        <v>1500</v>
      </c>
    </row>
    <row r="1084" spans="1:16" x14ac:dyDescent="0.3">
      <c r="A1084" t="s">
        <v>2116</v>
      </c>
      <c r="B1084" s="5" t="s">
        <v>2117</v>
      </c>
      <c r="C1084" s="3" t="str">
        <f t="shared" si="16"/>
        <v>17-01-2023</v>
      </c>
      <c r="D1084" t="s">
        <v>46</v>
      </c>
      <c r="E1084" t="s">
        <v>1882</v>
      </c>
      <c r="F1084" t="s">
        <v>98</v>
      </c>
      <c r="G1084" t="s">
        <v>29</v>
      </c>
      <c r="H1084" t="s">
        <v>99</v>
      </c>
      <c r="I1084">
        <v>2</v>
      </c>
      <c r="J1084">
        <v>5196</v>
      </c>
      <c r="K1084" s="7">
        <v>0.1</v>
      </c>
      <c r="L1084" t="s">
        <v>31</v>
      </c>
      <c r="M1084" t="s">
        <v>39</v>
      </c>
      <c r="N1084" t="s">
        <v>48</v>
      </c>
      <c r="O1084">
        <v>4.4000000000000004</v>
      </c>
      <c r="P1084">
        <f>VLOOKUP(Table2[[#This Row],[Product_ID]],Table1[#All],8,TRUE)</f>
        <v>1500</v>
      </c>
    </row>
    <row r="1085" spans="1:16" x14ac:dyDescent="0.3">
      <c r="A1085" t="s">
        <v>2118</v>
      </c>
      <c r="B1085" s="5" t="s">
        <v>2119</v>
      </c>
      <c r="C1085" s="3" t="str">
        <f t="shared" si="16"/>
        <v>07-11-2024</v>
      </c>
      <c r="D1085" t="s">
        <v>16</v>
      </c>
      <c r="E1085" t="s">
        <v>869</v>
      </c>
      <c r="F1085" t="s">
        <v>64</v>
      </c>
      <c r="G1085" t="s">
        <v>19</v>
      </c>
      <c r="H1085" t="s">
        <v>30</v>
      </c>
      <c r="I1085">
        <v>1</v>
      </c>
      <c r="J1085">
        <v>7595</v>
      </c>
      <c r="K1085" s="7">
        <v>0</v>
      </c>
      <c r="L1085" t="s">
        <v>21</v>
      </c>
      <c r="M1085" t="s">
        <v>22</v>
      </c>
      <c r="N1085" t="s">
        <v>59</v>
      </c>
      <c r="O1085">
        <v>3.1</v>
      </c>
      <c r="P1085">
        <f>VLOOKUP(Table2[[#This Row],[Product_ID]],Table1[#All],8,TRUE)</f>
        <v>900</v>
      </c>
    </row>
    <row r="1086" spans="1:16" x14ac:dyDescent="0.3">
      <c r="A1086" t="s">
        <v>2120</v>
      </c>
      <c r="B1086" s="5" t="s">
        <v>2121</v>
      </c>
      <c r="C1086" s="3" t="str">
        <f t="shared" si="16"/>
        <v>26-03-2024</v>
      </c>
      <c r="D1086" t="s">
        <v>46</v>
      </c>
      <c r="E1086" t="s">
        <v>1393</v>
      </c>
      <c r="F1086" t="s">
        <v>57</v>
      </c>
      <c r="G1086" t="s">
        <v>53</v>
      </c>
      <c r="H1086" t="s">
        <v>99</v>
      </c>
      <c r="I1086">
        <v>2</v>
      </c>
      <c r="J1086">
        <v>3918</v>
      </c>
      <c r="K1086" s="7">
        <v>0.15</v>
      </c>
      <c r="L1086" t="s">
        <v>58</v>
      </c>
      <c r="M1086" t="s">
        <v>22</v>
      </c>
      <c r="N1086" t="s">
        <v>59</v>
      </c>
      <c r="O1086">
        <v>3.2</v>
      </c>
      <c r="P1086">
        <f>VLOOKUP(Table2[[#This Row],[Product_ID]],Table1[#All],8,TRUE)</f>
        <v>700</v>
      </c>
    </row>
    <row r="1087" spans="1:16" x14ac:dyDescent="0.3">
      <c r="A1087" t="s">
        <v>2122</v>
      </c>
      <c r="B1087" s="5" t="s">
        <v>596</v>
      </c>
      <c r="C1087" s="3" t="str">
        <f t="shared" si="16"/>
        <v>29-09-2024</v>
      </c>
      <c r="D1087" t="s">
        <v>35</v>
      </c>
      <c r="E1087" t="s">
        <v>250</v>
      </c>
      <c r="F1087" t="s">
        <v>57</v>
      </c>
      <c r="G1087" t="s">
        <v>19</v>
      </c>
      <c r="H1087" t="s">
        <v>30</v>
      </c>
      <c r="I1087">
        <v>4</v>
      </c>
      <c r="J1087">
        <v>4003</v>
      </c>
      <c r="K1087" s="7">
        <v>0.05</v>
      </c>
      <c r="L1087" t="s">
        <v>21</v>
      </c>
      <c r="M1087" t="s">
        <v>39</v>
      </c>
      <c r="N1087" t="s">
        <v>48</v>
      </c>
      <c r="P1087">
        <f>VLOOKUP(Table2[[#This Row],[Product_ID]],Table1[#All],8,TRUE)</f>
        <v>1200</v>
      </c>
    </row>
    <row r="1088" spans="1:16" x14ac:dyDescent="0.3">
      <c r="A1088" t="s">
        <v>2123</v>
      </c>
      <c r="B1088" s="5" t="s">
        <v>2124</v>
      </c>
      <c r="C1088" s="3" t="str">
        <f t="shared" si="16"/>
        <v>06-11-2023</v>
      </c>
      <c r="D1088" t="s">
        <v>114</v>
      </c>
      <c r="E1088" t="s">
        <v>384</v>
      </c>
      <c r="F1088" t="s">
        <v>18</v>
      </c>
      <c r="G1088" t="s">
        <v>37</v>
      </c>
      <c r="H1088" t="s">
        <v>30</v>
      </c>
      <c r="I1088">
        <v>2</v>
      </c>
      <c r="J1088">
        <v>3972</v>
      </c>
      <c r="K1088" s="7">
        <v>0.1</v>
      </c>
      <c r="L1088" t="s">
        <v>31</v>
      </c>
      <c r="M1088" t="s">
        <v>22</v>
      </c>
      <c r="N1088" t="s">
        <v>59</v>
      </c>
      <c r="O1088">
        <v>4</v>
      </c>
      <c r="P1088">
        <f>VLOOKUP(Table2[[#This Row],[Product_ID]],Table1[#All],8,TRUE)</f>
        <v>1500</v>
      </c>
    </row>
    <row r="1089" spans="1:16" x14ac:dyDescent="0.3">
      <c r="A1089" t="s">
        <v>1837</v>
      </c>
      <c r="B1089" s="5" t="s">
        <v>2125</v>
      </c>
      <c r="C1089" s="3" t="str">
        <f t="shared" si="16"/>
        <v>30-04-2024</v>
      </c>
      <c r="D1089" t="s">
        <v>84</v>
      </c>
      <c r="E1089" t="s">
        <v>281</v>
      </c>
      <c r="F1089" t="s">
        <v>98</v>
      </c>
      <c r="G1089" t="s">
        <v>19</v>
      </c>
      <c r="H1089" t="s">
        <v>99</v>
      </c>
      <c r="I1089">
        <v>1</v>
      </c>
      <c r="J1089">
        <v>8589</v>
      </c>
      <c r="K1089" s="7">
        <v>0.05</v>
      </c>
      <c r="L1089" t="s">
        <v>38</v>
      </c>
      <c r="M1089" t="s">
        <v>39</v>
      </c>
      <c r="N1089" t="s">
        <v>48</v>
      </c>
      <c r="O1089">
        <v>3.2</v>
      </c>
      <c r="P1089">
        <f>VLOOKUP(Table2[[#This Row],[Product_ID]],Table1[#All],8,TRUE)</f>
        <v>1200</v>
      </c>
    </row>
    <row r="1090" spans="1:16" x14ac:dyDescent="0.3">
      <c r="A1090" t="s">
        <v>1302</v>
      </c>
      <c r="B1090" s="5" t="s">
        <v>2126</v>
      </c>
      <c r="C1090" s="3" t="str">
        <f t="shared" ref="C1090:C1153" si="17">TEXT(B1090,"dd-mm-yyyy")</f>
        <v>12-09-2023</v>
      </c>
      <c r="D1090" t="s">
        <v>84</v>
      </c>
      <c r="E1090" t="s">
        <v>550</v>
      </c>
      <c r="F1090" t="s">
        <v>98</v>
      </c>
      <c r="G1090" t="s">
        <v>53</v>
      </c>
      <c r="H1090" t="s">
        <v>99</v>
      </c>
      <c r="I1090">
        <v>5</v>
      </c>
      <c r="J1090">
        <v>5761</v>
      </c>
      <c r="K1090" s="7">
        <v>0.15</v>
      </c>
      <c r="L1090" t="s">
        <v>38</v>
      </c>
      <c r="M1090" t="s">
        <v>22</v>
      </c>
      <c r="N1090" t="s">
        <v>23</v>
      </c>
      <c r="O1090">
        <v>3.9</v>
      </c>
      <c r="P1090">
        <f>VLOOKUP(Table2[[#This Row],[Product_ID]],Table1[#All],8,TRUE)</f>
        <v>700</v>
      </c>
    </row>
    <row r="1091" spans="1:16" x14ac:dyDescent="0.3">
      <c r="A1091" t="s">
        <v>2127</v>
      </c>
      <c r="B1091" s="5" t="s">
        <v>2128</v>
      </c>
      <c r="C1091" s="3" t="str">
        <f t="shared" si="17"/>
        <v>06-12-2023</v>
      </c>
      <c r="D1091" t="s">
        <v>67</v>
      </c>
      <c r="E1091" t="s">
        <v>237</v>
      </c>
      <c r="F1091" t="s">
        <v>64</v>
      </c>
      <c r="G1091" t="s">
        <v>53</v>
      </c>
      <c r="H1091" t="s">
        <v>77</v>
      </c>
      <c r="I1091">
        <v>2</v>
      </c>
      <c r="J1091">
        <v>6019</v>
      </c>
      <c r="K1091" s="7">
        <v>0.15</v>
      </c>
      <c r="L1091" t="s">
        <v>38</v>
      </c>
      <c r="M1091" t="s">
        <v>22</v>
      </c>
      <c r="N1091" t="s">
        <v>23</v>
      </c>
      <c r="O1091">
        <v>3.9</v>
      </c>
      <c r="P1091">
        <f>VLOOKUP(Table2[[#This Row],[Product_ID]],Table1[#All],8,TRUE)</f>
        <v>900</v>
      </c>
    </row>
    <row r="1092" spans="1:16" x14ac:dyDescent="0.3">
      <c r="A1092" t="s">
        <v>2129</v>
      </c>
      <c r="B1092" s="5" t="s">
        <v>2130</v>
      </c>
      <c r="C1092" s="3" t="str">
        <f t="shared" si="17"/>
        <v>21-10-2023</v>
      </c>
      <c r="D1092" t="s">
        <v>71</v>
      </c>
      <c r="E1092" t="s">
        <v>1549</v>
      </c>
      <c r="F1092" t="s">
        <v>57</v>
      </c>
      <c r="G1092" t="s">
        <v>37</v>
      </c>
      <c r="H1092" t="s">
        <v>99</v>
      </c>
      <c r="I1092">
        <v>2</v>
      </c>
      <c r="J1092">
        <v>2770</v>
      </c>
      <c r="K1092" s="7">
        <v>0.05</v>
      </c>
      <c r="L1092" t="s">
        <v>31</v>
      </c>
      <c r="M1092" t="s">
        <v>39</v>
      </c>
      <c r="N1092" t="s">
        <v>23</v>
      </c>
      <c r="P1092">
        <f>VLOOKUP(Table2[[#This Row],[Product_ID]],Table1[#All],8,TRUE)</f>
        <v>1200</v>
      </c>
    </row>
    <row r="1093" spans="1:16" x14ac:dyDescent="0.3">
      <c r="A1093" t="s">
        <v>1433</v>
      </c>
      <c r="B1093" s="5" t="s">
        <v>2131</v>
      </c>
      <c r="C1093" s="3" t="str">
        <f t="shared" si="17"/>
        <v>01-04-2023</v>
      </c>
      <c r="D1093" t="s">
        <v>114</v>
      </c>
      <c r="E1093" t="s">
        <v>643</v>
      </c>
      <c r="F1093" t="s">
        <v>18</v>
      </c>
      <c r="G1093" t="s">
        <v>19</v>
      </c>
      <c r="H1093" t="s">
        <v>99</v>
      </c>
      <c r="I1093">
        <v>5</v>
      </c>
      <c r="J1093">
        <v>1739</v>
      </c>
      <c r="K1093" s="7">
        <v>0</v>
      </c>
      <c r="L1093" t="s">
        <v>38</v>
      </c>
      <c r="M1093" t="s">
        <v>22</v>
      </c>
      <c r="N1093" t="s">
        <v>59</v>
      </c>
      <c r="O1093">
        <v>4.4000000000000004</v>
      </c>
      <c r="P1093">
        <f>VLOOKUP(Table2[[#This Row],[Product_ID]],Table1[#All],8,TRUE)</f>
        <v>1200</v>
      </c>
    </row>
    <row r="1094" spans="1:16" x14ac:dyDescent="0.3">
      <c r="A1094" t="s">
        <v>2132</v>
      </c>
      <c r="B1094" s="5" t="s">
        <v>2133</v>
      </c>
      <c r="C1094" s="3" t="str">
        <f t="shared" si="17"/>
        <v>03-06-2023</v>
      </c>
      <c r="D1094" t="s">
        <v>16</v>
      </c>
      <c r="E1094" t="s">
        <v>903</v>
      </c>
      <c r="F1094" t="s">
        <v>98</v>
      </c>
      <c r="G1094" t="s">
        <v>37</v>
      </c>
      <c r="H1094" t="s">
        <v>30</v>
      </c>
      <c r="I1094">
        <v>1</v>
      </c>
      <c r="J1094">
        <v>5477</v>
      </c>
      <c r="K1094" s="7">
        <v>0</v>
      </c>
      <c r="L1094" t="s">
        <v>58</v>
      </c>
      <c r="M1094" t="s">
        <v>39</v>
      </c>
      <c r="N1094" t="s">
        <v>32</v>
      </c>
      <c r="O1094">
        <v>3.4</v>
      </c>
      <c r="P1094">
        <f>VLOOKUP(Table2[[#This Row],[Product_ID]],Table1[#All],8,TRUE)</f>
        <v>1500</v>
      </c>
    </row>
    <row r="1095" spans="1:16" x14ac:dyDescent="0.3">
      <c r="A1095" t="s">
        <v>1125</v>
      </c>
      <c r="B1095" s="5" t="s">
        <v>2134</v>
      </c>
      <c r="C1095" s="3" t="str">
        <f t="shared" si="17"/>
        <v>08-03-2024</v>
      </c>
      <c r="D1095" t="s">
        <v>35</v>
      </c>
      <c r="E1095" t="s">
        <v>612</v>
      </c>
      <c r="F1095" t="s">
        <v>98</v>
      </c>
      <c r="G1095" t="s">
        <v>53</v>
      </c>
      <c r="H1095" t="s">
        <v>99</v>
      </c>
      <c r="I1095">
        <v>2</v>
      </c>
      <c r="J1095">
        <v>5301</v>
      </c>
      <c r="K1095" s="7">
        <v>0</v>
      </c>
      <c r="L1095" t="s">
        <v>58</v>
      </c>
      <c r="M1095" t="s">
        <v>39</v>
      </c>
      <c r="N1095" t="s">
        <v>59</v>
      </c>
      <c r="P1095">
        <f>VLOOKUP(Table2[[#This Row],[Product_ID]],Table1[#All],8,TRUE)</f>
        <v>1200</v>
      </c>
    </row>
    <row r="1096" spans="1:16" x14ac:dyDescent="0.3">
      <c r="A1096" t="s">
        <v>1158</v>
      </c>
      <c r="B1096" s="5" t="s">
        <v>916</v>
      </c>
      <c r="C1096" s="3" t="str">
        <f t="shared" si="17"/>
        <v>24-02-2024</v>
      </c>
      <c r="D1096" t="s">
        <v>114</v>
      </c>
      <c r="E1096" t="s">
        <v>403</v>
      </c>
      <c r="F1096" t="s">
        <v>98</v>
      </c>
      <c r="G1096" t="s">
        <v>53</v>
      </c>
      <c r="H1096" t="s">
        <v>30</v>
      </c>
      <c r="I1096">
        <v>5</v>
      </c>
      <c r="J1096">
        <v>5296</v>
      </c>
      <c r="K1096" s="7">
        <v>0</v>
      </c>
      <c r="L1096" t="s">
        <v>31</v>
      </c>
      <c r="M1096" t="s">
        <v>22</v>
      </c>
      <c r="N1096" t="s">
        <v>32</v>
      </c>
      <c r="O1096">
        <v>3.2</v>
      </c>
      <c r="P1096">
        <f>VLOOKUP(Table2[[#This Row],[Product_ID]],Table1[#All],8,TRUE)</f>
        <v>1200</v>
      </c>
    </row>
    <row r="1097" spans="1:16" x14ac:dyDescent="0.3">
      <c r="A1097" t="s">
        <v>2135</v>
      </c>
      <c r="B1097" s="5" t="s">
        <v>2136</v>
      </c>
      <c r="C1097" s="3" t="str">
        <f t="shared" si="17"/>
        <v>03-03-2023</v>
      </c>
      <c r="D1097" t="s">
        <v>96</v>
      </c>
      <c r="E1097" t="s">
        <v>118</v>
      </c>
      <c r="F1097" t="s">
        <v>98</v>
      </c>
      <c r="G1097" t="s">
        <v>29</v>
      </c>
      <c r="H1097" t="s">
        <v>20</v>
      </c>
      <c r="I1097">
        <v>3</v>
      </c>
      <c r="J1097">
        <v>9701</v>
      </c>
      <c r="K1097" s="7">
        <v>0.2</v>
      </c>
      <c r="L1097" t="s">
        <v>21</v>
      </c>
      <c r="M1097" t="s">
        <v>22</v>
      </c>
      <c r="N1097" t="s">
        <v>32</v>
      </c>
      <c r="O1097">
        <v>4.5999999999999996</v>
      </c>
      <c r="P1097">
        <f>VLOOKUP(Table2[[#This Row],[Product_ID]],Table1[#All],8,TRUE)</f>
        <v>700</v>
      </c>
    </row>
    <row r="1098" spans="1:16" x14ac:dyDescent="0.3">
      <c r="A1098" t="s">
        <v>2137</v>
      </c>
      <c r="B1098" s="5" t="s">
        <v>1045</v>
      </c>
      <c r="C1098" s="3" t="str">
        <f t="shared" si="17"/>
        <v>03-12-2024</v>
      </c>
      <c r="D1098" t="s">
        <v>131</v>
      </c>
      <c r="E1098" t="s">
        <v>368</v>
      </c>
      <c r="F1098" t="s">
        <v>18</v>
      </c>
      <c r="G1098" t="s">
        <v>29</v>
      </c>
      <c r="H1098" t="s">
        <v>99</v>
      </c>
      <c r="I1098">
        <v>3</v>
      </c>
      <c r="J1098">
        <v>3963</v>
      </c>
      <c r="K1098" s="7">
        <v>0</v>
      </c>
      <c r="L1098" t="s">
        <v>21</v>
      </c>
      <c r="M1098" t="s">
        <v>39</v>
      </c>
      <c r="N1098" t="s">
        <v>59</v>
      </c>
      <c r="O1098">
        <v>4</v>
      </c>
      <c r="P1098">
        <f>VLOOKUP(Table2[[#This Row],[Product_ID]],Table1[#All],8,TRUE)</f>
        <v>1500</v>
      </c>
    </row>
    <row r="1099" spans="1:16" x14ac:dyDescent="0.3">
      <c r="A1099" t="s">
        <v>2138</v>
      </c>
      <c r="B1099" s="5" t="s">
        <v>1412</v>
      </c>
      <c r="C1099" s="3" t="str">
        <f t="shared" si="17"/>
        <v>26-07-2024</v>
      </c>
      <c r="D1099" t="s">
        <v>127</v>
      </c>
      <c r="E1099" t="s">
        <v>1101</v>
      </c>
      <c r="F1099" t="s">
        <v>73</v>
      </c>
      <c r="G1099" t="s">
        <v>19</v>
      </c>
      <c r="H1099" t="s">
        <v>77</v>
      </c>
      <c r="I1099">
        <v>4</v>
      </c>
      <c r="J1099">
        <v>6830</v>
      </c>
      <c r="K1099" s="7">
        <v>0.05</v>
      </c>
      <c r="L1099" t="s">
        <v>21</v>
      </c>
      <c r="M1099" t="s">
        <v>39</v>
      </c>
      <c r="N1099" t="s">
        <v>48</v>
      </c>
      <c r="O1099">
        <v>3.2</v>
      </c>
      <c r="P1099">
        <f>VLOOKUP(Table2[[#This Row],[Product_ID]],Table1[#All],8,TRUE)</f>
        <v>0</v>
      </c>
    </row>
    <row r="1100" spans="1:16" x14ac:dyDescent="0.3">
      <c r="A1100" t="s">
        <v>2139</v>
      </c>
      <c r="B1100" s="5" t="s">
        <v>422</v>
      </c>
      <c r="C1100" s="3" t="str">
        <f t="shared" si="17"/>
        <v>20-02-2024</v>
      </c>
      <c r="D1100" t="s">
        <v>67</v>
      </c>
      <c r="E1100" t="s">
        <v>690</v>
      </c>
      <c r="F1100" t="s">
        <v>98</v>
      </c>
      <c r="G1100" t="s">
        <v>29</v>
      </c>
      <c r="H1100" t="s">
        <v>30</v>
      </c>
      <c r="I1100">
        <v>5</v>
      </c>
      <c r="J1100">
        <v>6408</v>
      </c>
      <c r="K1100" s="7">
        <v>0.1</v>
      </c>
      <c r="L1100" t="s">
        <v>21</v>
      </c>
      <c r="M1100" t="s">
        <v>22</v>
      </c>
      <c r="N1100" t="s">
        <v>59</v>
      </c>
      <c r="P1100">
        <f>VLOOKUP(Table2[[#This Row],[Product_ID]],Table1[#All],8,TRUE)</f>
        <v>0</v>
      </c>
    </row>
    <row r="1101" spans="1:16" x14ac:dyDescent="0.3">
      <c r="A1101" t="s">
        <v>2140</v>
      </c>
      <c r="B1101" s="5" t="s">
        <v>2141</v>
      </c>
      <c r="C1101" s="3" t="str">
        <f t="shared" si="17"/>
        <v>05-05-2024</v>
      </c>
      <c r="D1101" t="s">
        <v>91</v>
      </c>
      <c r="E1101" t="s">
        <v>936</v>
      </c>
      <c r="F1101" t="s">
        <v>57</v>
      </c>
      <c r="G1101" t="s">
        <v>19</v>
      </c>
      <c r="H1101" t="s">
        <v>30</v>
      </c>
      <c r="I1101">
        <v>4</v>
      </c>
      <c r="J1101">
        <v>7323</v>
      </c>
      <c r="K1101" s="7">
        <v>0.05</v>
      </c>
      <c r="L1101" t="s">
        <v>38</v>
      </c>
      <c r="M1101" t="s">
        <v>22</v>
      </c>
      <c r="N1101" t="s">
        <v>32</v>
      </c>
      <c r="O1101">
        <v>3.5</v>
      </c>
      <c r="P1101">
        <f>VLOOKUP(Table2[[#This Row],[Product_ID]],Table1[#All],8,TRUE)</f>
        <v>1200</v>
      </c>
    </row>
    <row r="1102" spans="1:16" x14ac:dyDescent="0.3">
      <c r="A1102" t="s">
        <v>2142</v>
      </c>
      <c r="B1102" s="5" t="s">
        <v>2143</v>
      </c>
      <c r="C1102" s="3" t="str">
        <f t="shared" si="17"/>
        <v>28-04-2023</v>
      </c>
      <c r="D1102" t="s">
        <v>46</v>
      </c>
      <c r="E1102" t="s">
        <v>175</v>
      </c>
      <c r="F1102" t="s">
        <v>98</v>
      </c>
      <c r="G1102" t="s">
        <v>53</v>
      </c>
      <c r="H1102" t="s">
        <v>30</v>
      </c>
      <c r="I1102">
        <v>2</v>
      </c>
      <c r="J1102">
        <v>9798</v>
      </c>
      <c r="K1102" s="7">
        <v>0</v>
      </c>
      <c r="L1102" t="s">
        <v>21</v>
      </c>
      <c r="M1102" t="s">
        <v>22</v>
      </c>
      <c r="N1102" t="s">
        <v>32</v>
      </c>
      <c r="P1102">
        <f>VLOOKUP(Table2[[#This Row],[Product_ID]],Table1[#All],8,TRUE)</f>
        <v>1500</v>
      </c>
    </row>
    <row r="1103" spans="1:16" x14ac:dyDescent="0.3">
      <c r="A1103" t="s">
        <v>100</v>
      </c>
      <c r="B1103" s="5" t="s">
        <v>2144</v>
      </c>
      <c r="C1103" s="3" t="str">
        <f t="shared" si="17"/>
        <v>01-05-2024</v>
      </c>
      <c r="D1103" t="s">
        <v>80</v>
      </c>
      <c r="E1103" t="s">
        <v>175</v>
      </c>
      <c r="F1103" t="s">
        <v>43</v>
      </c>
      <c r="G1103" t="s">
        <v>29</v>
      </c>
      <c r="H1103" t="s">
        <v>99</v>
      </c>
      <c r="I1103">
        <v>1</v>
      </c>
      <c r="J1103">
        <v>2636</v>
      </c>
      <c r="K1103" s="7">
        <v>0.1</v>
      </c>
      <c r="L1103" t="s">
        <v>21</v>
      </c>
      <c r="M1103" t="s">
        <v>22</v>
      </c>
      <c r="N1103" t="s">
        <v>59</v>
      </c>
      <c r="O1103">
        <v>3.2</v>
      </c>
      <c r="P1103">
        <f>VLOOKUP(Table2[[#This Row],[Product_ID]],Table1[#All],8,TRUE)</f>
        <v>1500</v>
      </c>
    </row>
    <row r="1104" spans="1:16" x14ac:dyDescent="0.3">
      <c r="A1104" t="s">
        <v>2145</v>
      </c>
      <c r="B1104" s="5" t="s">
        <v>2146</v>
      </c>
      <c r="C1104" s="3" t="str">
        <f t="shared" si="17"/>
        <v>22-07-2024</v>
      </c>
      <c r="D1104" t="s">
        <v>91</v>
      </c>
      <c r="E1104" t="s">
        <v>1179</v>
      </c>
      <c r="F1104" t="s">
        <v>64</v>
      </c>
      <c r="G1104" t="s">
        <v>53</v>
      </c>
      <c r="H1104" t="s">
        <v>99</v>
      </c>
      <c r="I1104">
        <v>5</v>
      </c>
      <c r="J1104">
        <v>9935</v>
      </c>
      <c r="K1104" s="7">
        <v>0.2</v>
      </c>
      <c r="L1104" t="s">
        <v>21</v>
      </c>
      <c r="M1104" t="s">
        <v>22</v>
      </c>
      <c r="N1104" t="s">
        <v>48</v>
      </c>
      <c r="P1104">
        <f>VLOOKUP(Table2[[#This Row],[Product_ID]],Table1[#All],8,TRUE)</f>
        <v>1200</v>
      </c>
    </row>
    <row r="1105" spans="1:16" x14ac:dyDescent="0.3">
      <c r="A1105" t="s">
        <v>2147</v>
      </c>
      <c r="B1105" s="5" t="s">
        <v>2148</v>
      </c>
      <c r="C1105" s="3" t="str">
        <f t="shared" si="17"/>
        <v>01-04-2023</v>
      </c>
      <c r="D1105" t="s">
        <v>127</v>
      </c>
      <c r="E1105" t="s">
        <v>269</v>
      </c>
      <c r="F1105" t="s">
        <v>98</v>
      </c>
      <c r="G1105" t="s">
        <v>19</v>
      </c>
      <c r="H1105" t="s">
        <v>99</v>
      </c>
      <c r="I1105">
        <v>4</v>
      </c>
      <c r="J1105">
        <v>7918</v>
      </c>
      <c r="K1105" s="7">
        <v>0.1</v>
      </c>
      <c r="L1105" t="s">
        <v>38</v>
      </c>
      <c r="M1105" t="s">
        <v>39</v>
      </c>
      <c r="N1105" t="s">
        <v>48</v>
      </c>
      <c r="O1105">
        <v>3.9</v>
      </c>
      <c r="P1105">
        <f>VLOOKUP(Table2[[#This Row],[Product_ID]],Table1[#All],8,TRUE)</f>
        <v>0</v>
      </c>
    </row>
    <row r="1106" spans="1:16" x14ac:dyDescent="0.3">
      <c r="A1106" t="s">
        <v>2149</v>
      </c>
      <c r="B1106" s="5" t="s">
        <v>2150</v>
      </c>
      <c r="C1106" s="3" t="str">
        <f t="shared" si="17"/>
        <v>13-03-2024</v>
      </c>
      <c r="D1106" t="s">
        <v>51</v>
      </c>
      <c r="E1106" t="s">
        <v>295</v>
      </c>
      <c r="F1106" t="s">
        <v>18</v>
      </c>
      <c r="G1106" t="s">
        <v>53</v>
      </c>
      <c r="H1106" t="s">
        <v>77</v>
      </c>
      <c r="I1106">
        <v>5</v>
      </c>
      <c r="J1106">
        <v>8370</v>
      </c>
      <c r="K1106" s="7">
        <v>0.1</v>
      </c>
      <c r="L1106" t="s">
        <v>21</v>
      </c>
      <c r="M1106" t="s">
        <v>39</v>
      </c>
      <c r="N1106" t="s">
        <v>59</v>
      </c>
      <c r="P1106">
        <f>VLOOKUP(Table2[[#This Row],[Product_ID]],Table1[#All],8,TRUE)</f>
        <v>1500</v>
      </c>
    </row>
    <row r="1107" spans="1:16" x14ac:dyDescent="0.3">
      <c r="A1107" t="s">
        <v>2151</v>
      </c>
      <c r="B1107" s="5" t="s">
        <v>2152</v>
      </c>
      <c r="C1107" s="3" t="str">
        <f t="shared" si="17"/>
        <v>01-10-2024</v>
      </c>
      <c r="D1107" t="s">
        <v>62</v>
      </c>
      <c r="E1107" t="s">
        <v>342</v>
      </c>
      <c r="F1107" t="s">
        <v>64</v>
      </c>
      <c r="G1107" t="s">
        <v>37</v>
      </c>
      <c r="H1107" t="s">
        <v>30</v>
      </c>
      <c r="I1107">
        <v>4</v>
      </c>
      <c r="J1107">
        <v>7071</v>
      </c>
      <c r="K1107" s="7">
        <v>0.1</v>
      </c>
      <c r="L1107" t="s">
        <v>38</v>
      </c>
      <c r="M1107" t="s">
        <v>39</v>
      </c>
      <c r="N1107" t="s">
        <v>48</v>
      </c>
      <c r="P1107">
        <f>VLOOKUP(Table2[[#This Row],[Product_ID]],Table1[#All],8,TRUE)</f>
        <v>0</v>
      </c>
    </row>
    <row r="1108" spans="1:16" x14ac:dyDescent="0.3">
      <c r="A1108" t="s">
        <v>2153</v>
      </c>
      <c r="B1108" s="5" t="s">
        <v>2154</v>
      </c>
      <c r="C1108" s="3" t="str">
        <f t="shared" si="17"/>
        <v>01-09-2023</v>
      </c>
      <c r="D1108" t="s">
        <v>127</v>
      </c>
      <c r="E1108" t="s">
        <v>72</v>
      </c>
      <c r="F1108" t="s">
        <v>73</v>
      </c>
      <c r="G1108" t="s">
        <v>19</v>
      </c>
      <c r="H1108" t="s">
        <v>77</v>
      </c>
      <c r="I1108">
        <v>4</v>
      </c>
      <c r="J1108">
        <v>5013</v>
      </c>
      <c r="K1108" s="7">
        <v>0.15</v>
      </c>
      <c r="L1108" t="s">
        <v>21</v>
      </c>
      <c r="M1108" t="s">
        <v>39</v>
      </c>
      <c r="N1108" t="s">
        <v>48</v>
      </c>
      <c r="P1108">
        <f>VLOOKUP(Table2[[#This Row],[Product_ID]],Table1[#All],8,TRUE)</f>
        <v>0</v>
      </c>
    </row>
    <row r="1109" spans="1:16" x14ac:dyDescent="0.3">
      <c r="A1109" t="s">
        <v>2155</v>
      </c>
      <c r="B1109" s="5" t="s">
        <v>2156</v>
      </c>
      <c r="C1109" s="3" t="str">
        <f t="shared" si="17"/>
        <v>20-01-2023</v>
      </c>
      <c r="D1109" t="s">
        <v>114</v>
      </c>
      <c r="E1109" t="s">
        <v>392</v>
      </c>
      <c r="F1109" t="s">
        <v>43</v>
      </c>
      <c r="G1109" t="s">
        <v>29</v>
      </c>
      <c r="H1109" t="s">
        <v>99</v>
      </c>
      <c r="I1109">
        <v>3</v>
      </c>
      <c r="J1109">
        <v>3275</v>
      </c>
      <c r="K1109" s="7">
        <v>0.1</v>
      </c>
      <c r="L1109" t="s">
        <v>31</v>
      </c>
      <c r="M1109" t="s">
        <v>22</v>
      </c>
      <c r="N1109" t="s">
        <v>59</v>
      </c>
      <c r="P1109">
        <f>VLOOKUP(Table2[[#This Row],[Product_ID]],Table1[#All],8,TRUE)</f>
        <v>700</v>
      </c>
    </row>
    <row r="1110" spans="1:16" x14ac:dyDescent="0.3">
      <c r="A1110" t="s">
        <v>1595</v>
      </c>
      <c r="B1110" s="5" t="s">
        <v>1349</v>
      </c>
      <c r="C1110" s="3" t="str">
        <f t="shared" si="17"/>
        <v>02-01-2024</v>
      </c>
      <c r="D1110" t="s">
        <v>67</v>
      </c>
      <c r="E1110" t="s">
        <v>1036</v>
      </c>
      <c r="F1110" t="s">
        <v>28</v>
      </c>
      <c r="G1110" t="s">
        <v>53</v>
      </c>
      <c r="H1110" t="s">
        <v>20</v>
      </c>
      <c r="I1110">
        <v>2</v>
      </c>
      <c r="J1110">
        <v>4684</v>
      </c>
      <c r="K1110" s="7">
        <v>0.1</v>
      </c>
      <c r="L1110" t="s">
        <v>21</v>
      </c>
      <c r="M1110" t="s">
        <v>22</v>
      </c>
      <c r="N1110" t="s">
        <v>48</v>
      </c>
      <c r="P1110">
        <f>VLOOKUP(Table2[[#This Row],[Product_ID]],Table1[#All],8,TRUE)</f>
        <v>700</v>
      </c>
    </row>
    <row r="1111" spans="1:16" x14ac:dyDescent="0.3">
      <c r="A1111" t="s">
        <v>1044</v>
      </c>
      <c r="B1111" s="5" t="s">
        <v>2157</v>
      </c>
      <c r="C1111" s="3" t="str">
        <f t="shared" si="17"/>
        <v>25-10-2023</v>
      </c>
      <c r="D1111" t="s">
        <v>114</v>
      </c>
      <c r="E1111" t="s">
        <v>1198</v>
      </c>
      <c r="F1111" t="s">
        <v>73</v>
      </c>
      <c r="G1111" t="s">
        <v>29</v>
      </c>
      <c r="H1111" t="s">
        <v>20</v>
      </c>
      <c r="I1111">
        <v>4</v>
      </c>
      <c r="J1111">
        <v>3993</v>
      </c>
      <c r="K1111" s="7">
        <v>0.05</v>
      </c>
      <c r="L1111" t="s">
        <v>38</v>
      </c>
      <c r="M1111" t="s">
        <v>22</v>
      </c>
      <c r="N1111" t="s">
        <v>48</v>
      </c>
      <c r="O1111">
        <v>5</v>
      </c>
      <c r="P1111">
        <f>VLOOKUP(Table2[[#This Row],[Product_ID]],Table1[#All],8,TRUE)</f>
        <v>0</v>
      </c>
    </row>
    <row r="1112" spans="1:16" x14ac:dyDescent="0.3">
      <c r="A1112" t="s">
        <v>2158</v>
      </c>
      <c r="B1112" s="5" t="s">
        <v>2159</v>
      </c>
      <c r="C1112" s="3" t="str">
        <f t="shared" si="17"/>
        <v>09-01-2024</v>
      </c>
      <c r="D1112" t="s">
        <v>26</v>
      </c>
      <c r="E1112" t="s">
        <v>213</v>
      </c>
      <c r="F1112" t="s">
        <v>43</v>
      </c>
      <c r="G1112" t="s">
        <v>19</v>
      </c>
      <c r="H1112" t="s">
        <v>99</v>
      </c>
      <c r="I1112">
        <v>4</v>
      </c>
      <c r="J1112">
        <v>1694</v>
      </c>
      <c r="K1112" s="7">
        <v>0.2</v>
      </c>
      <c r="L1112" t="s">
        <v>21</v>
      </c>
      <c r="M1112" t="s">
        <v>39</v>
      </c>
      <c r="N1112" t="s">
        <v>59</v>
      </c>
      <c r="P1112">
        <f>VLOOKUP(Table2[[#This Row],[Product_ID]],Table1[#All],8,TRUE)</f>
        <v>0</v>
      </c>
    </row>
    <row r="1113" spans="1:16" x14ac:dyDescent="0.3">
      <c r="A1113" t="s">
        <v>2160</v>
      </c>
      <c r="B1113" s="5" t="s">
        <v>1448</v>
      </c>
      <c r="C1113" s="3" t="str">
        <f t="shared" si="17"/>
        <v>05-08-2023</v>
      </c>
      <c r="D1113" t="s">
        <v>67</v>
      </c>
      <c r="E1113" t="s">
        <v>256</v>
      </c>
      <c r="F1113" t="s">
        <v>18</v>
      </c>
      <c r="G1113" t="s">
        <v>37</v>
      </c>
      <c r="H1113" t="s">
        <v>20</v>
      </c>
      <c r="I1113">
        <v>4</v>
      </c>
      <c r="J1113">
        <v>7060</v>
      </c>
      <c r="K1113" s="7">
        <v>0</v>
      </c>
      <c r="L1113" t="s">
        <v>21</v>
      </c>
      <c r="M1113" t="s">
        <v>39</v>
      </c>
      <c r="N1113" t="s">
        <v>23</v>
      </c>
      <c r="P1113">
        <f>VLOOKUP(Table2[[#This Row],[Product_ID]],Table1[#All],8,TRUE)</f>
        <v>0</v>
      </c>
    </row>
    <row r="1114" spans="1:16" x14ac:dyDescent="0.3">
      <c r="A1114" t="s">
        <v>949</v>
      </c>
      <c r="B1114" s="5" t="s">
        <v>608</v>
      </c>
      <c r="C1114" s="3" t="str">
        <f t="shared" si="17"/>
        <v>13-05-2024</v>
      </c>
      <c r="D1114" t="s">
        <v>91</v>
      </c>
      <c r="E1114" t="s">
        <v>201</v>
      </c>
      <c r="F1114" t="s">
        <v>28</v>
      </c>
      <c r="G1114" t="s">
        <v>53</v>
      </c>
      <c r="H1114" t="s">
        <v>77</v>
      </c>
      <c r="I1114">
        <v>1</v>
      </c>
      <c r="J1114">
        <v>8652</v>
      </c>
      <c r="K1114" s="7">
        <v>0.05</v>
      </c>
      <c r="L1114" t="s">
        <v>38</v>
      </c>
      <c r="M1114" t="s">
        <v>22</v>
      </c>
      <c r="N1114" t="s">
        <v>59</v>
      </c>
      <c r="O1114">
        <v>4.7</v>
      </c>
      <c r="P1114">
        <f>VLOOKUP(Table2[[#This Row],[Product_ID]],Table1[#All],8,TRUE)</f>
        <v>1200</v>
      </c>
    </row>
    <row r="1115" spans="1:16" x14ac:dyDescent="0.3">
      <c r="A1115" t="s">
        <v>769</v>
      </c>
      <c r="B1115" s="5" t="s">
        <v>2161</v>
      </c>
      <c r="C1115" s="3" t="str">
        <f t="shared" si="17"/>
        <v>12-12-2024</v>
      </c>
      <c r="D1115" t="s">
        <v>91</v>
      </c>
      <c r="E1115" t="s">
        <v>118</v>
      </c>
      <c r="F1115" t="s">
        <v>28</v>
      </c>
      <c r="G1115" t="s">
        <v>29</v>
      </c>
      <c r="H1115" t="s">
        <v>99</v>
      </c>
      <c r="I1115">
        <v>4</v>
      </c>
      <c r="J1115">
        <v>8324</v>
      </c>
      <c r="K1115" s="7">
        <v>0.15</v>
      </c>
      <c r="L1115" t="s">
        <v>31</v>
      </c>
      <c r="M1115" t="s">
        <v>39</v>
      </c>
      <c r="N1115" t="s">
        <v>32</v>
      </c>
      <c r="P1115">
        <f>VLOOKUP(Table2[[#This Row],[Product_ID]],Table1[#All],8,TRUE)</f>
        <v>700</v>
      </c>
    </row>
    <row r="1116" spans="1:16" x14ac:dyDescent="0.3">
      <c r="A1116" t="s">
        <v>2162</v>
      </c>
      <c r="B1116" s="5" t="s">
        <v>2163</v>
      </c>
      <c r="C1116" s="3" t="str">
        <f t="shared" si="17"/>
        <v>21-11-2023</v>
      </c>
      <c r="D1116" t="s">
        <v>131</v>
      </c>
      <c r="E1116" t="s">
        <v>395</v>
      </c>
      <c r="F1116" t="s">
        <v>57</v>
      </c>
      <c r="G1116" t="s">
        <v>37</v>
      </c>
      <c r="H1116" t="s">
        <v>99</v>
      </c>
      <c r="I1116">
        <v>1</v>
      </c>
      <c r="J1116">
        <v>5470</v>
      </c>
      <c r="K1116" s="7">
        <v>0.05</v>
      </c>
      <c r="L1116" t="s">
        <v>38</v>
      </c>
      <c r="M1116" t="s">
        <v>22</v>
      </c>
      <c r="N1116" t="s">
        <v>59</v>
      </c>
      <c r="P1116">
        <f>VLOOKUP(Table2[[#This Row],[Product_ID]],Table1[#All],8,TRUE)</f>
        <v>0</v>
      </c>
    </row>
    <row r="1117" spans="1:16" x14ac:dyDescent="0.3">
      <c r="A1117" t="s">
        <v>598</v>
      </c>
      <c r="B1117" s="5" t="s">
        <v>2164</v>
      </c>
      <c r="C1117" s="3" t="str">
        <f t="shared" si="17"/>
        <v>08-11-2024</v>
      </c>
      <c r="D1117" t="s">
        <v>35</v>
      </c>
      <c r="E1117" t="s">
        <v>381</v>
      </c>
      <c r="F1117" t="s">
        <v>73</v>
      </c>
      <c r="G1117" t="s">
        <v>29</v>
      </c>
      <c r="H1117" t="s">
        <v>99</v>
      </c>
      <c r="I1117">
        <v>4</v>
      </c>
      <c r="J1117">
        <v>1116</v>
      </c>
      <c r="K1117" s="7">
        <v>0.1</v>
      </c>
      <c r="L1117" t="s">
        <v>38</v>
      </c>
      <c r="M1117" t="s">
        <v>22</v>
      </c>
      <c r="N1117" t="s">
        <v>48</v>
      </c>
      <c r="P1117">
        <f>VLOOKUP(Table2[[#This Row],[Product_ID]],Table1[#All],8,TRUE)</f>
        <v>1500</v>
      </c>
    </row>
    <row r="1118" spans="1:16" x14ac:dyDescent="0.3">
      <c r="A1118" t="s">
        <v>2165</v>
      </c>
      <c r="B1118" s="5" t="s">
        <v>2166</v>
      </c>
      <c r="C1118" s="3" t="str">
        <f t="shared" si="17"/>
        <v>27-11-2023</v>
      </c>
      <c r="D1118" t="s">
        <v>16</v>
      </c>
      <c r="E1118" t="s">
        <v>816</v>
      </c>
      <c r="F1118" t="s">
        <v>18</v>
      </c>
      <c r="G1118" t="s">
        <v>37</v>
      </c>
      <c r="H1118" t="s">
        <v>20</v>
      </c>
      <c r="I1118">
        <v>4</v>
      </c>
      <c r="J1118">
        <v>8899</v>
      </c>
      <c r="K1118" s="7">
        <v>0.15</v>
      </c>
      <c r="L1118" t="s">
        <v>58</v>
      </c>
      <c r="M1118" t="s">
        <v>22</v>
      </c>
      <c r="N1118" t="s">
        <v>59</v>
      </c>
      <c r="O1118">
        <v>3.3</v>
      </c>
      <c r="P1118">
        <f>VLOOKUP(Table2[[#This Row],[Product_ID]],Table1[#All],8,TRUE)</f>
        <v>1200</v>
      </c>
    </row>
    <row r="1119" spans="1:16" x14ac:dyDescent="0.3">
      <c r="A1119" t="s">
        <v>1638</v>
      </c>
      <c r="B1119" s="5" t="s">
        <v>2167</v>
      </c>
      <c r="C1119" s="3" t="str">
        <f t="shared" si="17"/>
        <v>11-11-2023</v>
      </c>
      <c r="D1119" t="s">
        <v>71</v>
      </c>
      <c r="E1119" t="s">
        <v>384</v>
      </c>
      <c r="F1119" t="s">
        <v>64</v>
      </c>
      <c r="G1119" t="s">
        <v>53</v>
      </c>
      <c r="H1119" t="s">
        <v>77</v>
      </c>
      <c r="I1119">
        <v>1</v>
      </c>
      <c r="J1119">
        <v>5130</v>
      </c>
      <c r="K1119" s="7">
        <v>0.2</v>
      </c>
      <c r="L1119" t="s">
        <v>21</v>
      </c>
      <c r="M1119" t="s">
        <v>39</v>
      </c>
      <c r="N1119" t="s">
        <v>59</v>
      </c>
      <c r="O1119">
        <v>4.5</v>
      </c>
      <c r="P1119">
        <f>VLOOKUP(Table2[[#This Row],[Product_ID]],Table1[#All],8,TRUE)</f>
        <v>1500</v>
      </c>
    </row>
    <row r="1120" spans="1:16" x14ac:dyDescent="0.3">
      <c r="A1120" t="s">
        <v>2168</v>
      </c>
      <c r="B1120" s="5" t="s">
        <v>1229</v>
      </c>
      <c r="C1120" s="3" t="str">
        <f t="shared" si="17"/>
        <v>31-07-2023</v>
      </c>
      <c r="D1120" t="s">
        <v>62</v>
      </c>
      <c r="E1120" t="s">
        <v>445</v>
      </c>
      <c r="F1120" t="s">
        <v>28</v>
      </c>
      <c r="G1120" t="s">
        <v>53</v>
      </c>
      <c r="H1120" t="s">
        <v>30</v>
      </c>
      <c r="I1120">
        <v>1</v>
      </c>
      <c r="J1120">
        <v>4866</v>
      </c>
      <c r="K1120" s="7">
        <v>0.05</v>
      </c>
      <c r="L1120" t="s">
        <v>38</v>
      </c>
      <c r="M1120" t="s">
        <v>39</v>
      </c>
      <c r="N1120" t="s">
        <v>59</v>
      </c>
      <c r="O1120">
        <v>3</v>
      </c>
      <c r="P1120">
        <f>VLOOKUP(Table2[[#This Row],[Product_ID]],Table1[#All],8,TRUE)</f>
        <v>1500</v>
      </c>
    </row>
    <row r="1121" spans="1:16" x14ac:dyDescent="0.3">
      <c r="A1121" t="s">
        <v>610</v>
      </c>
      <c r="B1121" s="5" t="s">
        <v>1885</v>
      </c>
      <c r="C1121" s="3" t="str">
        <f t="shared" si="17"/>
        <v>26-04-2024</v>
      </c>
      <c r="D1121" t="s">
        <v>16</v>
      </c>
      <c r="E1121" t="s">
        <v>269</v>
      </c>
      <c r="F1121" t="s">
        <v>43</v>
      </c>
      <c r="G1121" t="s">
        <v>19</v>
      </c>
      <c r="H1121" t="s">
        <v>77</v>
      </c>
      <c r="I1121">
        <v>1</v>
      </c>
      <c r="J1121">
        <v>9421</v>
      </c>
      <c r="K1121" s="7">
        <v>0.15</v>
      </c>
      <c r="L1121" t="s">
        <v>31</v>
      </c>
      <c r="M1121" t="s">
        <v>39</v>
      </c>
      <c r="N1121" t="s">
        <v>59</v>
      </c>
      <c r="P1121">
        <f>VLOOKUP(Table2[[#This Row],[Product_ID]],Table1[#All],8,TRUE)</f>
        <v>0</v>
      </c>
    </row>
    <row r="1122" spans="1:16" x14ac:dyDescent="0.3">
      <c r="A1122" t="s">
        <v>1054</v>
      </c>
      <c r="B1122" s="5" t="s">
        <v>402</v>
      </c>
      <c r="C1122" s="3" t="str">
        <f t="shared" si="17"/>
        <v>27-08-2023</v>
      </c>
      <c r="D1122" t="s">
        <v>84</v>
      </c>
      <c r="E1122" t="s">
        <v>138</v>
      </c>
      <c r="F1122" t="s">
        <v>64</v>
      </c>
      <c r="G1122" t="s">
        <v>29</v>
      </c>
      <c r="H1122" t="s">
        <v>77</v>
      </c>
      <c r="I1122">
        <v>5</v>
      </c>
      <c r="J1122">
        <v>4395</v>
      </c>
      <c r="K1122" s="7">
        <v>0</v>
      </c>
      <c r="L1122" t="s">
        <v>21</v>
      </c>
      <c r="M1122" t="s">
        <v>39</v>
      </c>
      <c r="N1122" t="s">
        <v>32</v>
      </c>
      <c r="O1122">
        <v>4.5999999999999996</v>
      </c>
      <c r="P1122">
        <f>VLOOKUP(Table2[[#This Row],[Product_ID]],Table1[#All],8,TRUE)</f>
        <v>1200</v>
      </c>
    </row>
    <row r="1123" spans="1:16" x14ac:dyDescent="0.3">
      <c r="A1123" t="s">
        <v>2169</v>
      </c>
      <c r="B1123" s="5" t="s">
        <v>2170</v>
      </c>
      <c r="C1123" s="3" t="str">
        <f t="shared" si="17"/>
        <v>15-07-2023</v>
      </c>
      <c r="D1123" t="s">
        <v>46</v>
      </c>
      <c r="E1123" t="s">
        <v>854</v>
      </c>
      <c r="F1123" t="s">
        <v>18</v>
      </c>
      <c r="G1123" t="s">
        <v>29</v>
      </c>
      <c r="H1123" t="s">
        <v>99</v>
      </c>
      <c r="I1123">
        <v>4</v>
      </c>
      <c r="J1123">
        <v>7530</v>
      </c>
      <c r="K1123" s="7">
        <v>0.1</v>
      </c>
      <c r="L1123" t="s">
        <v>58</v>
      </c>
      <c r="M1123" t="s">
        <v>39</v>
      </c>
      <c r="N1123" t="s">
        <v>23</v>
      </c>
      <c r="O1123">
        <v>3.7</v>
      </c>
      <c r="P1123">
        <f>VLOOKUP(Table2[[#This Row],[Product_ID]],Table1[#All],8,TRUE)</f>
        <v>1200</v>
      </c>
    </row>
    <row r="1124" spans="1:16" x14ac:dyDescent="0.3">
      <c r="A1124" t="s">
        <v>1263</v>
      </c>
      <c r="B1124" s="5" t="s">
        <v>1841</v>
      </c>
      <c r="C1124" s="3" t="str">
        <f t="shared" si="17"/>
        <v>07-09-2024</v>
      </c>
      <c r="D1124" t="s">
        <v>51</v>
      </c>
      <c r="E1124" t="s">
        <v>381</v>
      </c>
      <c r="F1124" t="s">
        <v>64</v>
      </c>
      <c r="G1124" t="s">
        <v>53</v>
      </c>
      <c r="H1124" t="s">
        <v>99</v>
      </c>
      <c r="I1124">
        <v>3</v>
      </c>
      <c r="J1124">
        <v>9401</v>
      </c>
      <c r="K1124" s="7">
        <v>0</v>
      </c>
      <c r="L1124" t="s">
        <v>21</v>
      </c>
      <c r="M1124" t="s">
        <v>39</v>
      </c>
      <c r="N1124" t="s">
        <v>48</v>
      </c>
      <c r="O1124">
        <v>5</v>
      </c>
      <c r="P1124">
        <f>VLOOKUP(Table2[[#This Row],[Product_ID]],Table1[#All],8,TRUE)</f>
        <v>1500</v>
      </c>
    </row>
    <row r="1125" spans="1:16" x14ac:dyDescent="0.3">
      <c r="A1125" t="s">
        <v>158</v>
      </c>
      <c r="B1125" s="5" t="s">
        <v>1214</v>
      </c>
      <c r="C1125" s="3" t="str">
        <f t="shared" si="17"/>
        <v>16-12-2024</v>
      </c>
      <c r="D1125" t="s">
        <v>51</v>
      </c>
      <c r="E1125" t="s">
        <v>924</v>
      </c>
      <c r="F1125" t="s">
        <v>57</v>
      </c>
      <c r="G1125" t="s">
        <v>53</v>
      </c>
      <c r="H1125" t="s">
        <v>20</v>
      </c>
      <c r="I1125">
        <v>5</v>
      </c>
      <c r="J1125">
        <v>9943</v>
      </c>
      <c r="K1125" s="7">
        <v>0</v>
      </c>
      <c r="L1125" t="s">
        <v>31</v>
      </c>
      <c r="M1125" t="s">
        <v>39</v>
      </c>
      <c r="N1125" t="s">
        <v>23</v>
      </c>
      <c r="P1125">
        <f>VLOOKUP(Table2[[#This Row],[Product_ID]],Table1[#All],8,TRUE)</f>
        <v>1500</v>
      </c>
    </row>
    <row r="1126" spans="1:16" x14ac:dyDescent="0.3">
      <c r="A1126" t="s">
        <v>2171</v>
      </c>
      <c r="B1126" s="5" t="s">
        <v>2172</v>
      </c>
      <c r="C1126" s="3" t="str">
        <f t="shared" si="17"/>
        <v>29-01-2024</v>
      </c>
      <c r="D1126" t="s">
        <v>62</v>
      </c>
      <c r="E1126" t="s">
        <v>1662</v>
      </c>
      <c r="F1126" t="s">
        <v>18</v>
      </c>
      <c r="G1126" t="s">
        <v>53</v>
      </c>
      <c r="H1126" t="s">
        <v>99</v>
      </c>
      <c r="I1126">
        <v>1</v>
      </c>
      <c r="J1126">
        <v>2570</v>
      </c>
      <c r="K1126" s="7">
        <v>0.2</v>
      </c>
      <c r="L1126" t="s">
        <v>31</v>
      </c>
      <c r="M1126" t="s">
        <v>39</v>
      </c>
      <c r="N1126" t="s">
        <v>48</v>
      </c>
      <c r="P1126">
        <f>VLOOKUP(Table2[[#This Row],[Product_ID]],Table1[#All],8,TRUE)</f>
        <v>1500</v>
      </c>
    </row>
    <row r="1127" spans="1:16" x14ac:dyDescent="0.3">
      <c r="A1127" t="s">
        <v>2173</v>
      </c>
      <c r="B1127" s="5" t="s">
        <v>1165</v>
      </c>
      <c r="C1127" s="3" t="str">
        <f t="shared" si="17"/>
        <v>02-12-2024</v>
      </c>
      <c r="D1127" t="s">
        <v>127</v>
      </c>
      <c r="E1127" t="s">
        <v>503</v>
      </c>
      <c r="F1127" t="s">
        <v>57</v>
      </c>
      <c r="G1127" t="s">
        <v>29</v>
      </c>
      <c r="H1127" t="s">
        <v>99</v>
      </c>
      <c r="I1127">
        <v>2</v>
      </c>
      <c r="J1127">
        <v>6888</v>
      </c>
      <c r="K1127" s="7">
        <v>0</v>
      </c>
      <c r="L1127" t="s">
        <v>21</v>
      </c>
      <c r="M1127" t="s">
        <v>39</v>
      </c>
      <c r="N1127" t="s">
        <v>48</v>
      </c>
      <c r="P1127">
        <f>VLOOKUP(Table2[[#This Row],[Product_ID]],Table1[#All],8,TRUE)</f>
        <v>0</v>
      </c>
    </row>
    <row r="1128" spans="1:16" x14ac:dyDescent="0.3">
      <c r="A1128" t="s">
        <v>2174</v>
      </c>
      <c r="B1128" s="5" t="s">
        <v>2175</v>
      </c>
      <c r="C1128" s="3" t="str">
        <f t="shared" si="17"/>
        <v>03-05-2023</v>
      </c>
      <c r="D1128" t="s">
        <v>62</v>
      </c>
      <c r="E1128" t="s">
        <v>1571</v>
      </c>
      <c r="F1128" t="s">
        <v>57</v>
      </c>
      <c r="G1128" t="s">
        <v>37</v>
      </c>
      <c r="H1128" t="s">
        <v>20</v>
      </c>
      <c r="I1128">
        <v>5</v>
      </c>
      <c r="J1128">
        <v>9836</v>
      </c>
      <c r="K1128" s="7">
        <v>0.1</v>
      </c>
      <c r="L1128" t="s">
        <v>31</v>
      </c>
      <c r="M1128" t="s">
        <v>22</v>
      </c>
      <c r="N1128" t="s">
        <v>23</v>
      </c>
      <c r="P1128">
        <f>VLOOKUP(Table2[[#This Row],[Product_ID]],Table1[#All],8,TRUE)</f>
        <v>1500</v>
      </c>
    </row>
    <row r="1129" spans="1:16" x14ac:dyDescent="0.3">
      <c r="A1129" t="s">
        <v>1694</v>
      </c>
      <c r="B1129" s="5" t="s">
        <v>447</v>
      </c>
      <c r="C1129" s="3" t="str">
        <f t="shared" si="17"/>
        <v>14-06-2023</v>
      </c>
      <c r="D1129" t="s">
        <v>96</v>
      </c>
      <c r="E1129" t="s">
        <v>303</v>
      </c>
      <c r="F1129" t="s">
        <v>98</v>
      </c>
      <c r="G1129" t="s">
        <v>29</v>
      </c>
      <c r="H1129" t="s">
        <v>77</v>
      </c>
      <c r="I1129">
        <v>5</v>
      </c>
      <c r="J1129">
        <v>6889</v>
      </c>
      <c r="K1129" s="7">
        <v>0</v>
      </c>
      <c r="L1129" t="s">
        <v>58</v>
      </c>
      <c r="M1129" t="s">
        <v>22</v>
      </c>
      <c r="N1129" t="s">
        <v>32</v>
      </c>
      <c r="P1129">
        <f>VLOOKUP(Table2[[#This Row],[Product_ID]],Table1[#All],8,TRUE)</f>
        <v>1500</v>
      </c>
    </row>
    <row r="1130" spans="1:16" x14ac:dyDescent="0.3">
      <c r="A1130" t="s">
        <v>1689</v>
      </c>
      <c r="B1130" s="5" t="s">
        <v>2176</v>
      </c>
      <c r="C1130" s="3" t="str">
        <f t="shared" si="17"/>
        <v>12-09-2024</v>
      </c>
      <c r="D1130" t="s">
        <v>51</v>
      </c>
      <c r="E1130" t="s">
        <v>319</v>
      </c>
      <c r="F1130" t="s">
        <v>98</v>
      </c>
      <c r="G1130" t="s">
        <v>53</v>
      </c>
      <c r="H1130" t="s">
        <v>30</v>
      </c>
      <c r="I1130">
        <v>5</v>
      </c>
      <c r="J1130">
        <v>5361</v>
      </c>
      <c r="K1130" s="7">
        <v>0.1</v>
      </c>
      <c r="L1130" t="s">
        <v>31</v>
      </c>
      <c r="M1130" t="s">
        <v>39</v>
      </c>
      <c r="N1130" t="s">
        <v>23</v>
      </c>
      <c r="O1130">
        <v>3.7</v>
      </c>
      <c r="P1130">
        <f>VLOOKUP(Table2[[#This Row],[Product_ID]],Table1[#All],8,TRUE)</f>
        <v>1200</v>
      </c>
    </row>
    <row r="1131" spans="1:16" x14ac:dyDescent="0.3">
      <c r="A1131" t="s">
        <v>2177</v>
      </c>
      <c r="B1131" s="5" t="s">
        <v>2178</v>
      </c>
      <c r="C1131" s="3" t="str">
        <f t="shared" si="17"/>
        <v>02-02-2024</v>
      </c>
      <c r="D1131" t="s">
        <v>71</v>
      </c>
      <c r="E1131" t="s">
        <v>635</v>
      </c>
      <c r="F1131" t="s">
        <v>73</v>
      </c>
      <c r="G1131" t="s">
        <v>29</v>
      </c>
      <c r="H1131" t="s">
        <v>30</v>
      </c>
      <c r="I1131">
        <v>5</v>
      </c>
      <c r="J1131">
        <v>7827</v>
      </c>
      <c r="K1131" s="7">
        <v>0.2</v>
      </c>
      <c r="L1131" t="s">
        <v>31</v>
      </c>
      <c r="M1131" t="s">
        <v>22</v>
      </c>
      <c r="N1131" t="s">
        <v>48</v>
      </c>
      <c r="O1131">
        <v>4.4000000000000004</v>
      </c>
      <c r="P1131">
        <f>VLOOKUP(Table2[[#This Row],[Product_ID]],Table1[#All],8,TRUE)</f>
        <v>900</v>
      </c>
    </row>
    <row r="1132" spans="1:16" x14ac:dyDescent="0.3">
      <c r="A1132" t="s">
        <v>755</v>
      </c>
      <c r="B1132" s="5" t="s">
        <v>2179</v>
      </c>
      <c r="C1132" s="3" t="str">
        <f t="shared" si="17"/>
        <v>13-11-2023</v>
      </c>
      <c r="D1132" t="s">
        <v>46</v>
      </c>
      <c r="E1132" t="s">
        <v>354</v>
      </c>
      <c r="F1132" t="s">
        <v>98</v>
      </c>
      <c r="G1132" t="s">
        <v>19</v>
      </c>
      <c r="H1132" t="s">
        <v>99</v>
      </c>
      <c r="I1132">
        <v>1</v>
      </c>
      <c r="J1132">
        <v>1288</v>
      </c>
      <c r="K1132" s="7">
        <v>0.1</v>
      </c>
      <c r="L1132" t="s">
        <v>31</v>
      </c>
      <c r="M1132" t="s">
        <v>22</v>
      </c>
      <c r="N1132" t="s">
        <v>59</v>
      </c>
      <c r="P1132">
        <f>VLOOKUP(Table2[[#This Row],[Product_ID]],Table1[#All],8,TRUE)</f>
        <v>0</v>
      </c>
    </row>
    <row r="1133" spans="1:16" x14ac:dyDescent="0.3">
      <c r="A1133" t="s">
        <v>2180</v>
      </c>
      <c r="B1133" s="5" t="s">
        <v>2181</v>
      </c>
      <c r="C1133" s="3" t="str">
        <f t="shared" si="17"/>
        <v>28-07-2023</v>
      </c>
      <c r="D1133" t="s">
        <v>84</v>
      </c>
      <c r="E1133" t="s">
        <v>2182</v>
      </c>
      <c r="F1133" t="s">
        <v>64</v>
      </c>
      <c r="G1133" t="s">
        <v>37</v>
      </c>
      <c r="H1133" t="s">
        <v>20</v>
      </c>
      <c r="I1133">
        <v>2</v>
      </c>
      <c r="J1133">
        <v>8603</v>
      </c>
      <c r="K1133" s="7">
        <v>0.05</v>
      </c>
      <c r="L1133" t="s">
        <v>58</v>
      </c>
      <c r="M1133" t="s">
        <v>39</v>
      </c>
      <c r="N1133" t="s">
        <v>23</v>
      </c>
      <c r="P1133">
        <f>VLOOKUP(Table2[[#This Row],[Product_ID]],Table1[#All],8,TRUE)</f>
        <v>1500</v>
      </c>
    </row>
    <row r="1134" spans="1:16" x14ac:dyDescent="0.3">
      <c r="A1134" t="s">
        <v>2183</v>
      </c>
      <c r="B1134" s="5" t="s">
        <v>2184</v>
      </c>
      <c r="C1134" s="3" t="str">
        <f t="shared" si="17"/>
        <v>20-06-2023</v>
      </c>
      <c r="D1134" t="s">
        <v>16</v>
      </c>
      <c r="E1134" t="s">
        <v>138</v>
      </c>
      <c r="F1134" t="s">
        <v>28</v>
      </c>
      <c r="G1134" t="s">
        <v>19</v>
      </c>
      <c r="H1134" t="s">
        <v>30</v>
      </c>
      <c r="I1134">
        <v>3</v>
      </c>
      <c r="J1134">
        <v>5322</v>
      </c>
      <c r="K1134" s="7">
        <v>0</v>
      </c>
      <c r="L1134" t="s">
        <v>38</v>
      </c>
      <c r="M1134" t="s">
        <v>39</v>
      </c>
      <c r="N1134" t="s">
        <v>48</v>
      </c>
      <c r="P1134">
        <f>VLOOKUP(Table2[[#This Row],[Product_ID]],Table1[#All],8,TRUE)</f>
        <v>1200</v>
      </c>
    </row>
    <row r="1135" spans="1:16" x14ac:dyDescent="0.3">
      <c r="A1135" t="s">
        <v>2185</v>
      </c>
      <c r="B1135" s="5" t="s">
        <v>1040</v>
      </c>
      <c r="C1135" s="3" t="str">
        <f t="shared" si="17"/>
        <v>19-07-2023</v>
      </c>
      <c r="D1135" t="s">
        <v>131</v>
      </c>
      <c r="E1135" t="s">
        <v>2033</v>
      </c>
      <c r="F1135" t="s">
        <v>18</v>
      </c>
      <c r="G1135" t="s">
        <v>37</v>
      </c>
      <c r="H1135" t="s">
        <v>20</v>
      </c>
      <c r="I1135">
        <v>4</v>
      </c>
      <c r="J1135">
        <v>4209</v>
      </c>
      <c r="K1135" s="7">
        <v>0.1</v>
      </c>
      <c r="L1135" t="s">
        <v>38</v>
      </c>
      <c r="M1135" t="s">
        <v>39</v>
      </c>
      <c r="N1135" t="s">
        <v>59</v>
      </c>
      <c r="P1135">
        <f>VLOOKUP(Table2[[#This Row],[Product_ID]],Table1[#All],8,TRUE)</f>
        <v>1200</v>
      </c>
    </row>
    <row r="1136" spans="1:16" x14ac:dyDescent="0.3">
      <c r="A1136" t="s">
        <v>2186</v>
      </c>
      <c r="B1136" s="5" t="s">
        <v>2187</v>
      </c>
      <c r="C1136" s="3" t="str">
        <f t="shared" si="17"/>
        <v>29-12-2024</v>
      </c>
      <c r="D1136" t="s">
        <v>67</v>
      </c>
      <c r="E1136" t="s">
        <v>704</v>
      </c>
      <c r="F1136" t="s">
        <v>98</v>
      </c>
      <c r="G1136" t="s">
        <v>37</v>
      </c>
      <c r="H1136" t="s">
        <v>20</v>
      </c>
      <c r="I1136">
        <v>2</v>
      </c>
      <c r="J1136">
        <v>5384</v>
      </c>
      <c r="K1136" s="7">
        <v>0.05</v>
      </c>
      <c r="L1136" t="s">
        <v>58</v>
      </c>
      <c r="M1136" t="s">
        <v>22</v>
      </c>
      <c r="N1136" t="s">
        <v>32</v>
      </c>
      <c r="P1136">
        <f>VLOOKUP(Table2[[#This Row],[Product_ID]],Table1[#All],8,TRUE)</f>
        <v>1200</v>
      </c>
    </row>
    <row r="1137" spans="1:16" x14ac:dyDescent="0.3">
      <c r="A1137" t="s">
        <v>2116</v>
      </c>
      <c r="B1137" s="5" t="s">
        <v>2188</v>
      </c>
      <c r="C1137" s="3" t="str">
        <f t="shared" si="17"/>
        <v>01-01-2023</v>
      </c>
      <c r="D1137" t="s">
        <v>71</v>
      </c>
      <c r="E1137" t="s">
        <v>229</v>
      </c>
      <c r="F1137" t="s">
        <v>73</v>
      </c>
      <c r="G1137" t="s">
        <v>29</v>
      </c>
      <c r="H1137" t="s">
        <v>20</v>
      </c>
      <c r="I1137">
        <v>1</v>
      </c>
      <c r="J1137">
        <v>8831</v>
      </c>
      <c r="K1137" s="7">
        <v>0.15</v>
      </c>
      <c r="L1137" t="s">
        <v>38</v>
      </c>
      <c r="M1137" t="s">
        <v>39</v>
      </c>
      <c r="N1137" t="s">
        <v>23</v>
      </c>
      <c r="P1137">
        <f>VLOOKUP(Table2[[#This Row],[Product_ID]],Table1[#All],8,TRUE)</f>
        <v>500</v>
      </c>
    </row>
    <row r="1138" spans="1:16" x14ac:dyDescent="0.3">
      <c r="A1138" t="s">
        <v>776</v>
      </c>
      <c r="B1138" s="5" t="s">
        <v>1697</v>
      </c>
      <c r="C1138" s="3" t="str">
        <f t="shared" si="17"/>
        <v>22-10-2023</v>
      </c>
      <c r="D1138" t="s">
        <v>16</v>
      </c>
      <c r="E1138" t="s">
        <v>454</v>
      </c>
      <c r="F1138" t="s">
        <v>64</v>
      </c>
      <c r="G1138" t="s">
        <v>19</v>
      </c>
      <c r="H1138" t="s">
        <v>20</v>
      </c>
      <c r="I1138">
        <v>4</v>
      </c>
      <c r="J1138">
        <v>1791</v>
      </c>
      <c r="K1138" s="7">
        <v>0.15</v>
      </c>
      <c r="L1138" t="s">
        <v>21</v>
      </c>
      <c r="M1138" t="s">
        <v>39</v>
      </c>
      <c r="N1138" t="s">
        <v>32</v>
      </c>
      <c r="P1138">
        <f>VLOOKUP(Table2[[#This Row],[Product_ID]],Table1[#All],8,TRUE)</f>
        <v>900</v>
      </c>
    </row>
    <row r="1139" spans="1:16" x14ac:dyDescent="0.3">
      <c r="A1139" t="s">
        <v>1363</v>
      </c>
      <c r="B1139" s="5" t="s">
        <v>587</v>
      </c>
      <c r="C1139" s="3" t="str">
        <f t="shared" si="17"/>
        <v>27-06-2024</v>
      </c>
      <c r="D1139" t="s">
        <v>46</v>
      </c>
      <c r="E1139" t="s">
        <v>629</v>
      </c>
      <c r="F1139" t="s">
        <v>28</v>
      </c>
      <c r="G1139" t="s">
        <v>37</v>
      </c>
      <c r="H1139" t="s">
        <v>99</v>
      </c>
      <c r="I1139">
        <v>5</v>
      </c>
      <c r="J1139">
        <v>1561</v>
      </c>
      <c r="K1139" s="7">
        <v>0.15</v>
      </c>
      <c r="L1139" t="s">
        <v>58</v>
      </c>
      <c r="M1139" t="s">
        <v>22</v>
      </c>
      <c r="N1139" t="s">
        <v>23</v>
      </c>
      <c r="P1139">
        <f>VLOOKUP(Table2[[#This Row],[Product_ID]],Table1[#All],8,TRUE)</f>
        <v>900</v>
      </c>
    </row>
    <row r="1140" spans="1:16" x14ac:dyDescent="0.3">
      <c r="A1140" t="s">
        <v>2189</v>
      </c>
      <c r="B1140" s="5" t="s">
        <v>2190</v>
      </c>
      <c r="C1140" s="3" t="str">
        <f t="shared" si="17"/>
        <v>05-10-2024</v>
      </c>
      <c r="D1140" t="s">
        <v>80</v>
      </c>
      <c r="E1140" t="s">
        <v>1027</v>
      </c>
      <c r="F1140" t="s">
        <v>98</v>
      </c>
      <c r="G1140" t="s">
        <v>37</v>
      </c>
      <c r="H1140" t="s">
        <v>30</v>
      </c>
      <c r="I1140">
        <v>4</v>
      </c>
      <c r="J1140">
        <v>7932</v>
      </c>
      <c r="K1140" s="7">
        <v>0.15</v>
      </c>
      <c r="L1140" t="s">
        <v>21</v>
      </c>
      <c r="M1140" t="s">
        <v>39</v>
      </c>
      <c r="N1140" t="s">
        <v>59</v>
      </c>
      <c r="P1140">
        <f>VLOOKUP(Table2[[#This Row],[Product_ID]],Table1[#All],8,TRUE)</f>
        <v>1500</v>
      </c>
    </row>
    <row r="1141" spans="1:16" x14ac:dyDescent="0.3">
      <c r="A1141" t="s">
        <v>2191</v>
      </c>
      <c r="B1141" s="5" t="s">
        <v>470</v>
      </c>
      <c r="C1141" s="3" t="str">
        <f t="shared" si="17"/>
        <v>07-10-2024</v>
      </c>
      <c r="D1141" t="s">
        <v>16</v>
      </c>
      <c r="E1141" t="s">
        <v>1110</v>
      </c>
      <c r="F1141" t="s">
        <v>43</v>
      </c>
      <c r="G1141" t="s">
        <v>19</v>
      </c>
      <c r="H1141" t="s">
        <v>30</v>
      </c>
      <c r="I1141">
        <v>1</v>
      </c>
      <c r="J1141">
        <v>3150</v>
      </c>
      <c r="K1141" s="7">
        <v>0.1</v>
      </c>
      <c r="L1141" t="s">
        <v>31</v>
      </c>
      <c r="M1141" t="s">
        <v>22</v>
      </c>
      <c r="N1141" t="s">
        <v>48</v>
      </c>
      <c r="O1141">
        <v>3.3</v>
      </c>
      <c r="P1141">
        <f>VLOOKUP(Table2[[#This Row],[Product_ID]],Table1[#All],8,TRUE)</f>
        <v>900</v>
      </c>
    </row>
    <row r="1142" spans="1:16" x14ac:dyDescent="0.3">
      <c r="A1142" t="s">
        <v>2192</v>
      </c>
      <c r="B1142" s="5" t="s">
        <v>1235</v>
      </c>
      <c r="C1142" s="3" t="str">
        <f t="shared" si="17"/>
        <v>19-12-2023</v>
      </c>
      <c r="D1142" t="s">
        <v>84</v>
      </c>
      <c r="E1142" t="s">
        <v>768</v>
      </c>
      <c r="F1142" t="s">
        <v>73</v>
      </c>
      <c r="G1142" t="s">
        <v>19</v>
      </c>
      <c r="H1142" t="s">
        <v>30</v>
      </c>
      <c r="I1142">
        <v>4</v>
      </c>
      <c r="J1142">
        <v>9671</v>
      </c>
      <c r="K1142" s="7">
        <v>0.15</v>
      </c>
      <c r="L1142" t="s">
        <v>21</v>
      </c>
      <c r="M1142" t="s">
        <v>39</v>
      </c>
      <c r="N1142" t="s">
        <v>32</v>
      </c>
      <c r="P1142">
        <f>VLOOKUP(Table2[[#This Row],[Product_ID]],Table1[#All],8,TRUE)</f>
        <v>900</v>
      </c>
    </row>
    <row r="1143" spans="1:16" x14ac:dyDescent="0.3">
      <c r="A1143" t="s">
        <v>1613</v>
      </c>
      <c r="B1143" s="5" t="s">
        <v>453</v>
      </c>
      <c r="C1143" s="3" t="str">
        <f t="shared" si="17"/>
        <v>27-02-2024</v>
      </c>
      <c r="D1143" t="s">
        <v>46</v>
      </c>
      <c r="E1143" t="s">
        <v>88</v>
      </c>
      <c r="F1143" t="s">
        <v>98</v>
      </c>
      <c r="G1143" t="s">
        <v>53</v>
      </c>
      <c r="H1143" t="s">
        <v>20</v>
      </c>
      <c r="I1143">
        <v>2</v>
      </c>
      <c r="J1143">
        <v>6643</v>
      </c>
      <c r="K1143" s="7">
        <v>0.2</v>
      </c>
      <c r="L1143" t="s">
        <v>21</v>
      </c>
      <c r="M1143" t="s">
        <v>39</v>
      </c>
      <c r="N1143" t="s">
        <v>23</v>
      </c>
      <c r="P1143">
        <f>VLOOKUP(Table2[[#This Row],[Product_ID]],Table1[#All],8,TRUE)</f>
        <v>0</v>
      </c>
    </row>
    <row r="1144" spans="1:16" x14ac:dyDescent="0.3">
      <c r="A1144" t="s">
        <v>2193</v>
      </c>
      <c r="B1144" s="5" t="s">
        <v>979</v>
      </c>
      <c r="C1144" s="3" t="str">
        <f t="shared" si="17"/>
        <v>16-02-2023</v>
      </c>
      <c r="D1144" t="s">
        <v>46</v>
      </c>
      <c r="E1144" t="s">
        <v>1316</v>
      </c>
      <c r="F1144" t="s">
        <v>64</v>
      </c>
      <c r="G1144" t="s">
        <v>37</v>
      </c>
      <c r="H1144" t="s">
        <v>20</v>
      </c>
      <c r="I1144">
        <v>5</v>
      </c>
      <c r="J1144">
        <v>4522</v>
      </c>
      <c r="K1144" s="7">
        <v>0.05</v>
      </c>
      <c r="L1144" t="s">
        <v>21</v>
      </c>
      <c r="M1144" t="s">
        <v>22</v>
      </c>
      <c r="N1144" t="s">
        <v>59</v>
      </c>
      <c r="O1144">
        <v>4.9000000000000004</v>
      </c>
      <c r="P1144">
        <f>VLOOKUP(Table2[[#This Row],[Product_ID]],Table1[#All],8,TRUE)</f>
        <v>1500</v>
      </c>
    </row>
    <row r="1145" spans="1:16" x14ac:dyDescent="0.3">
      <c r="A1145" t="s">
        <v>2194</v>
      </c>
      <c r="B1145" s="5" t="s">
        <v>2195</v>
      </c>
      <c r="C1145" s="3" t="str">
        <f t="shared" si="17"/>
        <v>29-09-2024</v>
      </c>
      <c r="D1145" t="s">
        <v>26</v>
      </c>
      <c r="E1145" t="s">
        <v>204</v>
      </c>
      <c r="F1145" t="s">
        <v>64</v>
      </c>
      <c r="G1145" t="s">
        <v>19</v>
      </c>
      <c r="H1145" t="s">
        <v>20</v>
      </c>
      <c r="I1145">
        <v>5</v>
      </c>
      <c r="J1145">
        <v>2169</v>
      </c>
      <c r="K1145" s="7">
        <v>0</v>
      </c>
      <c r="L1145" t="s">
        <v>21</v>
      </c>
      <c r="M1145" t="s">
        <v>39</v>
      </c>
      <c r="N1145" t="s">
        <v>59</v>
      </c>
      <c r="O1145">
        <v>4.9000000000000004</v>
      </c>
      <c r="P1145">
        <f>VLOOKUP(Table2[[#This Row],[Product_ID]],Table1[#All],8,TRUE)</f>
        <v>0</v>
      </c>
    </row>
    <row r="1146" spans="1:16" x14ac:dyDescent="0.3">
      <c r="A1146" t="s">
        <v>811</v>
      </c>
      <c r="B1146" s="5" t="s">
        <v>2125</v>
      </c>
      <c r="C1146" s="3" t="str">
        <f t="shared" si="17"/>
        <v>30-04-2024</v>
      </c>
      <c r="D1146" t="s">
        <v>131</v>
      </c>
      <c r="E1146" t="s">
        <v>964</v>
      </c>
      <c r="F1146" t="s">
        <v>57</v>
      </c>
      <c r="G1146" t="s">
        <v>29</v>
      </c>
      <c r="H1146" t="s">
        <v>20</v>
      </c>
      <c r="I1146">
        <v>1</v>
      </c>
      <c r="J1146">
        <v>6735</v>
      </c>
      <c r="K1146" s="7">
        <v>0</v>
      </c>
      <c r="L1146" t="s">
        <v>21</v>
      </c>
      <c r="M1146" t="s">
        <v>39</v>
      </c>
      <c r="N1146" t="s">
        <v>59</v>
      </c>
      <c r="P1146">
        <f>VLOOKUP(Table2[[#This Row],[Product_ID]],Table1[#All],8,TRUE)</f>
        <v>500</v>
      </c>
    </row>
    <row r="1147" spans="1:16" x14ac:dyDescent="0.3">
      <c r="A1147" t="s">
        <v>2196</v>
      </c>
      <c r="B1147" s="5" t="s">
        <v>1980</v>
      </c>
      <c r="C1147" s="3" t="str">
        <f t="shared" si="17"/>
        <v>09-09-2023</v>
      </c>
      <c r="D1147" t="s">
        <v>84</v>
      </c>
      <c r="E1147" t="s">
        <v>281</v>
      </c>
      <c r="F1147" t="s">
        <v>43</v>
      </c>
      <c r="G1147" t="s">
        <v>29</v>
      </c>
      <c r="H1147" t="s">
        <v>20</v>
      </c>
      <c r="I1147">
        <v>5</v>
      </c>
      <c r="J1147">
        <v>5382</v>
      </c>
      <c r="K1147" s="7">
        <v>0.2</v>
      </c>
      <c r="L1147" t="s">
        <v>21</v>
      </c>
      <c r="M1147" t="s">
        <v>39</v>
      </c>
      <c r="N1147" t="s">
        <v>23</v>
      </c>
      <c r="P1147">
        <f>VLOOKUP(Table2[[#This Row],[Product_ID]],Table1[#All],8,TRUE)</f>
        <v>1200</v>
      </c>
    </row>
    <row r="1148" spans="1:16" x14ac:dyDescent="0.3">
      <c r="A1148" t="s">
        <v>2197</v>
      </c>
      <c r="B1148" s="5" t="s">
        <v>2198</v>
      </c>
      <c r="C1148" s="3" t="str">
        <f t="shared" si="17"/>
        <v>10-12-2024</v>
      </c>
      <c r="D1148" t="s">
        <v>67</v>
      </c>
      <c r="E1148" t="s">
        <v>1084</v>
      </c>
      <c r="F1148" t="s">
        <v>18</v>
      </c>
      <c r="G1148" t="s">
        <v>19</v>
      </c>
      <c r="H1148" t="s">
        <v>30</v>
      </c>
      <c r="I1148">
        <v>2</v>
      </c>
      <c r="J1148">
        <v>5292</v>
      </c>
      <c r="K1148" s="7">
        <v>0</v>
      </c>
      <c r="L1148" t="s">
        <v>58</v>
      </c>
      <c r="M1148" t="s">
        <v>22</v>
      </c>
      <c r="N1148" t="s">
        <v>59</v>
      </c>
      <c r="O1148">
        <v>4.0999999999999996</v>
      </c>
      <c r="P1148">
        <f>VLOOKUP(Table2[[#This Row],[Product_ID]],Table1[#All],8,TRUE)</f>
        <v>0</v>
      </c>
    </row>
    <row r="1149" spans="1:16" x14ac:dyDescent="0.3">
      <c r="A1149" t="s">
        <v>1792</v>
      </c>
      <c r="B1149" s="5" t="s">
        <v>2199</v>
      </c>
      <c r="C1149" s="3" t="str">
        <f t="shared" si="17"/>
        <v>02-08-2023</v>
      </c>
      <c r="D1149" t="s">
        <v>131</v>
      </c>
      <c r="E1149" t="s">
        <v>560</v>
      </c>
      <c r="F1149" t="s">
        <v>98</v>
      </c>
      <c r="G1149" t="s">
        <v>29</v>
      </c>
      <c r="H1149" t="s">
        <v>77</v>
      </c>
      <c r="I1149">
        <v>5</v>
      </c>
      <c r="J1149">
        <v>7328</v>
      </c>
      <c r="K1149" s="7">
        <v>0.2</v>
      </c>
      <c r="L1149" t="s">
        <v>38</v>
      </c>
      <c r="M1149" t="s">
        <v>22</v>
      </c>
      <c r="N1149" t="s">
        <v>48</v>
      </c>
      <c r="O1149">
        <v>4.7</v>
      </c>
      <c r="P1149">
        <f>VLOOKUP(Table2[[#This Row],[Product_ID]],Table1[#All],8,TRUE)</f>
        <v>500</v>
      </c>
    </row>
    <row r="1150" spans="1:16" x14ac:dyDescent="0.3">
      <c r="A1150" t="s">
        <v>2200</v>
      </c>
      <c r="B1150" s="5" t="s">
        <v>2201</v>
      </c>
      <c r="C1150" s="3" t="str">
        <f t="shared" si="17"/>
        <v>08-03-2023</v>
      </c>
      <c r="D1150" t="s">
        <v>35</v>
      </c>
      <c r="E1150" t="s">
        <v>395</v>
      </c>
      <c r="F1150" t="s">
        <v>43</v>
      </c>
      <c r="G1150" t="s">
        <v>29</v>
      </c>
      <c r="H1150" t="s">
        <v>20</v>
      </c>
      <c r="I1150">
        <v>1</v>
      </c>
      <c r="J1150">
        <v>2758</v>
      </c>
      <c r="K1150" s="7">
        <v>0.1</v>
      </c>
      <c r="L1150" t="s">
        <v>21</v>
      </c>
      <c r="M1150" t="s">
        <v>39</v>
      </c>
      <c r="N1150" t="s">
        <v>59</v>
      </c>
      <c r="P1150">
        <f>VLOOKUP(Table2[[#This Row],[Product_ID]],Table1[#All],8,TRUE)</f>
        <v>0</v>
      </c>
    </row>
    <row r="1151" spans="1:16" x14ac:dyDescent="0.3">
      <c r="A1151" t="s">
        <v>769</v>
      </c>
      <c r="B1151" s="5" t="s">
        <v>361</v>
      </c>
      <c r="C1151" s="3" t="str">
        <f t="shared" si="17"/>
        <v>24-11-2024</v>
      </c>
      <c r="D1151" t="s">
        <v>84</v>
      </c>
      <c r="E1151" t="s">
        <v>232</v>
      </c>
      <c r="F1151" t="s">
        <v>57</v>
      </c>
      <c r="G1151" t="s">
        <v>37</v>
      </c>
      <c r="H1151" t="s">
        <v>30</v>
      </c>
      <c r="I1151">
        <v>1</v>
      </c>
      <c r="J1151">
        <v>5962</v>
      </c>
      <c r="K1151" s="7">
        <v>0.05</v>
      </c>
      <c r="L1151" t="s">
        <v>31</v>
      </c>
      <c r="M1151" t="s">
        <v>22</v>
      </c>
      <c r="N1151" t="s">
        <v>32</v>
      </c>
      <c r="O1151">
        <v>4.0999999999999996</v>
      </c>
      <c r="P1151">
        <f>VLOOKUP(Table2[[#This Row],[Product_ID]],Table1[#All],8,TRUE)</f>
        <v>0</v>
      </c>
    </row>
    <row r="1152" spans="1:16" x14ac:dyDescent="0.3">
      <c r="A1152" t="s">
        <v>2202</v>
      </c>
      <c r="B1152" s="5" t="s">
        <v>1118</v>
      </c>
      <c r="C1152" s="3" t="str">
        <f t="shared" si="17"/>
        <v>07-05-2023</v>
      </c>
      <c r="D1152" t="s">
        <v>67</v>
      </c>
      <c r="E1152" t="s">
        <v>640</v>
      </c>
      <c r="F1152" t="s">
        <v>43</v>
      </c>
      <c r="G1152" t="s">
        <v>19</v>
      </c>
      <c r="H1152" t="s">
        <v>99</v>
      </c>
      <c r="I1152">
        <v>5</v>
      </c>
      <c r="J1152">
        <v>7475</v>
      </c>
      <c r="K1152" s="7">
        <v>0.05</v>
      </c>
      <c r="L1152" t="s">
        <v>58</v>
      </c>
      <c r="M1152" t="s">
        <v>22</v>
      </c>
      <c r="N1152" t="s">
        <v>32</v>
      </c>
      <c r="P1152">
        <f>VLOOKUP(Table2[[#This Row],[Product_ID]],Table1[#All],8,TRUE)</f>
        <v>900</v>
      </c>
    </row>
    <row r="1153" spans="1:16" x14ac:dyDescent="0.3">
      <c r="A1153" t="s">
        <v>2203</v>
      </c>
      <c r="B1153" s="5" t="s">
        <v>2204</v>
      </c>
      <c r="C1153" s="3" t="str">
        <f t="shared" si="17"/>
        <v>13-07-2023</v>
      </c>
      <c r="D1153" t="s">
        <v>80</v>
      </c>
      <c r="E1153" t="s">
        <v>880</v>
      </c>
      <c r="F1153" t="s">
        <v>57</v>
      </c>
      <c r="G1153" t="s">
        <v>53</v>
      </c>
      <c r="H1153" t="s">
        <v>77</v>
      </c>
      <c r="I1153">
        <v>3</v>
      </c>
      <c r="J1153">
        <v>2218</v>
      </c>
      <c r="K1153" s="7">
        <v>0</v>
      </c>
      <c r="L1153" t="s">
        <v>38</v>
      </c>
      <c r="M1153" t="s">
        <v>39</v>
      </c>
      <c r="N1153" t="s">
        <v>59</v>
      </c>
      <c r="O1153">
        <v>3.6</v>
      </c>
      <c r="P1153">
        <f>VLOOKUP(Table2[[#This Row],[Product_ID]],Table1[#All],8,TRUE)</f>
        <v>1200</v>
      </c>
    </row>
    <row r="1154" spans="1:16" x14ac:dyDescent="0.3">
      <c r="A1154" t="s">
        <v>1663</v>
      </c>
      <c r="B1154" s="5" t="s">
        <v>2205</v>
      </c>
      <c r="C1154" s="3" t="str">
        <f t="shared" ref="C1154:C1201" si="18">TEXT(B1154,"dd-mm-yyyy")</f>
        <v>17-06-2024</v>
      </c>
      <c r="D1154" t="s">
        <v>114</v>
      </c>
      <c r="E1154" t="s">
        <v>736</v>
      </c>
      <c r="F1154" t="s">
        <v>28</v>
      </c>
      <c r="G1154" t="s">
        <v>19</v>
      </c>
      <c r="H1154" t="s">
        <v>77</v>
      </c>
      <c r="I1154">
        <v>1</v>
      </c>
      <c r="J1154">
        <v>3218</v>
      </c>
      <c r="K1154" s="7">
        <v>0.15</v>
      </c>
      <c r="L1154" t="s">
        <v>31</v>
      </c>
      <c r="M1154" t="s">
        <v>22</v>
      </c>
      <c r="N1154" t="s">
        <v>32</v>
      </c>
      <c r="P1154">
        <f>VLOOKUP(Table2[[#This Row],[Product_ID]],Table1[#All],8,TRUE)</f>
        <v>0</v>
      </c>
    </row>
    <row r="1155" spans="1:16" x14ac:dyDescent="0.3">
      <c r="A1155" t="s">
        <v>2206</v>
      </c>
      <c r="B1155" s="5" t="s">
        <v>2207</v>
      </c>
      <c r="C1155" s="3" t="str">
        <f t="shared" si="18"/>
        <v>21-04-2024</v>
      </c>
      <c r="D1155" t="s">
        <v>67</v>
      </c>
      <c r="E1155" t="s">
        <v>354</v>
      </c>
      <c r="F1155" t="s">
        <v>28</v>
      </c>
      <c r="G1155" t="s">
        <v>29</v>
      </c>
      <c r="H1155" t="s">
        <v>20</v>
      </c>
      <c r="I1155">
        <v>5</v>
      </c>
      <c r="J1155">
        <v>9147</v>
      </c>
      <c r="K1155" s="7">
        <v>0.2</v>
      </c>
      <c r="L1155" t="s">
        <v>31</v>
      </c>
      <c r="M1155" t="s">
        <v>39</v>
      </c>
      <c r="N1155" t="s">
        <v>32</v>
      </c>
      <c r="O1155">
        <v>3.9</v>
      </c>
      <c r="P1155">
        <f>VLOOKUP(Table2[[#This Row],[Product_ID]],Table1[#All],8,TRUE)</f>
        <v>0</v>
      </c>
    </row>
    <row r="1156" spans="1:16" x14ac:dyDescent="0.3">
      <c r="A1156" t="s">
        <v>2208</v>
      </c>
      <c r="B1156" s="5" t="s">
        <v>1984</v>
      </c>
      <c r="C1156" s="3" t="str">
        <f t="shared" si="18"/>
        <v>19-03-2023</v>
      </c>
      <c r="D1156" t="s">
        <v>131</v>
      </c>
      <c r="E1156" t="s">
        <v>336</v>
      </c>
      <c r="F1156" t="s">
        <v>18</v>
      </c>
      <c r="G1156" t="s">
        <v>37</v>
      </c>
      <c r="H1156" t="s">
        <v>30</v>
      </c>
      <c r="I1156">
        <v>4</v>
      </c>
      <c r="J1156">
        <v>4910</v>
      </c>
      <c r="K1156" s="7">
        <v>0.1</v>
      </c>
      <c r="L1156" t="s">
        <v>21</v>
      </c>
      <c r="M1156" t="s">
        <v>39</v>
      </c>
      <c r="N1156" t="s">
        <v>32</v>
      </c>
      <c r="P1156">
        <f>VLOOKUP(Table2[[#This Row],[Product_ID]],Table1[#All],8,TRUE)</f>
        <v>0</v>
      </c>
    </row>
    <row r="1157" spans="1:16" x14ac:dyDescent="0.3">
      <c r="A1157" t="s">
        <v>2209</v>
      </c>
      <c r="B1157" s="5" t="s">
        <v>2210</v>
      </c>
      <c r="C1157" s="3" t="str">
        <f t="shared" si="18"/>
        <v>28-04-2024</v>
      </c>
      <c r="D1157" t="s">
        <v>71</v>
      </c>
      <c r="E1157" t="s">
        <v>883</v>
      </c>
      <c r="F1157" t="s">
        <v>73</v>
      </c>
      <c r="G1157" t="s">
        <v>29</v>
      </c>
      <c r="H1157" t="s">
        <v>77</v>
      </c>
      <c r="I1157">
        <v>2</v>
      </c>
      <c r="J1157">
        <v>4211</v>
      </c>
      <c r="K1157" s="7">
        <v>0.05</v>
      </c>
      <c r="L1157" t="s">
        <v>58</v>
      </c>
      <c r="M1157" t="s">
        <v>22</v>
      </c>
      <c r="N1157" t="s">
        <v>48</v>
      </c>
      <c r="P1157">
        <f>VLOOKUP(Table2[[#This Row],[Product_ID]],Table1[#All],8,TRUE)</f>
        <v>500</v>
      </c>
    </row>
    <row r="1158" spans="1:16" x14ac:dyDescent="0.3">
      <c r="A1158" t="s">
        <v>2211</v>
      </c>
      <c r="B1158" s="5" t="s">
        <v>2212</v>
      </c>
      <c r="C1158" s="3" t="str">
        <f t="shared" si="18"/>
        <v>09-07-2024</v>
      </c>
      <c r="D1158" t="s">
        <v>71</v>
      </c>
      <c r="E1158" t="s">
        <v>56</v>
      </c>
      <c r="F1158" t="s">
        <v>57</v>
      </c>
      <c r="G1158" t="s">
        <v>53</v>
      </c>
      <c r="H1158" t="s">
        <v>30</v>
      </c>
      <c r="I1158">
        <v>1</v>
      </c>
      <c r="J1158">
        <v>1245</v>
      </c>
      <c r="K1158" s="7">
        <v>0.15</v>
      </c>
      <c r="L1158" t="s">
        <v>38</v>
      </c>
      <c r="M1158" t="s">
        <v>39</v>
      </c>
      <c r="N1158" t="s">
        <v>32</v>
      </c>
      <c r="O1158">
        <v>4.7</v>
      </c>
      <c r="P1158">
        <f>VLOOKUP(Table2[[#This Row],[Product_ID]],Table1[#All],8,TRUE)</f>
        <v>700</v>
      </c>
    </row>
    <row r="1159" spans="1:16" x14ac:dyDescent="0.3">
      <c r="A1159" t="s">
        <v>2213</v>
      </c>
      <c r="B1159" s="5" t="s">
        <v>2214</v>
      </c>
      <c r="C1159" s="3" t="str">
        <f t="shared" si="18"/>
        <v>22-07-2023</v>
      </c>
      <c r="D1159" t="s">
        <v>46</v>
      </c>
      <c r="E1159" t="s">
        <v>731</v>
      </c>
      <c r="F1159" t="s">
        <v>28</v>
      </c>
      <c r="G1159" t="s">
        <v>37</v>
      </c>
      <c r="H1159" t="s">
        <v>30</v>
      </c>
      <c r="I1159">
        <v>1</v>
      </c>
      <c r="J1159">
        <v>4962</v>
      </c>
      <c r="K1159" s="7">
        <v>0.1</v>
      </c>
      <c r="L1159" t="s">
        <v>21</v>
      </c>
      <c r="M1159" t="s">
        <v>39</v>
      </c>
      <c r="N1159" t="s">
        <v>23</v>
      </c>
      <c r="P1159">
        <f>VLOOKUP(Table2[[#This Row],[Product_ID]],Table1[#All],8,TRUE)</f>
        <v>1500</v>
      </c>
    </row>
    <row r="1160" spans="1:16" x14ac:dyDescent="0.3">
      <c r="A1160" t="s">
        <v>2215</v>
      </c>
      <c r="B1160" s="5" t="s">
        <v>2216</v>
      </c>
      <c r="C1160" s="3" t="str">
        <f t="shared" si="18"/>
        <v>12-08-2023</v>
      </c>
      <c r="D1160" t="s">
        <v>96</v>
      </c>
      <c r="E1160" t="s">
        <v>1237</v>
      </c>
      <c r="F1160" t="s">
        <v>64</v>
      </c>
      <c r="G1160" t="s">
        <v>53</v>
      </c>
      <c r="H1160" t="s">
        <v>77</v>
      </c>
      <c r="I1160">
        <v>3</v>
      </c>
      <c r="J1160">
        <v>6336</v>
      </c>
      <c r="K1160" s="7">
        <v>0.2</v>
      </c>
      <c r="L1160" t="s">
        <v>58</v>
      </c>
      <c r="M1160" t="s">
        <v>39</v>
      </c>
      <c r="N1160" t="s">
        <v>32</v>
      </c>
      <c r="O1160">
        <v>4.0999999999999996</v>
      </c>
      <c r="P1160">
        <f>VLOOKUP(Table2[[#This Row],[Product_ID]],Table1[#All],8,TRUE)</f>
        <v>0</v>
      </c>
    </row>
    <row r="1161" spans="1:16" x14ac:dyDescent="0.3">
      <c r="A1161" t="s">
        <v>2217</v>
      </c>
      <c r="B1161" s="5" t="s">
        <v>1894</v>
      </c>
      <c r="C1161" s="3" t="str">
        <f t="shared" si="18"/>
        <v>17-09-2024</v>
      </c>
      <c r="D1161" t="s">
        <v>127</v>
      </c>
      <c r="E1161" t="s">
        <v>1198</v>
      </c>
      <c r="F1161" t="s">
        <v>18</v>
      </c>
      <c r="G1161" t="s">
        <v>19</v>
      </c>
      <c r="H1161" t="s">
        <v>20</v>
      </c>
      <c r="I1161">
        <v>4</v>
      </c>
      <c r="J1161">
        <v>5449</v>
      </c>
      <c r="K1161" s="7">
        <v>0.05</v>
      </c>
      <c r="L1161" t="s">
        <v>31</v>
      </c>
      <c r="M1161" t="s">
        <v>22</v>
      </c>
      <c r="N1161" t="s">
        <v>23</v>
      </c>
      <c r="P1161">
        <f>VLOOKUP(Table2[[#This Row],[Product_ID]],Table1[#All],8,TRUE)</f>
        <v>0</v>
      </c>
    </row>
    <row r="1162" spans="1:16" x14ac:dyDescent="0.3">
      <c r="A1162" t="s">
        <v>1069</v>
      </c>
      <c r="B1162" s="5" t="s">
        <v>2218</v>
      </c>
      <c r="C1162" s="3" t="str">
        <f t="shared" si="18"/>
        <v>30-08-2023</v>
      </c>
      <c r="D1162" t="s">
        <v>114</v>
      </c>
      <c r="E1162" t="s">
        <v>1375</v>
      </c>
      <c r="F1162" t="s">
        <v>28</v>
      </c>
      <c r="G1162" t="s">
        <v>53</v>
      </c>
      <c r="H1162" t="s">
        <v>77</v>
      </c>
      <c r="I1162">
        <v>5</v>
      </c>
      <c r="J1162">
        <v>6538</v>
      </c>
      <c r="K1162" s="7">
        <v>0.2</v>
      </c>
      <c r="L1162" t="s">
        <v>21</v>
      </c>
      <c r="M1162" t="s">
        <v>39</v>
      </c>
      <c r="N1162" t="s">
        <v>32</v>
      </c>
      <c r="P1162">
        <f>VLOOKUP(Table2[[#This Row],[Product_ID]],Table1[#All],8,TRUE)</f>
        <v>500</v>
      </c>
    </row>
    <row r="1163" spans="1:16" x14ac:dyDescent="0.3">
      <c r="A1163" t="s">
        <v>2219</v>
      </c>
      <c r="B1163" s="5" t="s">
        <v>1323</v>
      </c>
      <c r="C1163" s="3" t="str">
        <f t="shared" si="18"/>
        <v>06-04-2024</v>
      </c>
      <c r="D1163" t="s">
        <v>46</v>
      </c>
      <c r="E1163" t="s">
        <v>739</v>
      </c>
      <c r="F1163" t="s">
        <v>73</v>
      </c>
      <c r="G1163" t="s">
        <v>37</v>
      </c>
      <c r="H1163" t="s">
        <v>20</v>
      </c>
      <c r="I1163">
        <v>3</v>
      </c>
      <c r="J1163">
        <v>4716</v>
      </c>
      <c r="K1163" s="7">
        <v>0.1</v>
      </c>
      <c r="L1163" t="s">
        <v>21</v>
      </c>
      <c r="M1163" t="s">
        <v>39</v>
      </c>
      <c r="N1163" t="s">
        <v>32</v>
      </c>
      <c r="P1163">
        <f>VLOOKUP(Table2[[#This Row],[Product_ID]],Table1[#All],8,TRUE)</f>
        <v>1500</v>
      </c>
    </row>
    <row r="1164" spans="1:16" x14ac:dyDescent="0.3">
      <c r="A1164" t="s">
        <v>2220</v>
      </c>
      <c r="B1164" s="5" t="s">
        <v>2124</v>
      </c>
      <c r="C1164" s="3" t="str">
        <f t="shared" si="18"/>
        <v>06-11-2023</v>
      </c>
      <c r="D1164" t="s">
        <v>114</v>
      </c>
      <c r="E1164" t="s">
        <v>914</v>
      </c>
      <c r="F1164" t="s">
        <v>64</v>
      </c>
      <c r="G1164" t="s">
        <v>29</v>
      </c>
      <c r="H1164" t="s">
        <v>99</v>
      </c>
      <c r="I1164">
        <v>1</v>
      </c>
      <c r="J1164">
        <v>4123</v>
      </c>
      <c r="K1164" s="7">
        <v>0.2</v>
      </c>
      <c r="L1164" t="s">
        <v>31</v>
      </c>
      <c r="M1164" t="s">
        <v>39</v>
      </c>
      <c r="N1164" t="s">
        <v>48</v>
      </c>
      <c r="O1164">
        <v>3.7</v>
      </c>
      <c r="P1164">
        <f>VLOOKUP(Table2[[#This Row],[Product_ID]],Table1[#All],8,TRUE)</f>
        <v>700</v>
      </c>
    </row>
    <row r="1165" spans="1:16" x14ac:dyDescent="0.3">
      <c r="A1165" t="s">
        <v>2221</v>
      </c>
      <c r="B1165" s="5" t="s">
        <v>1510</v>
      </c>
      <c r="C1165" s="3" t="str">
        <f t="shared" si="18"/>
        <v>18-10-2023</v>
      </c>
      <c r="D1165" t="s">
        <v>35</v>
      </c>
      <c r="E1165" t="s">
        <v>1066</v>
      </c>
      <c r="F1165" t="s">
        <v>98</v>
      </c>
      <c r="G1165" t="s">
        <v>29</v>
      </c>
      <c r="H1165" t="s">
        <v>99</v>
      </c>
      <c r="I1165">
        <v>2</v>
      </c>
      <c r="J1165">
        <v>1334</v>
      </c>
      <c r="K1165" s="7">
        <v>0.1</v>
      </c>
      <c r="L1165" t="s">
        <v>31</v>
      </c>
      <c r="M1165" t="s">
        <v>39</v>
      </c>
      <c r="N1165" t="s">
        <v>23</v>
      </c>
      <c r="P1165">
        <f>VLOOKUP(Table2[[#This Row],[Product_ID]],Table1[#All],8,TRUE)</f>
        <v>700</v>
      </c>
    </row>
    <row r="1166" spans="1:16" x14ac:dyDescent="0.3">
      <c r="A1166" t="s">
        <v>2222</v>
      </c>
      <c r="B1166" s="5" t="s">
        <v>1098</v>
      </c>
      <c r="C1166" s="3" t="str">
        <f t="shared" si="18"/>
        <v>30-12-2024</v>
      </c>
      <c r="D1166" t="s">
        <v>46</v>
      </c>
      <c r="E1166" t="s">
        <v>1151</v>
      </c>
      <c r="F1166" t="s">
        <v>73</v>
      </c>
      <c r="G1166" t="s">
        <v>37</v>
      </c>
      <c r="H1166" t="s">
        <v>30</v>
      </c>
      <c r="I1166">
        <v>4</v>
      </c>
      <c r="J1166">
        <v>3436</v>
      </c>
      <c r="K1166" s="7">
        <v>0.15</v>
      </c>
      <c r="L1166" t="s">
        <v>38</v>
      </c>
      <c r="M1166" t="s">
        <v>22</v>
      </c>
      <c r="N1166" t="s">
        <v>48</v>
      </c>
      <c r="O1166">
        <v>3.9</v>
      </c>
      <c r="P1166">
        <f>VLOOKUP(Table2[[#This Row],[Product_ID]],Table1[#All],8,TRUE)</f>
        <v>700</v>
      </c>
    </row>
    <row r="1167" spans="1:16" x14ac:dyDescent="0.3">
      <c r="A1167" t="s">
        <v>147</v>
      </c>
      <c r="B1167" s="5" t="s">
        <v>1338</v>
      </c>
      <c r="C1167" s="3" t="str">
        <f t="shared" si="18"/>
        <v>11-08-2024</v>
      </c>
      <c r="D1167" t="s">
        <v>71</v>
      </c>
      <c r="E1167" t="s">
        <v>991</v>
      </c>
      <c r="F1167" t="s">
        <v>64</v>
      </c>
      <c r="G1167" t="s">
        <v>19</v>
      </c>
      <c r="H1167" t="s">
        <v>99</v>
      </c>
      <c r="I1167">
        <v>3</v>
      </c>
      <c r="J1167">
        <v>2553</v>
      </c>
      <c r="K1167" s="7">
        <v>0.1</v>
      </c>
      <c r="L1167" t="s">
        <v>31</v>
      </c>
      <c r="M1167" t="s">
        <v>22</v>
      </c>
      <c r="N1167" t="s">
        <v>48</v>
      </c>
      <c r="P1167">
        <f>VLOOKUP(Table2[[#This Row],[Product_ID]],Table1[#All],8,TRUE)</f>
        <v>0</v>
      </c>
    </row>
    <row r="1168" spans="1:16" x14ac:dyDescent="0.3">
      <c r="A1168" t="s">
        <v>2223</v>
      </c>
      <c r="B1168" s="5" t="s">
        <v>2021</v>
      </c>
      <c r="C1168" s="3" t="str">
        <f t="shared" si="18"/>
        <v>30-12-2024</v>
      </c>
      <c r="D1168" t="s">
        <v>80</v>
      </c>
      <c r="E1168" t="s">
        <v>240</v>
      </c>
      <c r="F1168" t="s">
        <v>73</v>
      </c>
      <c r="G1168" t="s">
        <v>19</v>
      </c>
      <c r="H1168" t="s">
        <v>77</v>
      </c>
      <c r="I1168">
        <v>3</v>
      </c>
      <c r="J1168">
        <v>6712</v>
      </c>
      <c r="K1168" s="7">
        <v>0.05</v>
      </c>
      <c r="L1168" t="s">
        <v>31</v>
      </c>
      <c r="M1168" t="s">
        <v>39</v>
      </c>
      <c r="N1168" t="s">
        <v>32</v>
      </c>
      <c r="P1168">
        <f>VLOOKUP(Table2[[#This Row],[Product_ID]],Table1[#All],8,TRUE)</f>
        <v>500</v>
      </c>
    </row>
    <row r="1169" spans="1:16" x14ac:dyDescent="0.3">
      <c r="A1169" t="s">
        <v>2224</v>
      </c>
      <c r="B1169" s="5" t="s">
        <v>1685</v>
      </c>
      <c r="C1169" s="3" t="str">
        <f t="shared" si="18"/>
        <v>18-10-2023</v>
      </c>
      <c r="D1169" t="s">
        <v>26</v>
      </c>
      <c r="E1169" t="s">
        <v>958</v>
      </c>
      <c r="F1169" t="s">
        <v>73</v>
      </c>
      <c r="G1169" t="s">
        <v>19</v>
      </c>
      <c r="H1169" t="s">
        <v>77</v>
      </c>
      <c r="I1169">
        <v>2</v>
      </c>
      <c r="J1169">
        <v>8236</v>
      </c>
      <c r="K1169" s="7">
        <v>0.05</v>
      </c>
      <c r="L1169" t="s">
        <v>21</v>
      </c>
      <c r="M1169" t="s">
        <v>39</v>
      </c>
      <c r="N1169" t="s">
        <v>59</v>
      </c>
      <c r="O1169">
        <v>4.5</v>
      </c>
      <c r="P1169">
        <f>VLOOKUP(Table2[[#This Row],[Product_ID]],Table1[#All],8,TRUE)</f>
        <v>500</v>
      </c>
    </row>
    <row r="1170" spans="1:16" x14ac:dyDescent="0.3">
      <c r="A1170" t="s">
        <v>2020</v>
      </c>
      <c r="B1170" s="5" t="s">
        <v>2225</v>
      </c>
      <c r="C1170" s="3" t="str">
        <f t="shared" si="18"/>
        <v>26-12-2024</v>
      </c>
      <c r="D1170" t="s">
        <v>96</v>
      </c>
      <c r="E1170" t="s">
        <v>68</v>
      </c>
      <c r="F1170" t="s">
        <v>28</v>
      </c>
      <c r="G1170" t="s">
        <v>53</v>
      </c>
      <c r="H1170" t="s">
        <v>20</v>
      </c>
      <c r="I1170">
        <v>3</v>
      </c>
      <c r="J1170">
        <v>2382</v>
      </c>
      <c r="K1170" s="7">
        <v>0.1</v>
      </c>
      <c r="L1170" t="s">
        <v>38</v>
      </c>
      <c r="M1170" t="s">
        <v>39</v>
      </c>
      <c r="N1170" t="s">
        <v>32</v>
      </c>
      <c r="P1170">
        <f>VLOOKUP(Table2[[#This Row],[Product_ID]],Table1[#All],8,TRUE)</f>
        <v>700</v>
      </c>
    </row>
    <row r="1171" spans="1:16" x14ac:dyDescent="0.3">
      <c r="A1171" t="s">
        <v>2226</v>
      </c>
      <c r="B1171" s="5" t="s">
        <v>2227</v>
      </c>
      <c r="C1171" s="3" t="str">
        <f t="shared" si="18"/>
        <v>01-10-2023</v>
      </c>
      <c r="D1171" t="s">
        <v>84</v>
      </c>
      <c r="E1171" t="s">
        <v>880</v>
      </c>
      <c r="F1171" t="s">
        <v>73</v>
      </c>
      <c r="G1171" t="s">
        <v>19</v>
      </c>
      <c r="H1171" t="s">
        <v>77</v>
      </c>
      <c r="I1171">
        <v>5</v>
      </c>
      <c r="J1171">
        <v>8597</v>
      </c>
      <c r="K1171" s="7">
        <v>0.1</v>
      </c>
      <c r="L1171" t="s">
        <v>31</v>
      </c>
      <c r="M1171" t="s">
        <v>39</v>
      </c>
      <c r="N1171" t="s">
        <v>32</v>
      </c>
      <c r="P1171">
        <f>VLOOKUP(Table2[[#This Row],[Product_ID]],Table1[#All],8,TRUE)</f>
        <v>1200</v>
      </c>
    </row>
    <row r="1172" spans="1:16" x14ac:dyDescent="0.3">
      <c r="A1172" t="s">
        <v>2228</v>
      </c>
      <c r="B1172" s="5" t="s">
        <v>2229</v>
      </c>
      <c r="C1172" s="3" t="str">
        <f t="shared" si="18"/>
        <v>28-12-2023</v>
      </c>
      <c r="D1172" t="s">
        <v>114</v>
      </c>
      <c r="E1172" t="s">
        <v>2033</v>
      </c>
      <c r="F1172" t="s">
        <v>98</v>
      </c>
      <c r="G1172" t="s">
        <v>37</v>
      </c>
      <c r="H1172" t="s">
        <v>99</v>
      </c>
      <c r="I1172">
        <v>3</v>
      </c>
      <c r="J1172">
        <v>9852</v>
      </c>
      <c r="K1172" s="7">
        <v>0.05</v>
      </c>
      <c r="L1172" t="s">
        <v>58</v>
      </c>
      <c r="M1172" t="s">
        <v>22</v>
      </c>
      <c r="N1172" t="s">
        <v>23</v>
      </c>
      <c r="P1172">
        <f>VLOOKUP(Table2[[#This Row],[Product_ID]],Table1[#All],8,TRUE)</f>
        <v>1200</v>
      </c>
    </row>
    <row r="1173" spans="1:16" x14ac:dyDescent="0.3">
      <c r="A1173" t="s">
        <v>2230</v>
      </c>
      <c r="B1173" s="5" t="s">
        <v>1804</v>
      </c>
      <c r="C1173" s="3" t="str">
        <f t="shared" si="18"/>
        <v>03-05-2023</v>
      </c>
      <c r="D1173" t="s">
        <v>84</v>
      </c>
      <c r="E1173" t="s">
        <v>1007</v>
      </c>
      <c r="F1173" t="s">
        <v>43</v>
      </c>
      <c r="G1173" t="s">
        <v>19</v>
      </c>
      <c r="H1173" t="s">
        <v>99</v>
      </c>
      <c r="I1173">
        <v>1</v>
      </c>
      <c r="J1173">
        <v>4128</v>
      </c>
      <c r="K1173" s="7">
        <v>0</v>
      </c>
      <c r="L1173" t="s">
        <v>31</v>
      </c>
      <c r="M1173" t="s">
        <v>22</v>
      </c>
      <c r="N1173" t="s">
        <v>23</v>
      </c>
      <c r="P1173">
        <f>VLOOKUP(Table2[[#This Row],[Product_ID]],Table1[#All],8,TRUE)</f>
        <v>1200</v>
      </c>
    </row>
    <row r="1174" spans="1:16" x14ac:dyDescent="0.3">
      <c r="A1174" t="s">
        <v>2231</v>
      </c>
      <c r="B1174" s="5" t="s">
        <v>70</v>
      </c>
      <c r="C1174" s="3" t="str">
        <f t="shared" si="18"/>
        <v>19-04-2024</v>
      </c>
      <c r="D1174" t="s">
        <v>131</v>
      </c>
      <c r="E1174" t="s">
        <v>328</v>
      </c>
      <c r="F1174" t="s">
        <v>73</v>
      </c>
      <c r="G1174" t="s">
        <v>53</v>
      </c>
      <c r="H1174" t="s">
        <v>20</v>
      </c>
      <c r="I1174">
        <v>1</v>
      </c>
      <c r="J1174">
        <v>4977</v>
      </c>
      <c r="K1174" s="7">
        <v>0.15</v>
      </c>
      <c r="L1174" t="s">
        <v>58</v>
      </c>
      <c r="M1174" t="s">
        <v>39</v>
      </c>
      <c r="N1174" t="s">
        <v>32</v>
      </c>
      <c r="P1174">
        <f>VLOOKUP(Table2[[#This Row],[Product_ID]],Table1[#All],8,TRUE)</f>
        <v>900</v>
      </c>
    </row>
    <row r="1175" spans="1:16" x14ac:dyDescent="0.3">
      <c r="A1175" t="s">
        <v>2232</v>
      </c>
      <c r="B1175" s="5" t="s">
        <v>2233</v>
      </c>
      <c r="C1175" s="3" t="str">
        <f t="shared" si="18"/>
        <v>30-10-2023</v>
      </c>
      <c r="D1175" t="s">
        <v>84</v>
      </c>
      <c r="E1175" t="s">
        <v>557</v>
      </c>
      <c r="F1175" t="s">
        <v>57</v>
      </c>
      <c r="G1175" t="s">
        <v>29</v>
      </c>
      <c r="H1175" t="s">
        <v>30</v>
      </c>
      <c r="I1175">
        <v>4</v>
      </c>
      <c r="J1175">
        <v>3799</v>
      </c>
      <c r="K1175" s="7">
        <v>0.15</v>
      </c>
      <c r="L1175" t="s">
        <v>38</v>
      </c>
      <c r="M1175" t="s">
        <v>22</v>
      </c>
      <c r="N1175" t="s">
        <v>59</v>
      </c>
      <c r="P1175">
        <f>VLOOKUP(Table2[[#This Row],[Product_ID]],Table1[#All],8,TRUE)</f>
        <v>1500</v>
      </c>
    </row>
    <row r="1176" spans="1:16" x14ac:dyDescent="0.3">
      <c r="A1176" t="s">
        <v>776</v>
      </c>
      <c r="B1176" s="5" t="s">
        <v>2234</v>
      </c>
      <c r="C1176" s="3" t="str">
        <f t="shared" si="18"/>
        <v>08-08-2023</v>
      </c>
      <c r="D1176" t="s">
        <v>84</v>
      </c>
      <c r="E1176" t="s">
        <v>600</v>
      </c>
      <c r="F1176" t="s">
        <v>64</v>
      </c>
      <c r="G1176" t="s">
        <v>53</v>
      </c>
      <c r="H1176" t="s">
        <v>20</v>
      </c>
      <c r="I1176">
        <v>4</v>
      </c>
      <c r="J1176">
        <v>8209</v>
      </c>
      <c r="K1176" s="7">
        <v>0.05</v>
      </c>
      <c r="L1176" t="s">
        <v>58</v>
      </c>
      <c r="M1176" t="s">
        <v>22</v>
      </c>
      <c r="N1176" t="s">
        <v>59</v>
      </c>
      <c r="P1176">
        <f>VLOOKUP(Table2[[#This Row],[Product_ID]],Table1[#All],8,TRUE)</f>
        <v>1200</v>
      </c>
    </row>
    <row r="1177" spans="1:16" x14ac:dyDescent="0.3">
      <c r="A1177" t="s">
        <v>2235</v>
      </c>
      <c r="B1177" s="5" t="s">
        <v>2236</v>
      </c>
      <c r="C1177" s="3" t="str">
        <f t="shared" si="18"/>
        <v>28-02-2024</v>
      </c>
      <c r="D1177" t="s">
        <v>71</v>
      </c>
      <c r="E1177" t="s">
        <v>582</v>
      </c>
      <c r="F1177" t="s">
        <v>73</v>
      </c>
      <c r="G1177" t="s">
        <v>37</v>
      </c>
      <c r="H1177" t="s">
        <v>20</v>
      </c>
      <c r="I1177">
        <v>4</v>
      </c>
      <c r="J1177">
        <v>8022</v>
      </c>
      <c r="K1177" s="7">
        <v>0</v>
      </c>
      <c r="L1177" t="s">
        <v>58</v>
      </c>
      <c r="M1177" t="s">
        <v>39</v>
      </c>
      <c r="N1177" t="s">
        <v>48</v>
      </c>
      <c r="O1177">
        <v>3.9</v>
      </c>
      <c r="P1177">
        <f>VLOOKUP(Table2[[#This Row],[Product_ID]],Table1[#All],8,TRUE)</f>
        <v>900</v>
      </c>
    </row>
    <row r="1178" spans="1:16" x14ac:dyDescent="0.3">
      <c r="A1178" t="s">
        <v>2237</v>
      </c>
      <c r="B1178" s="5" t="s">
        <v>2238</v>
      </c>
      <c r="C1178" s="3" t="str">
        <f t="shared" si="18"/>
        <v>28-10-2023</v>
      </c>
      <c r="D1178" t="s">
        <v>91</v>
      </c>
      <c r="E1178" t="s">
        <v>512</v>
      </c>
      <c r="F1178" t="s">
        <v>73</v>
      </c>
      <c r="G1178" t="s">
        <v>29</v>
      </c>
      <c r="H1178" t="s">
        <v>77</v>
      </c>
      <c r="I1178">
        <v>1</v>
      </c>
      <c r="J1178">
        <v>4391</v>
      </c>
      <c r="K1178" s="7">
        <v>0.05</v>
      </c>
      <c r="L1178" t="s">
        <v>38</v>
      </c>
      <c r="M1178" t="s">
        <v>39</v>
      </c>
      <c r="N1178" t="s">
        <v>32</v>
      </c>
      <c r="O1178">
        <v>3.9</v>
      </c>
      <c r="P1178">
        <f>VLOOKUP(Table2[[#This Row],[Product_ID]],Table1[#All],8,TRUE)</f>
        <v>500</v>
      </c>
    </row>
    <row r="1179" spans="1:16" x14ac:dyDescent="0.3">
      <c r="A1179" t="s">
        <v>2239</v>
      </c>
      <c r="B1179" s="5" t="s">
        <v>2240</v>
      </c>
      <c r="C1179" s="3" t="str">
        <f t="shared" si="18"/>
        <v>01-12-2023</v>
      </c>
      <c r="D1179" t="s">
        <v>26</v>
      </c>
      <c r="E1179" t="s">
        <v>157</v>
      </c>
      <c r="F1179" t="s">
        <v>73</v>
      </c>
      <c r="G1179" t="s">
        <v>53</v>
      </c>
      <c r="H1179" t="s">
        <v>20</v>
      </c>
      <c r="I1179">
        <v>5</v>
      </c>
      <c r="J1179">
        <v>3468</v>
      </c>
      <c r="K1179" s="7">
        <v>0.05</v>
      </c>
      <c r="L1179" t="s">
        <v>58</v>
      </c>
      <c r="M1179" t="s">
        <v>22</v>
      </c>
      <c r="N1179" t="s">
        <v>32</v>
      </c>
      <c r="P1179">
        <f>VLOOKUP(Table2[[#This Row],[Product_ID]],Table1[#All],8,TRUE)</f>
        <v>900</v>
      </c>
    </row>
    <row r="1180" spans="1:16" x14ac:dyDescent="0.3">
      <c r="A1180" t="s">
        <v>2241</v>
      </c>
      <c r="B1180" s="5" t="s">
        <v>2242</v>
      </c>
      <c r="C1180" s="3" t="str">
        <f t="shared" si="18"/>
        <v>28-02-2024</v>
      </c>
      <c r="D1180" t="s">
        <v>46</v>
      </c>
      <c r="E1180" t="s">
        <v>400</v>
      </c>
      <c r="F1180" t="s">
        <v>64</v>
      </c>
      <c r="G1180" t="s">
        <v>19</v>
      </c>
      <c r="H1180" t="s">
        <v>77</v>
      </c>
      <c r="I1180">
        <v>2</v>
      </c>
      <c r="J1180">
        <v>7768</v>
      </c>
      <c r="K1180" s="7">
        <v>0.15</v>
      </c>
      <c r="L1180" t="s">
        <v>38</v>
      </c>
      <c r="M1180" t="s">
        <v>22</v>
      </c>
      <c r="N1180" t="s">
        <v>32</v>
      </c>
      <c r="P1180">
        <f>VLOOKUP(Table2[[#This Row],[Product_ID]],Table1[#All],8,TRUE)</f>
        <v>700</v>
      </c>
    </row>
    <row r="1181" spans="1:16" x14ac:dyDescent="0.3">
      <c r="A1181" t="s">
        <v>2139</v>
      </c>
      <c r="B1181" s="5" t="s">
        <v>2243</v>
      </c>
      <c r="C1181" s="3" t="str">
        <f t="shared" si="18"/>
        <v>25-10-2024</v>
      </c>
      <c r="D1181" t="s">
        <v>80</v>
      </c>
      <c r="E1181" t="s">
        <v>512</v>
      </c>
      <c r="F1181" t="s">
        <v>18</v>
      </c>
      <c r="G1181" t="s">
        <v>29</v>
      </c>
      <c r="H1181" t="s">
        <v>20</v>
      </c>
      <c r="I1181">
        <v>1</v>
      </c>
      <c r="J1181">
        <v>7769</v>
      </c>
      <c r="K1181" s="7">
        <v>0.2</v>
      </c>
      <c r="L1181" t="s">
        <v>58</v>
      </c>
      <c r="M1181" t="s">
        <v>22</v>
      </c>
      <c r="N1181" t="s">
        <v>59</v>
      </c>
      <c r="P1181">
        <f>VLOOKUP(Table2[[#This Row],[Product_ID]],Table1[#All],8,TRUE)</f>
        <v>500</v>
      </c>
    </row>
    <row r="1182" spans="1:16" x14ac:dyDescent="0.3">
      <c r="A1182" t="s">
        <v>939</v>
      </c>
      <c r="B1182" s="5" t="s">
        <v>2244</v>
      </c>
      <c r="C1182" s="3" t="str">
        <f t="shared" si="18"/>
        <v>29-10-2024</v>
      </c>
      <c r="D1182" t="s">
        <v>91</v>
      </c>
      <c r="E1182" t="s">
        <v>1520</v>
      </c>
      <c r="F1182" t="s">
        <v>64</v>
      </c>
      <c r="G1182" t="s">
        <v>29</v>
      </c>
      <c r="H1182" t="s">
        <v>20</v>
      </c>
      <c r="I1182">
        <v>2</v>
      </c>
      <c r="J1182">
        <v>9634</v>
      </c>
      <c r="K1182" s="7">
        <v>0.15</v>
      </c>
      <c r="L1182" t="s">
        <v>38</v>
      </c>
      <c r="M1182" t="s">
        <v>39</v>
      </c>
      <c r="N1182" t="s">
        <v>32</v>
      </c>
      <c r="P1182">
        <f>VLOOKUP(Table2[[#This Row],[Product_ID]],Table1[#All],8,TRUE)</f>
        <v>500</v>
      </c>
    </row>
    <row r="1183" spans="1:16" x14ac:dyDescent="0.3">
      <c r="A1183" t="s">
        <v>2245</v>
      </c>
      <c r="B1183" s="5" t="s">
        <v>2246</v>
      </c>
      <c r="C1183" s="3" t="str">
        <f t="shared" si="18"/>
        <v>30-04-2023</v>
      </c>
      <c r="D1183" t="s">
        <v>67</v>
      </c>
      <c r="E1183" t="s">
        <v>635</v>
      </c>
      <c r="F1183" t="s">
        <v>64</v>
      </c>
      <c r="G1183" t="s">
        <v>29</v>
      </c>
      <c r="H1183" t="s">
        <v>30</v>
      </c>
      <c r="I1183">
        <v>3</v>
      </c>
      <c r="J1183">
        <v>1608</v>
      </c>
      <c r="K1183" s="7">
        <v>0.05</v>
      </c>
      <c r="L1183" t="s">
        <v>58</v>
      </c>
      <c r="M1183" t="s">
        <v>22</v>
      </c>
      <c r="N1183" t="s">
        <v>48</v>
      </c>
      <c r="O1183">
        <v>4.0999999999999996</v>
      </c>
      <c r="P1183">
        <f>VLOOKUP(Table2[[#This Row],[Product_ID]],Table1[#All],8,TRUE)</f>
        <v>900</v>
      </c>
    </row>
    <row r="1184" spans="1:16" x14ac:dyDescent="0.3">
      <c r="A1184" t="s">
        <v>1413</v>
      </c>
      <c r="B1184" s="5" t="s">
        <v>2247</v>
      </c>
      <c r="C1184" s="3" t="str">
        <f t="shared" si="18"/>
        <v>19-03-2024</v>
      </c>
      <c r="D1184" t="s">
        <v>35</v>
      </c>
      <c r="E1184" t="s">
        <v>135</v>
      </c>
      <c r="F1184" t="s">
        <v>64</v>
      </c>
      <c r="G1184" t="s">
        <v>29</v>
      </c>
      <c r="H1184" t="s">
        <v>99</v>
      </c>
      <c r="I1184">
        <v>4</v>
      </c>
      <c r="J1184">
        <v>4888</v>
      </c>
      <c r="K1184" s="7">
        <v>0.05</v>
      </c>
      <c r="L1184" t="s">
        <v>38</v>
      </c>
      <c r="M1184" t="s">
        <v>22</v>
      </c>
      <c r="N1184" t="s">
        <v>48</v>
      </c>
      <c r="P1184">
        <f>VLOOKUP(Table2[[#This Row],[Product_ID]],Table1[#All],8,TRUE)</f>
        <v>1500</v>
      </c>
    </row>
    <row r="1185" spans="1:16" x14ac:dyDescent="0.3">
      <c r="A1185" t="s">
        <v>2248</v>
      </c>
      <c r="B1185" s="5" t="s">
        <v>41</v>
      </c>
      <c r="C1185" s="3" t="str">
        <f t="shared" si="18"/>
        <v>07-06-2024</v>
      </c>
      <c r="D1185" t="s">
        <v>51</v>
      </c>
      <c r="E1185" t="s">
        <v>577</v>
      </c>
      <c r="F1185" t="s">
        <v>18</v>
      </c>
      <c r="G1185" t="s">
        <v>37</v>
      </c>
      <c r="H1185" t="s">
        <v>77</v>
      </c>
      <c r="I1185">
        <v>4</v>
      </c>
      <c r="J1185">
        <v>3566</v>
      </c>
      <c r="K1185" s="7">
        <v>0.2</v>
      </c>
      <c r="L1185" t="s">
        <v>38</v>
      </c>
      <c r="M1185" t="s">
        <v>39</v>
      </c>
      <c r="N1185" t="s">
        <v>59</v>
      </c>
      <c r="O1185">
        <v>4.2</v>
      </c>
      <c r="P1185">
        <f>VLOOKUP(Table2[[#This Row],[Product_ID]],Table1[#All],8,TRUE)</f>
        <v>900</v>
      </c>
    </row>
    <row r="1186" spans="1:16" x14ac:dyDescent="0.3">
      <c r="A1186" t="s">
        <v>2249</v>
      </c>
      <c r="B1186" s="5" t="s">
        <v>2250</v>
      </c>
      <c r="C1186" s="3" t="str">
        <f t="shared" si="18"/>
        <v>13-03-2023</v>
      </c>
      <c r="D1186" t="s">
        <v>35</v>
      </c>
      <c r="E1186" t="s">
        <v>1066</v>
      </c>
      <c r="F1186" t="s">
        <v>28</v>
      </c>
      <c r="G1186" t="s">
        <v>29</v>
      </c>
      <c r="H1186" t="s">
        <v>20</v>
      </c>
      <c r="I1186">
        <v>1</v>
      </c>
      <c r="J1186">
        <v>9537</v>
      </c>
      <c r="K1186" s="7">
        <v>0.05</v>
      </c>
      <c r="L1186" t="s">
        <v>38</v>
      </c>
      <c r="M1186" t="s">
        <v>22</v>
      </c>
      <c r="N1186" t="s">
        <v>32</v>
      </c>
      <c r="O1186">
        <v>3.7</v>
      </c>
      <c r="P1186">
        <f>VLOOKUP(Table2[[#This Row],[Product_ID]],Table1[#All],8,TRUE)</f>
        <v>700</v>
      </c>
    </row>
    <row r="1187" spans="1:16" x14ac:dyDescent="0.3">
      <c r="A1187" t="s">
        <v>531</v>
      </c>
      <c r="B1187" s="5" t="s">
        <v>2251</v>
      </c>
      <c r="C1187" s="3" t="str">
        <f t="shared" si="18"/>
        <v>31-10-2023</v>
      </c>
      <c r="D1187" t="s">
        <v>26</v>
      </c>
      <c r="E1187" t="s">
        <v>226</v>
      </c>
      <c r="F1187" t="s">
        <v>57</v>
      </c>
      <c r="G1187" t="s">
        <v>53</v>
      </c>
      <c r="H1187" t="s">
        <v>30</v>
      </c>
      <c r="I1187">
        <v>2</v>
      </c>
      <c r="J1187">
        <v>6035</v>
      </c>
      <c r="K1187" s="7">
        <v>0.2</v>
      </c>
      <c r="L1187" t="s">
        <v>38</v>
      </c>
      <c r="M1187" t="s">
        <v>39</v>
      </c>
      <c r="N1187" t="s">
        <v>32</v>
      </c>
      <c r="P1187">
        <f>VLOOKUP(Table2[[#This Row],[Product_ID]],Table1[#All],8,TRUE)</f>
        <v>700</v>
      </c>
    </row>
    <row r="1188" spans="1:16" x14ac:dyDescent="0.3">
      <c r="A1188" t="s">
        <v>2252</v>
      </c>
      <c r="B1188" s="5" t="s">
        <v>75</v>
      </c>
      <c r="C1188" s="3" t="str">
        <f t="shared" si="18"/>
        <v>30-01-2024</v>
      </c>
      <c r="D1188" t="s">
        <v>62</v>
      </c>
      <c r="E1188" t="s">
        <v>476</v>
      </c>
      <c r="F1188" t="s">
        <v>57</v>
      </c>
      <c r="G1188" t="s">
        <v>53</v>
      </c>
      <c r="H1188" t="s">
        <v>30</v>
      </c>
      <c r="I1188">
        <v>2</v>
      </c>
      <c r="J1188">
        <v>5489</v>
      </c>
      <c r="K1188" s="7">
        <v>0.2</v>
      </c>
      <c r="L1188" t="s">
        <v>21</v>
      </c>
      <c r="M1188" t="s">
        <v>22</v>
      </c>
      <c r="N1188" t="s">
        <v>32</v>
      </c>
      <c r="O1188">
        <v>3.5</v>
      </c>
      <c r="P1188">
        <f>VLOOKUP(Table2[[#This Row],[Product_ID]],Table1[#All],8,TRUE)</f>
        <v>1200</v>
      </c>
    </row>
    <row r="1189" spans="1:16" x14ac:dyDescent="0.3">
      <c r="A1189" t="s">
        <v>2253</v>
      </c>
      <c r="B1189" s="5" t="s">
        <v>189</v>
      </c>
      <c r="C1189" s="3" t="str">
        <f t="shared" si="18"/>
        <v>01-02-2023</v>
      </c>
      <c r="D1189" t="s">
        <v>131</v>
      </c>
      <c r="E1189" t="s">
        <v>253</v>
      </c>
      <c r="F1189" t="s">
        <v>18</v>
      </c>
      <c r="G1189" t="s">
        <v>37</v>
      </c>
      <c r="H1189" t="s">
        <v>77</v>
      </c>
      <c r="I1189">
        <v>5</v>
      </c>
      <c r="J1189">
        <v>1944</v>
      </c>
      <c r="K1189" s="7">
        <v>0.05</v>
      </c>
      <c r="L1189" t="s">
        <v>38</v>
      </c>
      <c r="M1189" t="s">
        <v>22</v>
      </c>
      <c r="N1189" t="s">
        <v>23</v>
      </c>
      <c r="O1189">
        <v>3.5</v>
      </c>
      <c r="P1189">
        <f>VLOOKUP(Table2[[#This Row],[Product_ID]],Table1[#All],8,TRUE)</f>
        <v>0</v>
      </c>
    </row>
    <row r="1190" spans="1:16" x14ac:dyDescent="0.3">
      <c r="A1190" t="s">
        <v>2254</v>
      </c>
      <c r="B1190" s="5" t="s">
        <v>1282</v>
      </c>
      <c r="C1190" s="3" t="str">
        <f t="shared" si="18"/>
        <v>08-11-2024</v>
      </c>
      <c r="D1190" t="s">
        <v>96</v>
      </c>
      <c r="E1190" t="s">
        <v>354</v>
      </c>
      <c r="F1190" t="s">
        <v>73</v>
      </c>
      <c r="G1190" t="s">
        <v>37</v>
      </c>
      <c r="H1190" t="s">
        <v>20</v>
      </c>
      <c r="I1190">
        <v>4</v>
      </c>
      <c r="J1190">
        <v>2942</v>
      </c>
      <c r="K1190" s="7">
        <v>0.2</v>
      </c>
      <c r="L1190" t="s">
        <v>58</v>
      </c>
      <c r="M1190" t="s">
        <v>39</v>
      </c>
      <c r="N1190" t="s">
        <v>32</v>
      </c>
      <c r="O1190">
        <v>3.1</v>
      </c>
      <c r="P1190">
        <f>VLOOKUP(Table2[[#This Row],[Product_ID]],Table1[#All],8,TRUE)</f>
        <v>0</v>
      </c>
    </row>
    <row r="1191" spans="1:16" x14ac:dyDescent="0.3">
      <c r="A1191" t="s">
        <v>2016</v>
      </c>
      <c r="B1191" s="5" t="s">
        <v>2255</v>
      </c>
      <c r="C1191" s="3" t="str">
        <f t="shared" si="18"/>
        <v>28-12-2024</v>
      </c>
      <c r="D1191" t="s">
        <v>80</v>
      </c>
      <c r="E1191" t="s">
        <v>540</v>
      </c>
      <c r="F1191" t="s">
        <v>28</v>
      </c>
      <c r="G1191" t="s">
        <v>37</v>
      </c>
      <c r="H1191" t="s">
        <v>30</v>
      </c>
      <c r="I1191">
        <v>3</v>
      </c>
      <c r="J1191">
        <v>1560</v>
      </c>
      <c r="K1191" s="7">
        <v>0.1</v>
      </c>
      <c r="L1191" t="s">
        <v>58</v>
      </c>
      <c r="M1191" t="s">
        <v>39</v>
      </c>
      <c r="N1191" t="s">
        <v>59</v>
      </c>
      <c r="O1191">
        <v>4.5</v>
      </c>
      <c r="P1191">
        <f>VLOOKUP(Table2[[#This Row],[Product_ID]],Table1[#All],8,TRUE)</f>
        <v>1500</v>
      </c>
    </row>
    <row r="1192" spans="1:16" x14ac:dyDescent="0.3">
      <c r="A1192" t="s">
        <v>1808</v>
      </c>
      <c r="B1192" s="5" t="s">
        <v>2256</v>
      </c>
      <c r="C1192" s="3" t="str">
        <f t="shared" si="18"/>
        <v>08-08-2023</v>
      </c>
      <c r="D1192" t="s">
        <v>16</v>
      </c>
      <c r="E1192" t="s">
        <v>207</v>
      </c>
      <c r="F1192" t="s">
        <v>73</v>
      </c>
      <c r="G1192" t="s">
        <v>29</v>
      </c>
      <c r="H1192" t="s">
        <v>20</v>
      </c>
      <c r="I1192">
        <v>3</v>
      </c>
      <c r="J1192">
        <v>3034</v>
      </c>
      <c r="K1192" s="7">
        <v>0</v>
      </c>
      <c r="L1192" t="s">
        <v>31</v>
      </c>
      <c r="M1192" t="s">
        <v>22</v>
      </c>
      <c r="N1192" t="s">
        <v>48</v>
      </c>
      <c r="O1192">
        <v>4.3</v>
      </c>
      <c r="P1192">
        <f>VLOOKUP(Table2[[#This Row],[Product_ID]],Table1[#All],8,TRUE)</f>
        <v>1500</v>
      </c>
    </row>
    <row r="1193" spans="1:16" x14ac:dyDescent="0.3">
      <c r="A1193" t="s">
        <v>2257</v>
      </c>
      <c r="B1193" s="5" t="s">
        <v>2258</v>
      </c>
      <c r="C1193" s="3" t="str">
        <f t="shared" si="18"/>
        <v>22-01-2024</v>
      </c>
      <c r="D1193" t="s">
        <v>51</v>
      </c>
      <c r="E1193" t="s">
        <v>146</v>
      </c>
      <c r="F1193" t="s">
        <v>98</v>
      </c>
      <c r="G1193" t="s">
        <v>19</v>
      </c>
      <c r="H1193" t="s">
        <v>99</v>
      </c>
      <c r="I1193">
        <v>3</v>
      </c>
      <c r="J1193">
        <v>8967</v>
      </c>
      <c r="K1193" s="7">
        <v>0.05</v>
      </c>
      <c r="L1193" t="s">
        <v>38</v>
      </c>
      <c r="M1193" t="s">
        <v>22</v>
      </c>
      <c r="N1193" t="s">
        <v>32</v>
      </c>
      <c r="O1193">
        <v>4.7</v>
      </c>
      <c r="P1193">
        <f>VLOOKUP(Table2[[#This Row],[Product_ID]],Table1[#All],8,TRUE)</f>
        <v>0</v>
      </c>
    </row>
    <row r="1194" spans="1:16" x14ac:dyDescent="0.3">
      <c r="A1194" t="s">
        <v>2259</v>
      </c>
      <c r="B1194" s="5" t="s">
        <v>2260</v>
      </c>
      <c r="C1194" s="3" t="str">
        <f t="shared" si="18"/>
        <v>14-11-2023</v>
      </c>
      <c r="D1194" t="s">
        <v>96</v>
      </c>
      <c r="E1194" t="s">
        <v>36</v>
      </c>
      <c r="F1194" t="s">
        <v>98</v>
      </c>
      <c r="G1194" t="s">
        <v>53</v>
      </c>
      <c r="H1194" t="s">
        <v>99</v>
      </c>
      <c r="I1194">
        <v>3</v>
      </c>
      <c r="J1194">
        <v>7428</v>
      </c>
      <c r="K1194" s="7">
        <v>0.2</v>
      </c>
      <c r="L1194" t="s">
        <v>38</v>
      </c>
      <c r="M1194" t="s">
        <v>22</v>
      </c>
      <c r="N1194" t="s">
        <v>48</v>
      </c>
      <c r="O1194">
        <v>3.4</v>
      </c>
      <c r="P1194">
        <f>VLOOKUP(Table2[[#This Row],[Product_ID]],Table1[#All],8,TRUE)</f>
        <v>1500</v>
      </c>
    </row>
    <row r="1195" spans="1:16" x14ac:dyDescent="0.3">
      <c r="A1195" t="s">
        <v>2261</v>
      </c>
      <c r="B1195" s="5" t="s">
        <v>1201</v>
      </c>
      <c r="C1195" s="3" t="str">
        <f t="shared" si="18"/>
        <v>26-02-2024</v>
      </c>
      <c r="D1195" t="s">
        <v>80</v>
      </c>
      <c r="E1195" t="s">
        <v>712</v>
      </c>
      <c r="F1195" t="s">
        <v>43</v>
      </c>
      <c r="G1195" t="s">
        <v>53</v>
      </c>
      <c r="H1195" t="s">
        <v>20</v>
      </c>
      <c r="I1195">
        <v>3</v>
      </c>
      <c r="J1195">
        <v>2815</v>
      </c>
      <c r="K1195" s="7">
        <v>0.1</v>
      </c>
      <c r="L1195" t="s">
        <v>21</v>
      </c>
      <c r="M1195" t="s">
        <v>39</v>
      </c>
      <c r="N1195" t="s">
        <v>23</v>
      </c>
      <c r="O1195">
        <v>3.2</v>
      </c>
      <c r="P1195">
        <f>VLOOKUP(Table2[[#This Row],[Product_ID]],Table1[#All],8,TRUE)</f>
        <v>700</v>
      </c>
    </row>
    <row r="1196" spans="1:16" x14ac:dyDescent="0.3">
      <c r="A1196" t="s">
        <v>2262</v>
      </c>
      <c r="B1196" s="5" t="s">
        <v>2263</v>
      </c>
      <c r="C1196" s="3" t="str">
        <f t="shared" si="18"/>
        <v>28-06-2024</v>
      </c>
      <c r="D1196" t="s">
        <v>127</v>
      </c>
      <c r="E1196" t="s">
        <v>210</v>
      </c>
      <c r="F1196" t="s">
        <v>64</v>
      </c>
      <c r="G1196" t="s">
        <v>53</v>
      </c>
      <c r="H1196" t="s">
        <v>77</v>
      </c>
      <c r="I1196">
        <v>3</v>
      </c>
      <c r="J1196">
        <v>3820</v>
      </c>
      <c r="K1196" s="7">
        <v>0.15</v>
      </c>
      <c r="L1196" t="s">
        <v>21</v>
      </c>
      <c r="M1196" t="s">
        <v>39</v>
      </c>
      <c r="N1196" t="s">
        <v>59</v>
      </c>
      <c r="O1196">
        <v>4.2</v>
      </c>
      <c r="P1196">
        <f>VLOOKUP(Table2[[#This Row],[Product_ID]],Table1[#All],8,TRUE)</f>
        <v>700</v>
      </c>
    </row>
    <row r="1197" spans="1:16" x14ac:dyDescent="0.3">
      <c r="A1197" t="s">
        <v>1149</v>
      </c>
      <c r="B1197" s="5" t="s">
        <v>1842</v>
      </c>
      <c r="C1197" s="3" t="str">
        <f t="shared" si="18"/>
        <v>25-01-2024</v>
      </c>
      <c r="D1197" t="s">
        <v>84</v>
      </c>
      <c r="E1197" t="s">
        <v>27</v>
      </c>
      <c r="F1197" t="s">
        <v>57</v>
      </c>
      <c r="G1197" t="s">
        <v>19</v>
      </c>
      <c r="H1197" t="s">
        <v>99</v>
      </c>
      <c r="I1197">
        <v>2</v>
      </c>
      <c r="J1197">
        <v>4398</v>
      </c>
      <c r="K1197" s="7">
        <v>0</v>
      </c>
      <c r="L1197" t="s">
        <v>58</v>
      </c>
      <c r="M1197" t="s">
        <v>39</v>
      </c>
      <c r="N1197" t="s">
        <v>59</v>
      </c>
      <c r="O1197">
        <v>3.6</v>
      </c>
      <c r="P1197">
        <f>VLOOKUP(Table2[[#This Row],[Product_ID]],Table1[#All],8,TRUE)</f>
        <v>900</v>
      </c>
    </row>
    <row r="1198" spans="1:16" x14ac:dyDescent="0.3">
      <c r="A1198" t="s">
        <v>2264</v>
      </c>
      <c r="B1198" s="5" t="s">
        <v>2265</v>
      </c>
      <c r="C1198" s="3" t="str">
        <f t="shared" si="18"/>
        <v>14-06-2023</v>
      </c>
      <c r="D1198" t="s">
        <v>96</v>
      </c>
      <c r="E1198" t="s">
        <v>996</v>
      </c>
      <c r="F1198" t="s">
        <v>73</v>
      </c>
      <c r="G1198" t="s">
        <v>37</v>
      </c>
      <c r="H1198" t="s">
        <v>20</v>
      </c>
      <c r="I1198">
        <v>5</v>
      </c>
      <c r="J1198">
        <v>7903</v>
      </c>
      <c r="K1198" s="7">
        <v>0.2</v>
      </c>
      <c r="L1198" t="s">
        <v>58</v>
      </c>
      <c r="M1198" t="s">
        <v>39</v>
      </c>
      <c r="N1198" t="s">
        <v>23</v>
      </c>
      <c r="P1198">
        <f>VLOOKUP(Table2[[#This Row],[Product_ID]],Table1[#All],8,TRUE)</f>
        <v>1500</v>
      </c>
    </row>
    <row r="1199" spans="1:16" x14ac:dyDescent="0.3">
      <c r="A1199" t="s">
        <v>2266</v>
      </c>
      <c r="B1199" s="5" t="s">
        <v>209</v>
      </c>
      <c r="C1199" s="3" t="str">
        <f t="shared" si="18"/>
        <v>01-12-2023</v>
      </c>
      <c r="D1199" t="s">
        <v>67</v>
      </c>
      <c r="E1199" t="s">
        <v>286</v>
      </c>
      <c r="F1199" t="s">
        <v>18</v>
      </c>
      <c r="G1199" t="s">
        <v>37</v>
      </c>
      <c r="H1199" t="s">
        <v>20</v>
      </c>
      <c r="I1199">
        <v>1</v>
      </c>
      <c r="J1199">
        <v>1979</v>
      </c>
      <c r="K1199" s="7">
        <v>0.2</v>
      </c>
      <c r="L1199" t="s">
        <v>38</v>
      </c>
      <c r="M1199" t="s">
        <v>39</v>
      </c>
      <c r="N1199" t="s">
        <v>32</v>
      </c>
      <c r="O1199">
        <v>3.5</v>
      </c>
      <c r="P1199">
        <f>VLOOKUP(Table2[[#This Row],[Product_ID]],Table1[#All],8,TRUE)</f>
        <v>0</v>
      </c>
    </row>
    <row r="1200" spans="1:16" x14ac:dyDescent="0.3">
      <c r="A1200" t="s">
        <v>2267</v>
      </c>
      <c r="B1200" s="5" t="s">
        <v>1848</v>
      </c>
      <c r="C1200" s="3" t="str">
        <f t="shared" si="18"/>
        <v>18-11-2024</v>
      </c>
      <c r="D1200" t="s">
        <v>26</v>
      </c>
      <c r="E1200" t="s">
        <v>1252</v>
      </c>
      <c r="F1200" t="s">
        <v>43</v>
      </c>
      <c r="G1200" t="s">
        <v>53</v>
      </c>
      <c r="H1200" t="s">
        <v>77</v>
      </c>
      <c r="I1200">
        <v>1</v>
      </c>
      <c r="J1200">
        <v>2669</v>
      </c>
      <c r="K1200" s="7">
        <v>0</v>
      </c>
      <c r="L1200" t="s">
        <v>38</v>
      </c>
      <c r="M1200" t="s">
        <v>22</v>
      </c>
      <c r="N1200" t="s">
        <v>32</v>
      </c>
      <c r="P1200">
        <f>VLOOKUP(Table2[[#This Row],[Product_ID]],Table1[#All],8,TRUE)</f>
        <v>700</v>
      </c>
    </row>
    <row r="1201" spans="1:16" x14ac:dyDescent="0.3">
      <c r="A1201" t="s">
        <v>2268</v>
      </c>
      <c r="B1201" s="5" t="s">
        <v>2269</v>
      </c>
      <c r="C1201" s="3" t="str">
        <f t="shared" si="18"/>
        <v>13-11-2023</v>
      </c>
      <c r="D1201" t="s">
        <v>46</v>
      </c>
      <c r="E1201" t="s">
        <v>476</v>
      </c>
      <c r="F1201" t="s">
        <v>73</v>
      </c>
      <c r="G1201" t="s">
        <v>37</v>
      </c>
      <c r="H1201" t="s">
        <v>77</v>
      </c>
      <c r="I1201">
        <v>3</v>
      </c>
      <c r="J1201">
        <v>2950</v>
      </c>
      <c r="K1201" s="7">
        <v>0.05</v>
      </c>
      <c r="L1201" t="s">
        <v>38</v>
      </c>
      <c r="M1201" t="s">
        <v>22</v>
      </c>
      <c r="N1201" t="s">
        <v>32</v>
      </c>
      <c r="O1201">
        <v>3.4</v>
      </c>
      <c r="P1201">
        <f>VLOOKUP(Table2[[#This Row],[Product_ID]],Table1[#All],8,TRUE)</f>
        <v>1200</v>
      </c>
    </row>
    <row r="1202" spans="1:16" x14ac:dyDescent="0.3">
      <c r="B1202" s="5"/>
      <c r="C1202" s="3"/>
      <c r="K1202" s="7"/>
      <c r="P1202" t="e">
        <f>VLOOKUP(Table2[[#This Row],[Product_ID]],Table1[#All],8,TRUE)</f>
        <v>#N/A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1"/>
  <sheetViews>
    <sheetView workbookViewId="0">
      <selection activeCell="K12" sqref="K12"/>
    </sheetView>
  </sheetViews>
  <sheetFormatPr defaultRowHeight="14.4" x14ac:dyDescent="0.3"/>
  <cols>
    <col min="1" max="1" width="12.33203125" customWidth="1"/>
    <col min="2" max="2" width="22.109375" bestFit="1" customWidth="1"/>
    <col min="3" max="3" width="10.44140625" bestFit="1" customWidth="1"/>
    <col min="4" max="4" width="14.6640625" customWidth="1"/>
    <col min="5" max="5" width="9" customWidth="1"/>
    <col min="6" max="6" width="13.6640625" customWidth="1"/>
    <col min="7" max="7" width="15.21875" bestFit="1" customWidth="1"/>
    <col min="8" max="8" width="11.6640625" customWidth="1"/>
    <col min="9" max="9" width="16.21875" customWidth="1"/>
    <col min="11" max="11" width="22.109375" bestFit="1" customWidth="1"/>
  </cols>
  <sheetData>
    <row r="1" spans="1:11" x14ac:dyDescent="0.3">
      <c r="A1" s="9" t="s">
        <v>3</v>
      </c>
      <c r="B1" s="9" t="s">
        <v>4</v>
      </c>
      <c r="C1" s="9" t="s">
        <v>5</v>
      </c>
      <c r="D1" s="9" t="s">
        <v>2270</v>
      </c>
      <c r="E1" s="9" t="s">
        <v>2271</v>
      </c>
      <c r="F1" s="9" t="s">
        <v>2272</v>
      </c>
      <c r="G1" s="9" t="s">
        <v>2273</v>
      </c>
      <c r="H1" s="9" t="s">
        <v>2274</v>
      </c>
      <c r="I1" s="9" t="s">
        <v>2275</v>
      </c>
    </row>
    <row r="2" spans="1:11" x14ac:dyDescent="0.3">
      <c r="A2" t="s">
        <v>163</v>
      </c>
      <c r="B2" t="s">
        <v>73</v>
      </c>
      <c r="C2" t="s">
        <v>2276</v>
      </c>
      <c r="D2" t="s">
        <v>2277</v>
      </c>
      <c r="E2" t="s">
        <v>2278</v>
      </c>
      <c r="F2">
        <v>2024</v>
      </c>
      <c r="G2" t="s">
        <v>2279</v>
      </c>
      <c r="H2">
        <v>500</v>
      </c>
      <c r="I2">
        <v>293</v>
      </c>
    </row>
    <row r="3" spans="1:11" x14ac:dyDescent="0.3">
      <c r="A3" t="s">
        <v>1226</v>
      </c>
      <c r="B3" t="s">
        <v>98</v>
      </c>
      <c r="C3" t="s">
        <v>2280</v>
      </c>
      <c r="D3" t="s">
        <v>2281</v>
      </c>
      <c r="E3" t="s">
        <v>2282</v>
      </c>
      <c r="F3">
        <v>2024</v>
      </c>
      <c r="G3" t="s">
        <v>2283</v>
      </c>
      <c r="H3">
        <v>700</v>
      </c>
      <c r="I3">
        <v>171</v>
      </c>
      <c r="K3" t="s">
        <v>2998</v>
      </c>
    </row>
    <row r="4" spans="1:11" x14ac:dyDescent="0.3">
      <c r="A4" t="s">
        <v>1066</v>
      </c>
      <c r="B4" t="s">
        <v>98</v>
      </c>
      <c r="C4" t="s">
        <v>2276</v>
      </c>
      <c r="D4" t="s">
        <v>2284</v>
      </c>
      <c r="E4" t="s">
        <v>2278</v>
      </c>
      <c r="F4">
        <v>2022</v>
      </c>
      <c r="G4" t="s">
        <v>2285</v>
      </c>
      <c r="H4">
        <v>700</v>
      </c>
      <c r="I4">
        <v>187</v>
      </c>
    </row>
    <row r="5" spans="1:11" x14ac:dyDescent="0.3">
      <c r="A5" t="s">
        <v>1913</v>
      </c>
      <c r="B5" t="s">
        <v>57</v>
      </c>
      <c r="C5" t="s">
        <v>37</v>
      </c>
      <c r="D5" t="s">
        <v>2286</v>
      </c>
      <c r="E5" t="s">
        <v>2287</v>
      </c>
      <c r="F5">
        <v>2022</v>
      </c>
      <c r="G5" t="s">
        <v>2285</v>
      </c>
      <c r="H5">
        <v>1200</v>
      </c>
      <c r="I5">
        <v>162</v>
      </c>
    </row>
    <row r="6" spans="1:11" x14ac:dyDescent="0.3">
      <c r="A6" t="s">
        <v>76</v>
      </c>
      <c r="B6" t="s">
        <v>28</v>
      </c>
      <c r="C6" t="s">
        <v>2288</v>
      </c>
      <c r="D6" t="s">
        <v>2286</v>
      </c>
      <c r="E6" t="s">
        <v>2278</v>
      </c>
      <c r="F6">
        <v>2023</v>
      </c>
      <c r="G6" t="s">
        <v>2283</v>
      </c>
      <c r="H6">
        <v>1500</v>
      </c>
      <c r="I6">
        <v>190</v>
      </c>
    </row>
    <row r="7" spans="1:11" x14ac:dyDescent="0.3">
      <c r="A7" t="s">
        <v>854</v>
      </c>
      <c r="B7" t="s">
        <v>64</v>
      </c>
      <c r="C7" t="s">
        <v>2276</v>
      </c>
      <c r="D7" t="s">
        <v>2281</v>
      </c>
      <c r="E7" t="s">
        <v>2278</v>
      </c>
      <c r="F7">
        <v>2023</v>
      </c>
      <c r="G7" t="s">
        <v>2289</v>
      </c>
      <c r="H7">
        <v>1200</v>
      </c>
      <c r="I7">
        <v>218</v>
      </c>
    </row>
    <row r="8" spans="1:11" x14ac:dyDescent="0.3">
      <c r="A8" t="s">
        <v>1099</v>
      </c>
      <c r="B8" t="s">
        <v>73</v>
      </c>
      <c r="C8" t="s">
        <v>2276</v>
      </c>
      <c r="D8" t="s">
        <v>2277</v>
      </c>
      <c r="E8" t="s">
        <v>2278</v>
      </c>
      <c r="F8">
        <v>2023</v>
      </c>
      <c r="G8" t="s">
        <v>2285</v>
      </c>
      <c r="I8">
        <v>289</v>
      </c>
      <c r="K8" t="str" cm="1">
        <f t="array" ref="K8:K14">_xlfn.UNIQUE(B:B,)</f>
        <v>Product_Name</v>
      </c>
    </row>
    <row r="9" spans="1:11" x14ac:dyDescent="0.3">
      <c r="A9" t="s">
        <v>701</v>
      </c>
      <c r="B9" t="s">
        <v>73</v>
      </c>
      <c r="C9" t="s">
        <v>2276</v>
      </c>
      <c r="D9" t="s">
        <v>2286</v>
      </c>
      <c r="E9" t="s">
        <v>2278</v>
      </c>
      <c r="F9">
        <v>2022</v>
      </c>
      <c r="G9" t="s">
        <v>2289</v>
      </c>
      <c r="H9">
        <v>1200</v>
      </c>
      <c r="I9">
        <v>156</v>
      </c>
      <c r="K9" t="str">
        <v>Nike Dri-FIT T-Shirt</v>
      </c>
    </row>
    <row r="10" spans="1:11" x14ac:dyDescent="0.3">
      <c r="A10" t="s">
        <v>303</v>
      </c>
      <c r="B10" t="s">
        <v>28</v>
      </c>
      <c r="C10" t="s">
        <v>37</v>
      </c>
      <c r="D10" t="s">
        <v>2281</v>
      </c>
      <c r="E10" t="s">
        <v>2287</v>
      </c>
      <c r="F10">
        <v>2024</v>
      </c>
      <c r="H10">
        <v>1500</v>
      </c>
      <c r="I10">
        <v>62</v>
      </c>
      <c r="K10" t="str">
        <v>Nike Metcon 8</v>
      </c>
    </row>
    <row r="11" spans="1:11" x14ac:dyDescent="0.3">
      <c r="A11" t="s">
        <v>834</v>
      </c>
      <c r="B11" t="s">
        <v>73</v>
      </c>
      <c r="C11" t="s">
        <v>19</v>
      </c>
      <c r="D11" t="s">
        <v>2277</v>
      </c>
      <c r="E11" t="s">
        <v>2278</v>
      </c>
      <c r="F11">
        <v>2024</v>
      </c>
      <c r="G11" t="s">
        <v>2285</v>
      </c>
      <c r="H11">
        <v>500</v>
      </c>
      <c r="I11">
        <v>123</v>
      </c>
      <c r="K11" t="str">
        <v>Nike Air Zoom Pegasus 39</v>
      </c>
    </row>
    <row r="12" spans="1:11" x14ac:dyDescent="0.3">
      <c r="A12" t="s">
        <v>526</v>
      </c>
      <c r="B12" t="s">
        <v>57</v>
      </c>
      <c r="C12" t="s">
        <v>2276</v>
      </c>
      <c r="D12" t="s">
        <v>29</v>
      </c>
      <c r="E12" t="s">
        <v>2282</v>
      </c>
      <c r="F12">
        <v>2024</v>
      </c>
      <c r="G12" t="s">
        <v>2279</v>
      </c>
      <c r="H12">
        <v>1200</v>
      </c>
      <c r="I12">
        <v>36</v>
      </c>
      <c r="K12" t="str">
        <v>Nike Revolution 6</v>
      </c>
    </row>
    <row r="13" spans="1:11" x14ac:dyDescent="0.3">
      <c r="A13" t="s">
        <v>253</v>
      </c>
      <c r="B13" t="s">
        <v>28</v>
      </c>
      <c r="C13" t="s">
        <v>2276</v>
      </c>
      <c r="D13" t="s">
        <v>2281</v>
      </c>
      <c r="E13" t="s">
        <v>2287</v>
      </c>
      <c r="F13">
        <v>2023</v>
      </c>
      <c r="I13">
        <v>75</v>
      </c>
      <c r="K13" t="str">
        <v>Nike Pro Shorts</v>
      </c>
    </row>
    <row r="14" spans="1:11" x14ac:dyDescent="0.3">
      <c r="A14" t="s">
        <v>600</v>
      </c>
      <c r="B14" t="s">
        <v>57</v>
      </c>
      <c r="C14" t="s">
        <v>2280</v>
      </c>
      <c r="D14" t="s">
        <v>2281</v>
      </c>
      <c r="E14" t="s">
        <v>2278</v>
      </c>
      <c r="F14">
        <v>2021</v>
      </c>
      <c r="G14" t="s">
        <v>2283</v>
      </c>
      <c r="H14">
        <v>1200</v>
      </c>
      <c r="I14">
        <v>183</v>
      </c>
      <c r="K14">
        <v>0</v>
      </c>
    </row>
    <row r="15" spans="1:11" x14ac:dyDescent="0.3">
      <c r="A15" t="s">
        <v>731</v>
      </c>
      <c r="B15" t="s">
        <v>73</v>
      </c>
      <c r="C15" t="s">
        <v>2288</v>
      </c>
      <c r="D15" t="s">
        <v>2281</v>
      </c>
      <c r="E15" t="s">
        <v>2282</v>
      </c>
      <c r="F15">
        <v>2021</v>
      </c>
      <c r="H15">
        <v>1500</v>
      </c>
      <c r="I15">
        <v>203</v>
      </c>
    </row>
    <row r="16" spans="1:11" x14ac:dyDescent="0.3">
      <c r="A16" t="s">
        <v>1324</v>
      </c>
      <c r="B16" t="s">
        <v>73</v>
      </c>
      <c r="C16" t="s">
        <v>2288</v>
      </c>
      <c r="D16" t="s">
        <v>2286</v>
      </c>
      <c r="E16" t="s">
        <v>2278</v>
      </c>
      <c r="F16">
        <v>2022</v>
      </c>
      <c r="G16" t="s">
        <v>2283</v>
      </c>
      <c r="H16">
        <v>1500</v>
      </c>
      <c r="I16">
        <v>265</v>
      </c>
    </row>
    <row r="17" spans="1:9" x14ac:dyDescent="0.3">
      <c r="A17" t="s">
        <v>768</v>
      </c>
      <c r="B17" t="s">
        <v>73</v>
      </c>
      <c r="C17" t="s">
        <v>2280</v>
      </c>
      <c r="D17" t="s">
        <v>2286</v>
      </c>
      <c r="E17" t="s">
        <v>2282</v>
      </c>
      <c r="F17">
        <v>2021</v>
      </c>
      <c r="G17" t="s">
        <v>2283</v>
      </c>
      <c r="H17">
        <v>900</v>
      </c>
      <c r="I17">
        <v>285</v>
      </c>
    </row>
    <row r="18" spans="1:9" x14ac:dyDescent="0.3">
      <c r="A18" t="s">
        <v>445</v>
      </c>
      <c r="B18" t="s">
        <v>64</v>
      </c>
      <c r="C18" t="s">
        <v>37</v>
      </c>
      <c r="D18" t="s">
        <v>29</v>
      </c>
      <c r="E18" t="s">
        <v>2287</v>
      </c>
      <c r="F18">
        <v>2021</v>
      </c>
      <c r="G18" t="s">
        <v>2285</v>
      </c>
      <c r="H18">
        <v>1500</v>
      </c>
      <c r="I18">
        <v>92</v>
      </c>
    </row>
    <row r="19" spans="1:9" x14ac:dyDescent="0.3">
      <c r="A19" t="s">
        <v>869</v>
      </c>
      <c r="B19" t="s">
        <v>57</v>
      </c>
      <c r="C19" t="s">
        <v>37</v>
      </c>
      <c r="D19" t="s">
        <v>29</v>
      </c>
      <c r="E19" t="s">
        <v>2278</v>
      </c>
      <c r="F19">
        <v>2022</v>
      </c>
      <c r="H19">
        <v>900</v>
      </c>
      <c r="I19">
        <v>170</v>
      </c>
    </row>
    <row r="20" spans="1:9" x14ac:dyDescent="0.3">
      <c r="A20" t="s">
        <v>328</v>
      </c>
      <c r="B20" t="s">
        <v>64</v>
      </c>
      <c r="C20" t="s">
        <v>2288</v>
      </c>
      <c r="D20" t="s">
        <v>2284</v>
      </c>
      <c r="E20" t="s">
        <v>2282</v>
      </c>
      <c r="F20">
        <v>2022</v>
      </c>
      <c r="G20" t="s">
        <v>2279</v>
      </c>
      <c r="H20">
        <v>900</v>
      </c>
      <c r="I20">
        <v>139</v>
      </c>
    </row>
    <row r="21" spans="1:9" x14ac:dyDescent="0.3">
      <c r="A21" t="s">
        <v>1635</v>
      </c>
      <c r="B21" t="s">
        <v>28</v>
      </c>
      <c r="C21" t="s">
        <v>2280</v>
      </c>
      <c r="D21" t="s">
        <v>29</v>
      </c>
      <c r="E21" t="s">
        <v>2282</v>
      </c>
      <c r="F21">
        <v>2023</v>
      </c>
      <c r="G21" t="s">
        <v>2283</v>
      </c>
      <c r="H21">
        <v>500</v>
      </c>
      <c r="I21">
        <v>219</v>
      </c>
    </row>
    <row r="22" spans="1:9" x14ac:dyDescent="0.3">
      <c r="A22" t="s">
        <v>172</v>
      </c>
      <c r="B22" t="s">
        <v>98</v>
      </c>
      <c r="C22" t="s">
        <v>19</v>
      </c>
      <c r="D22" t="s">
        <v>2286</v>
      </c>
      <c r="E22" t="s">
        <v>2287</v>
      </c>
      <c r="F22">
        <v>2021</v>
      </c>
      <c r="G22" t="s">
        <v>2285</v>
      </c>
      <c r="H22">
        <v>1200</v>
      </c>
      <c r="I22">
        <v>216</v>
      </c>
    </row>
    <row r="23" spans="1:9" x14ac:dyDescent="0.3">
      <c r="A23" t="s">
        <v>63</v>
      </c>
      <c r="B23" t="s">
        <v>57</v>
      </c>
      <c r="C23" t="s">
        <v>2288</v>
      </c>
      <c r="D23" t="s">
        <v>2284</v>
      </c>
      <c r="E23" t="s">
        <v>2287</v>
      </c>
      <c r="F23">
        <v>2024</v>
      </c>
      <c r="H23">
        <v>500</v>
      </c>
      <c r="I23">
        <v>250</v>
      </c>
    </row>
    <row r="24" spans="1:9" x14ac:dyDescent="0.3">
      <c r="A24" t="s">
        <v>108</v>
      </c>
      <c r="B24" t="s">
        <v>98</v>
      </c>
      <c r="C24" t="s">
        <v>2280</v>
      </c>
      <c r="D24" t="s">
        <v>2277</v>
      </c>
      <c r="E24" t="s">
        <v>2278</v>
      </c>
      <c r="F24">
        <v>2024</v>
      </c>
      <c r="G24" t="s">
        <v>2285</v>
      </c>
      <c r="H24">
        <v>500</v>
      </c>
      <c r="I24">
        <v>55</v>
      </c>
    </row>
    <row r="25" spans="1:9" x14ac:dyDescent="0.3">
      <c r="A25" t="s">
        <v>232</v>
      </c>
      <c r="B25" t="s">
        <v>57</v>
      </c>
      <c r="C25" t="s">
        <v>2276</v>
      </c>
      <c r="D25" t="s">
        <v>2286</v>
      </c>
      <c r="E25" t="s">
        <v>2282</v>
      </c>
      <c r="F25">
        <v>2022</v>
      </c>
      <c r="G25" t="s">
        <v>2279</v>
      </c>
      <c r="I25">
        <v>90</v>
      </c>
    </row>
    <row r="26" spans="1:9" x14ac:dyDescent="0.3">
      <c r="A26" t="s">
        <v>1121</v>
      </c>
      <c r="B26" t="s">
        <v>73</v>
      </c>
      <c r="C26" t="s">
        <v>37</v>
      </c>
      <c r="D26" t="s">
        <v>2281</v>
      </c>
      <c r="E26" t="s">
        <v>2282</v>
      </c>
      <c r="F26">
        <v>2024</v>
      </c>
      <c r="G26" t="s">
        <v>2283</v>
      </c>
      <c r="H26">
        <v>1500</v>
      </c>
      <c r="I26">
        <v>225</v>
      </c>
    </row>
    <row r="27" spans="1:9" x14ac:dyDescent="0.3">
      <c r="A27" t="s">
        <v>569</v>
      </c>
      <c r="B27" t="s">
        <v>64</v>
      </c>
      <c r="C27" t="s">
        <v>19</v>
      </c>
      <c r="D27" t="s">
        <v>29</v>
      </c>
      <c r="E27" t="s">
        <v>2287</v>
      </c>
      <c r="F27">
        <v>2024</v>
      </c>
      <c r="G27" t="s">
        <v>2289</v>
      </c>
      <c r="H27">
        <v>1500</v>
      </c>
      <c r="I27">
        <v>235</v>
      </c>
    </row>
    <row r="28" spans="1:9" x14ac:dyDescent="0.3">
      <c r="A28" t="s">
        <v>851</v>
      </c>
      <c r="B28" t="s">
        <v>28</v>
      </c>
      <c r="C28" t="s">
        <v>2280</v>
      </c>
      <c r="D28" t="s">
        <v>2286</v>
      </c>
      <c r="E28" t="s">
        <v>2282</v>
      </c>
      <c r="F28">
        <v>2024</v>
      </c>
      <c r="G28" t="s">
        <v>2283</v>
      </c>
      <c r="H28">
        <v>700</v>
      </c>
      <c r="I28">
        <v>37</v>
      </c>
    </row>
    <row r="29" spans="1:9" x14ac:dyDescent="0.3">
      <c r="A29" t="s">
        <v>1124</v>
      </c>
      <c r="B29" t="s">
        <v>98</v>
      </c>
      <c r="C29" t="s">
        <v>37</v>
      </c>
      <c r="D29" t="s">
        <v>2286</v>
      </c>
      <c r="E29" t="s">
        <v>2287</v>
      </c>
      <c r="F29">
        <v>2021</v>
      </c>
      <c r="H29">
        <v>700</v>
      </c>
      <c r="I29">
        <v>281</v>
      </c>
    </row>
    <row r="30" spans="1:9" x14ac:dyDescent="0.3">
      <c r="A30" t="s">
        <v>880</v>
      </c>
      <c r="B30" t="s">
        <v>98</v>
      </c>
      <c r="C30" t="s">
        <v>2276</v>
      </c>
      <c r="D30" t="s">
        <v>2286</v>
      </c>
      <c r="E30" t="s">
        <v>2287</v>
      </c>
      <c r="F30">
        <v>2024</v>
      </c>
      <c r="G30" t="s">
        <v>2279</v>
      </c>
      <c r="H30">
        <v>1200</v>
      </c>
      <c r="I30">
        <v>52</v>
      </c>
    </row>
    <row r="31" spans="1:9" x14ac:dyDescent="0.3">
      <c r="A31" t="s">
        <v>1001</v>
      </c>
      <c r="B31" t="s">
        <v>73</v>
      </c>
      <c r="C31" t="s">
        <v>37</v>
      </c>
      <c r="D31" t="s">
        <v>2281</v>
      </c>
      <c r="E31" t="s">
        <v>2282</v>
      </c>
      <c r="F31">
        <v>2024</v>
      </c>
      <c r="G31" t="s">
        <v>2283</v>
      </c>
      <c r="H31">
        <v>1500</v>
      </c>
      <c r="I31">
        <v>134</v>
      </c>
    </row>
    <row r="32" spans="1:9" x14ac:dyDescent="0.3">
      <c r="A32" t="s">
        <v>1237</v>
      </c>
      <c r="B32" t="s">
        <v>73</v>
      </c>
      <c r="C32" t="s">
        <v>2276</v>
      </c>
      <c r="D32" t="s">
        <v>2281</v>
      </c>
      <c r="E32" t="s">
        <v>2282</v>
      </c>
      <c r="F32">
        <v>2024</v>
      </c>
      <c r="G32" t="s">
        <v>2285</v>
      </c>
      <c r="I32">
        <v>224</v>
      </c>
    </row>
    <row r="33" spans="1:9" x14ac:dyDescent="0.3">
      <c r="A33" t="s">
        <v>479</v>
      </c>
      <c r="B33" t="s">
        <v>73</v>
      </c>
      <c r="C33" t="s">
        <v>2280</v>
      </c>
      <c r="D33" t="s">
        <v>29</v>
      </c>
      <c r="E33" t="s">
        <v>2282</v>
      </c>
      <c r="F33">
        <v>2023</v>
      </c>
      <c r="G33" t="s">
        <v>2279</v>
      </c>
      <c r="H33">
        <v>1200</v>
      </c>
      <c r="I33">
        <v>166</v>
      </c>
    </row>
    <row r="34" spans="1:9" x14ac:dyDescent="0.3">
      <c r="A34" t="s">
        <v>724</v>
      </c>
      <c r="B34" t="s">
        <v>64</v>
      </c>
      <c r="C34" t="s">
        <v>2276</v>
      </c>
      <c r="D34" t="s">
        <v>2277</v>
      </c>
      <c r="E34" t="s">
        <v>2287</v>
      </c>
      <c r="F34">
        <v>2023</v>
      </c>
      <c r="G34" t="s">
        <v>2285</v>
      </c>
      <c r="H34">
        <v>900</v>
      </c>
      <c r="I34">
        <v>159</v>
      </c>
    </row>
    <row r="35" spans="1:9" x14ac:dyDescent="0.3">
      <c r="A35" t="s">
        <v>557</v>
      </c>
      <c r="B35" t="s">
        <v>64</v>
      </c>
      <c r="C35" t="s">
        <v>2288</v>
      </c>
      <c r="D35" t="s">
        <v>2286</v>
      </c>
      <c r="E35" t="s">
        <v>2278</v>
      </c>
      <c r="F35">
        <v>2021</v>
      </c>
      <c r="G35" t="s">
        <v>2283</v>
      </c>
      <c r="H35">
        <v>1500</v>
      </c>
      <c r="I35">
        <v>135</v>
      </c>
    </row>
    <row r="36" spans="1:9" x14ac:dyDescent="0.3">
      <c r="A36" t="s">
        <v>1007</v>
      </c>
      <c r="B36" t="s">
        <v>57</v>
      </c>
      <c r="C36" t="s">
        <v>2280</v>
      </c>
      <c r="D36" t="s">
        <v>2281</v>
      </c>
      <c r="E36" t="s">
        <v>2282</v>
      </c>
      <c r="F36">
        <v>2022</v>
      </c>
      <c r="G36" t="s">
        <v>2289</v>
      </c>
      <c r="H36">
        <v>1200</v>
      </c>
      <c r="I36">
        <v>53</v>
      </c>
    </row>
    <row r="37" spans="1:9" x14ac:dyDescent="0.3">
      <c r="A37" t="s">
        <v>515</v>
      </c>
      <c r="B37" t="s">
        <v>64</v>
      </c>
      <c r="C37" t="s">
        <v>37</v>
      </c>
      <c r="D37" t="s">
        <v>2281</v>
      </c>
      <c r="E37" t="s">
        <v>2278</v>
      </c>
      <c r="F37">
        <v>2022</v>
      </c>
      <c r="I37">
        <v>23</v>
      </c>
    </row>
    <row r="38" spans="1:9" x14ac:dyDescent="0.3">
      <c r="A38" t="s">
        <v>365</v>
      </c>
      <c r="B38" t="s">
        <v>98</v>
      </c>
      <c r="C38" t="s">
        <v>37</v>
      </c>
      <c r="D38" t="s">
        <v>2277</v>
      </c>
      <c r="E38" t="s">
        <v>2278</v>
      </c>
      <c r="F38">
        <v>2024</v>
      </c>
      <c r="G38" t="s">
        <v>2289</v>
      </c>
      <c r="H38">
        <v>1500</v>
      </c>
      <c r="I38">
        <v>254</v>
      </c>
    </row>
    <row r="39" spans="1:9" x14ac:dyDescent="0.3">
      <c r="A39" t="s">
        <v>582</v>
      </c>
      <c r="B39" t="s">
        <v>28</v>
      </c>
      <c r="C39" t="s">
        <v>19</v>
      </c>
      <c r="D39" t="s">
        <v>2284</v>
      </c>
      <c r="E39" t="s">
        <v>2287</v>
      </c>
      <c r="F39">
        <v>2022</v>
      </c>
      <c r="G39" t="s">
        <v>2279</v>
      </c>
      <c r="H39">
        <v>900</v>
      </c>
      <c r="I39">
        <v>170</v>
      </c>
    </row>
    <row r="40" spans="1:9" x14ac:dyDescent="0.3">
      <c r="A40" t="s">
        <v>917</v>
      </c>
      <c r="B40" t="s">
        <v>98</v>
      </c>
      <c r="C40" t="s">
        <v>19</v>
      </c>
      <c r="D40" t="s">
        <v>2277</v>
      </c>
      <c r="E40" t="s">
        <v>2278</v>
      </c>
      <c r="F40">
        <v>2023</v>
      </c>
      <c r="H40">
        <v>900</v>
      </c>
      <c r="I40">
        <v>269</v>
      </c>
    </row>
    <row r="41" spans="1:9" x14ac:dyDescent="0.3">
      <c r="A41" t="s">
        <v>1805</v>
      </c>
      <c r="B41" t="s">
        <v>98</v>
      </c>
      <c r="C41" t="s">
        <v>2276</v>
      </c>
      <c r="D41" t="s">
        <v>2281</v>
      </c>
      <c r="E41" t="s">
        <v>2287</v>
      </c>
      <c r="F41">
        <v>2024</v>
      </c>
      <c r="G41" t="s">
        <v>2279</v>
      </c>
      <c r="H41">
        <v>900</v>
      </c>
      <c r="I41">
        <v>128</v>
      </c>
    </row>
    <row r="42" spans="1:9" x14ac:dyDescent="0.3">
      <c r="A42" t="s">
        <v>47</v>
      </c>
      <c r="B42" t="s">
        <v>64</v>
      </c>
      <c r="C42" t="s">
        <v>2288</v>
      </c>
      <c r="D42" t="s">
        <v>2281</v>
      </c>
      <c r="E42" t="s">
        <v>2287</v>
      </c>
      <c r="F42">
        <v>2021</v>
      </c>
      <c r="H42">
        <v>700</v>
      </c>
      <c r="I42">
        <v>119</v>
      </c>
    </row>
    <row r="43" spans="1:9" x14ac:dyDescent="0.3">
      <c r="A43" t="s">
        <v>175</v>
      </c>
      <c r="B43" t="s">
        <v>28</v>
      </c>
      <c r="C43" t="s">
        <v>2276</v>
      </c>
      <c r="D43" t="s">
        <v>2286</v>
      </c>
      <c r="E43" t="s">
        <v>2282</v>
      </c>
      <c r="F43">
        <v>2024</v>
      </c>
      <c r="G43" t="s">
        <v>2283</v>
      </c>
      <c r="H43">
        <v>1500</v>
      </c>
      <c r="I43">
        <v>273</v>
      </c>
    </row>
    <row r="44" spans="1:9" x14ac:dyDescent="0.3">
      <c r="A44" t="s">
        <v>88</v>
      </c>
      <c r="B44" t="s">
        <v>64</v>
      </c>
      <c r="C44" t="s">
        <v>2288</v>
      </c>
      <c r="D44" t="s">
        <v>2286</v>
      </c>
      <c r="E44" t="s">
        <v>2287</v>
      </c>
      <c r="F44">
        <v>2021</v>
      </c>
      <c r="I44">
        <v>200</v>
      </c>
    </row>
    <row r="45" spans="1:9" x14ac:dyDescent="0.3">
      <c r="A45" t="s">
        <v>17</v>
      </c>
      <c r="B45" t="s">
        <v>57</v>
      </c>
      <c r="C45" t="s">
        <v>2276</v>
      </c>
      <c r="D45" t="s">
        <v>2284</v>
      </c>
      <c r="E45" t="s">
        <v>2282</v>
      </c>
      <c r="F45">
        <v>2021</v>
      </c>
      <c r="G45" t="s">
        <v>2285</v>
      </c>
      <c r="H45">
        <v>700</v>
      </c>
      <c r="I45">
        <v>281</v>
      </c>
    </row>
    <row r="46" spans="1:9" x14ac:dyDescent="0.3">
      <c r="A46" t="s">
        <v>1311</v>
      </c>
      <c r="B46" t="s">
        <v>28</v>
      </c>
      <c r="C46" t="s">
        <v>2288</v>
      </c>
      <c r="D46" t="s">
        <v>2284</v>
      </c>
      <c r="E46" t="s">
        <v>2287</v>
      </c>
      <c r="F46">
        <v>2022</v>
      </c>
      <c r="G46" t="s">
        <v>2279</v>
      </c>
      <c r="H46">
        <v>500</v>
      </c>
      <c r="I46">
        <v>70</v>
      </c>
    </row>
    <row r="47" spans="1:9" x14ac:dyDescent="0.3">
      <c r="A47" t="s">
        <v>1415</v>
      </c>
      <c r="B47" t="s">
        <v>57</v>
      </c>
      <c r="C47" t="s">
        <v>37</v>
      </c>
      <c r="D47" t="s">
        <v>2281</v>
      </c>
      <c r="E47" t="s">
        <v>2287</v>
      </c>
      <c r="F47">
        <v>2023</v>
      </c>
      <c r="G47" t="s">
        <v>2279</v>
      </c>
      <c r="H47">
        <v>1500</v>
      </c>
      <c r="I47">
        <v>232</v>
      </c>
    </row>
    <row r="48" spans="1:9" x14ac:dyDescent="0.3">
      <c r="A48" t="s">
        <v>345</v>
      </c>
      <c r="B48" t="s">
        <v>73</v>
      </c>
      <c r="C48" t="s">
        <v>2276</v>
      </c>
      <c r="D48" t="s">
        <v>2281</v>
      </c>
      <c r="E48" t="s">
        <v>2287</v>
      </c>
      <c r="F48">
        <v>2021</v>
      </c>
      <c r="G48" t="s">
        <v>2279</v>
      </c>
      <c r="H48">
        <v>1200</v>
      </c>
      <c r="I48">
        <v>212</v>
      </c>
    </row>
    <row r="49" spans="1:9" x14ac:dyDescent="0.3">
      <c r="A49" t="s">
        <v>742</v>
      </c>
      <c r="B49" t="s">
        <v>64</v>
      </c>
      <c r="C49" t="s">
        <v>2280</v>
      </c>
      <c r="D49" t="s">
        <v>29</v>
      </c>
      <c r="E49" t="s">
        <v>2287</v>
      </c>
      <c r="F49">
        <v>2024</v>
      </c>
      <c r="I49">
        <v>57</v>
      </c>
    </row>
    <row r="50" spans="1:9" x14ac:dyDescent="0.3">
      <c r="A50" t="s">
        <v>1179</v>
      </c>
      <c r="B50" t="s">
        <v>64</v>
      </c>
      <c r="C50" t="s">
        <v>37</v>
      </c>
      <c r="D50" t="s">
        <v>2284</v>
      </c>
      <c r="E50" t="s">
        <v>2278</v>
      </c>
      <c r="F50">
        <v>2023</v>
      </c>
      <c r="G50" t="s">
        <v>2289</v>
      </c>
      <c r="H50">
        <v>1200</v>
      </c>
      <c r="I50">
        <v>191</v>
      </c>
    </row>
    <row r="51" spans="1:9" x14ac:dyDescent="0.3">
      <c r="A51" t="s">
        <v>300</v>
      </c>
      <c r="B51" t="s">
        <v>64</v>
      </c>
      <c r="C51" t="s">
        <v>2280</v>
      </c>
      <c r="D51" t="s">
        <v>2284</v>
      </c>
      <c r="E51" t="s">
        <v>2282</v>
      </c>
      <c r="F51">
        <v>2023</v>
      </c>
      <c r="G51" t="s">
        <v>2283</v>
      </c>
      <c r="H51">
        <v>500</v>
      </c>
      <c r="I51">
        <v>273</v>
      </c>
    </row>
    <row r="52" spans="1:9" x14ac:dyDescent="0.3">
      <c r="A52" t="s">
        <v>1552</v>
      </c>
      <c r="B52" t="s">
        <v>98</v>
      </c>
      <c r="C52" t="s">
        <v>19</v>
      </c>
      <c r="D52" t="s">
        <v>29</v>
      </c>
      <c r="E52" t="s">
        <v>2282</v>
      </c>
      <c r="F52">
        <v>2022</v>
      </c>
      <c r="G52" t="s">
        <v>2279</v>
      </c>
      <c r="H52">
        <v>1200</v>
      </c>
      <c r="I52">
        <v>153</v>
      </c>
    </row>
    <row r="53" spans="1:9" x14ac:dyDescent="0.3">
      <c r="A53" t="s">
        <v>1710</v>
      </c>
      <c r="B53" t="s">
        <v>98</v>
      </c>
      <c r="C53" t="s">
        <v>37</v>
      </c>
      <c r="D53" t="s">
        <v>2277</v>
      </c>
      <c r="E53" t="s">
        <v>2282</v>
      </c>
      <c r="F53">
        <v>2021</v>
      </c>
      <c r="G53" t="s">
        <v>2285</v>
      </c>
      <c r="H53">
        <v>1500</v>
      </c>
      <c r="I53">
        <v>100</v>
      </c>
    </row>
    <row r="54" spans="1:9" x14ac:dyDescent="0.3">
      <c r="A54" t="s">
        <v>143</v>
      </c>
      <c r="B54" t="s">
        <v>73</v>
      </c>
      <c r="C54" t="s">
        <v>2280</v>
      </c>
      <c r="D54" t="s">
        <v>2277</v>
      </c>
      <c r="E54" t="s">
        <v>2278</v>
      </c>
      <c r="F54">
        <v>2023</v>
      </c>
      <c r="G54" t="s">
        <v>2279</v>
      </c>
      <c r="H54">
        <v>500</v>
      </c>
      <c r="I54">
        <v>49</v>
      </c>
    </row>
    <row r="55" spans="1:9" x14ac:dyDescent="0.3">
      <c r="A55" t="s">
        <v>1101</v>
      </c>
      <c r="B55" t="s">
        <v>73</v>
      </c>
      <c r="C55" t="s">
        <v>2288</v>
      </c>
      <c r="D55" t="s">
        <v>2281</v>
      </c>
      <c r="E55" t="s">
        <v>2278</v>
      </c>
      <c r="F55">
        <v>2023</v>
      </c>
      <c r="G55" t="s">
        <v>2285</v>
      </c>
      <c r="I55">
        <v>36</v>
      </c>
    </row>
    <row r="56" spans="1:9" x14ac:dyDescent="0.3">
      <c r="A56" t="s">
        <v>1727</v>
      </c>
      <c r="B56" t="s">
        <v>28</v>
      </c>
      <c r="C56" t="s">
        <v>2288</v>
      </c>
      <c r="D56" t="s">
        <v>2277</v>
      </c>
      <c r="E56" t="s">
        <v>2287</v>
      </c>
      <c r="F56">
        <v>2024</v>
      </c>
      <c r="H56">
        <v>500</v>
      </c>
      <c r="I56">
        <v>296</v>
      </c>
    </row>
    <row r="57" spans="1:9" x14ac:dyDescent="0.3">
      <c r="A57" t="s">
        <v>668</v>
      </c>
      <c r="B57" t="s">
        <v>28</v>
      </c>
      <c r="C57" t="s">
        <v>37</v>
      </c>
      <c r="D57" t="s">
        <v>2284</v>
      </c>
      <c r="E57" t="s">
        <v>2287</v>
      </c>
      <c r="F57">
        <v>2024</v>
      </c>
      <c r="G57" t="s">
        <v>2283</v>
      </c>
      <c r="I57">
        <v>70</v>
      </c>
    </row>
    <row r="58" spans="1:9" x14ac:dyDescent="0.3">
      <c r="A58" t="s">
        <v>1220</v>
      </c>
      <c r="B58" t="s">
        <v>64</v>
      </c>
      <c r="C58" t="s">
        <v>2288</v>
      </c>
      <c r="D58" t="s">
        <v>2277</v>
      </c>
      <c r="E58" t="s">
        <v>2287</v>
      </c>
      <c r="F58">
        <v>2024</v>
      </c>
      <c r="I58">
        <v>126</v>
      </c>
    </row>
    <row r="59" spans="1:9" x14ac:dyDescent="0.3">
      <c r="A59" t="s">
        <v>778</v>
      </c>
      <c r="B59" t="s">
        <v>98</v>
      </c>
      <c r="C59" t="s">
        <v>37</v>
      </c>
      <c r="D59" t="s">
        <v>2284</v>
      </c>
      <c r="E59" t="s">
        <v>2287</v>
      </c>
      <c r="F59">
        <v>2021</v>
      </c>
      <c r="G59" t="s">
        <v>2289</v>
      </c>
      <c r="H59">
        <v>900</v>
      </c>
      <c r="I59">
        <v>40</v>
      </c>
    </row>
    <row r="60" spans="1:9" x14ac:dyDescent="0.3">
      <c r="A60" t="s">
        <v>149</v>
      </c>
      <c r="B60" t="s">
        <v>57</v>
      </c>
      <c r="C60" t="s">
        <v>19</v>
      </c>
      <c r="D60" t="s">
        <v>2277</v>
      </c>
      <c r="E60" t="s">
        <v>2282</v>
      </c>
      <c r="F60">
        <v>2024</v>
      </c>
      <c r="G60" t="s">
        <v>2285</v>
      </c>
      <c r="H60">
        <v>500</v>
      </c>
      <c r="I60">
        <v>101</v>
      </c>
    </row>
    <row r="61" spans="1:9" x14ac:dyDescent="0.3">
      <c r="A61" t="s">
        <v>437</v>
      </c>
      <c r="B61" t="s">
        <v>57</v>
      </c>
      <c r="C61" t="s">
        <v>2276</v>
      </c>
      <c r="D61" t="s">
        <v>2286</v>
      </c>
      <c r="E61" t="s">
        <v>2287</v>
      </c>
      <c r="F61">
        <v>2024</v>
      </c>
      <c r="G61" t="s">
        <v>2285</v>
      </c>
      <c r="I61">
        <v>147</v>
      </c>
    </row>
    <row r="62" spans="1:9" x14ac:dyDescent="0.3">
      <c r="A62" t="s">
        <v>507</v>
      </c>
      <c r="B62" t="s">
        <v>28</v>
      </c>
      <c r="C62" t="s">
        <v>2276</v>
      </c>
      <c r="D62" t="s">
        <v>2284</v>
      </c>
      <c r="E62" t="s">
        <v>2278</v>
      </c>
      <c r="F62">
        <v>2023</v>
      </c>
      <c r="G62" t="s">
        <v>2279</v>
      </c>
      <c r="H62">
        <v>900</v>
      </c>
      <c r="I62">
        <v>241</v>
      </c>
    </row>
    <row r="63" spans="1:9" x14ac:dyDescent="0.3">
      <c r="A63" t="s">
        <v>709</v>
      </c>
      <c r="B63" t="s">
        <v>73</v>
      </c>
      <c r="C63" t="s">
        <v>19</v>
      </c>
      <c r="D63" t="s">
        <v>2286</v>
      </c>
      <c r="E63" t="s">
        <v>2278</v>
      </c>
      <c r="F63">
        <v>2023</v>
      </c>
      <c r="G63" t="s">
        <v>2289</v>
      </c>
      <c r="H63">
        <v>1500</v>
      </c>
      <c r="I63">
        <v>278</v>
      </c>
    </row>
    <row r="64" spans="1:9" x14ac:dyDescent="0.3">
      <c r="A64" t="s">
        <v>2182</v>
      </c>
      <c r="B64" t="s">
        <v>64</v>
      </c>
      <c r="C64" t="s">
        <v>2288</v>
      </c>
      <c r="D64" t="s">
        <v>2286</v>
      </c>
      <c r="E64" t="s">
        <v>2278</v>
      </c>
      <c r="F64">
        <v>2024</v>
      </c>
      <c r="H64">
        <v>1500</v>
      </c>
      <c r="I64">
        <v>150</v>
      </c>
    </row>
    <row r="65" spans="1:9" x14ac:dyDescent="0.3">
      <c r="A65" t="s">
        <v>181</v>
      </c>
      <c r="B65" t="s">
        <v>28</v>
      </c>
      <c r="C65" t="s">
        <v>19</v>
      </c>
      <c r="D65" t="s">
        <v>2286</v>
      </c>
      <c r="E65" t="s">
        <v>2282</v>
      </c>
      <c r="F65">
        <v>2022</v>
      </c>
      <c r="H65">
        <v>1500</v>
      </c>
      <c r="I65">
        <v>227</v>
      </c>
    </row>
    <row r="66" spans="1:9" x14ac:dyDescent="0.3">
      <c r="A66" t="s">
        <v>459</v>
      </c>
      <c r="B66" t="s">
        <v>73</v>
      </c>
      <c r="C66" t="s">
        <v>37</v>
      </c>
      <c r="D66" t="s">
        <v>2277</v>
      </c>
      <c r="E66" t="s">
        <v>2287</v>
      </c>
      <c r="F66">
        <v>2022</v>
      </c>
      <c r="G66" t="s">
        <v>2289</v>
      </c>
      <c r="I66">
        <v>70</v>
      </c>
    </row>
    <row r="67" spans="1:9" x14ac:dyDescent="0.3">
      <c r="A67" t="s">
        <v>135</v>
      </c>
      <c r="B67" t="s">
        <v>64</v>
      </c>
      <c r="C67" t="s">
        <v>19</v>
      </c>
      <c r="D67" t="s">
        <v>2286</v>
      </c>
      <c r="E67" t="s">
        <v>2278</v>
      </c>
      <c r="F67">
        <v>2024</v>
      </c>
      <c r="H67">
        <v>1500</v>
      </c>
      <c r="I67">
        <v>256</v>
      </c>
    </row>
    <row r="68" spans="1:9" x14ac:dyDescent="0.3">
      <c r="A68" t="s">
        <v>739</v>
      </c>
      <c r="B68" t="s">
        <v>57</v>
      </c>
      <c r="C68" t="s">
        <v>2280</v>
      </c>
      <c r="D68" t="s">
        <v>29</v>
      </c>
      <c r="E68" t="s">
        <v>2287</v>
      </c>
      <c r="F68">
        <v>2021</v>
      </c>
      <c r="G68" t="s">
        <v>2283</v>
      </c>
      <c r="H68">
        <v>1500</v>
      </c>
      <c r="I68">
        <v>282</v>
      </c>
    </row>
    <row r="69" spans="1:9" x14ac:dyDescent="0.3">
      <c r="A69" t="s">
        <v>943</v>
      </c>
      <c r="B69" t="s">
        <v>64</v>
      </c>
      <c r="C69" t="s">
        <v>2280</v>
      </c>
      <c r="D69" t="s">
        <v>2281</v>
      </c>
      <c r="E69" t="s">
        <v>2282</v>
      </c>
      <c r="F69">
        <v>2021</v>
      </c>
      <c r="G69" t="s">
        <v>2283</v>
      </c>
      <c r="I69">
        <v>149</v>
      </c>
    </row>
    <row r="70" spans="1:9" x14ac:dyDescent="0.3">
      <c r="A70" t="s">
        <v>395</v>
      </c>
      <c r="B70" t="s">
        <v>64</v>
      </c>
      <c r="C70" t="s">
        <v>19</v>
      </c>
      <c r="D70" t="s">
        <v>2277</v>
      </c>
      <c r="E70" t="s">
        <v>2282</v>
      </c>
      <c r="F70">
        <v>2021</v>
      </c>
      <c r="G70" t="s">
        <v>2279</v>
      </c>
      <c r="I70">
        <v>223</v>
      </c>
    </row>
    <row r="71" spans="1:9" x14ac:dyDescent="0.3">
      <c r="A71" t="s">
        <v>1027</v>
      </c>
      <c r="B71" t="s">
        <v>64</v>
      </c>
      <c r="C71" t="s">
        <v>19</v>
      </c>
      <c r="D71" t="s">
        <v>2281</v>
      </c>
      <c r="E71" t="s">
        <v>2282</v>
      </c>
      <c r="F71">
        <v>2021</v>
      </c>
      <c r="G71" t="s">
        <v>2283</v>
      </c>
      <c r="H71">
        <v>1500</v>
      </c>
      <c r="I71">
        <v>123</v>
      </c>
    </row>
    <row r="72" spans="1:9" x14ac:dyDescent="0.3">
      <c r="A72" t="s">
        <v>325</v>
      </c>
      <c r="B72" t="s">
        <v>57</v>
      </c>
      <c r="C72" t="s">
        <v>19</v>
      </c>
      <c r="D72" t="s">
        <v>2286</v>
      </c>
      <c r="E72" t="s">
        <v>2282</v>
      </c>
      <c r="F72">
        <v>2021</v>
      </c>
      <c r="H72">
        <v>1200</v>
      </c>
      <c r="I72">
        <v>180</v>
      </c>
    </row>
    <row r="73" spans="1:9" x14ac:dyDescent="0.3">
      <c r="A73" t="s">
        <v>1297</v>
      </c>
      <c r="B73" t="s">
        <v>64</v>
      </c>
      <c r="C73" t="s">
        <v>2280</v>
      </c>
      <c r="D73" t="s">
        <v>2286</v>
      </c>
      <c r="E73" t="s">
        <v>2278</v>
      </c>
      <c r="F73">
        <v>2021</v>
      </c>
      <c r="H73">
        <v>1200</v>
      </c>
      <c r="I73">
        <v>145</v>
      </c>
    </row>
    <row r="74" spans="1:9" x14ac:dyDescent="0.3">
      <c r="A74" t="s">
        <v>278</v>
      </c>
      <c r="B74" t="s">
        <v>98</v>
      </c>
      <c r="C74" t="s">
        <v>2276</v>
      </c>
      <c r="D74" t="s">
        <v>29</v>
      </c>
      <c r="E74" t="s">
        <v>2278</v>
      </c>
      <c r="F74">
        <v>2022</v>
      </c>
      <c r="G74" t="s">
        <v>2285</v>
      </c>
      <c r="H74">
        <v>1200</v>
      </c>
      <c r="I74">
        <v>32</v>
      </c>
    </row>
    <row r="75" spans="1:9" x14ac:dyDescent="0.3">
      <c r="A75" t="s">
        <v>1316</v>
      </c>
      <c r="B75" t="s">
        <v>28</v>
      </c>
      <c r="C75" t="s">
        <v>2280</v>
      </c>
      <c r="D75" t="s">
        <v>2286</v>
      </c>
      <c r="E75" t="s">
        <v>2282</v>
      </c>
      <c r="F75">
        <v>2023</v>
      </c>
      <c r="G75" t="s">
        <v>2283</v>
      </c>
      <c r="H75">
        <v>1500</v>
      </c>
      <c r="I75">
        <v>292</v>
      </c>
    </row>
    <row r="76" spans="1:9" x14ac:dyDescent="0.3">
      <c r="A76" t="s">
        <v>635</v>
      </c>
      <c r="B76" t="s">
        <v>57</v>
      </c>
      <c r="C76" t="s">
        <v>19</v>
      </c>
      <c r="D76" t="s">
        <v>2281</v>
      </c>
      <c r="E76" t="s">
        <v>2278</v>
      </c>
      <c r="F76">
        <v>2022</v>
      </c>
      <c r="G76" t="s">
        <v>2285</v>
      </c>
      <c r="H76">
        <v>900</v>
      </c>
      <c r="I76">
        <v>263</v>
      </c>
    </row>
    <row r="77" spans="1:9" x14ac:dyDescent="0.3">
      <c r="A77" t="s">
        <v>27</v>
      </c>
      <c r="B77" t="s">
        <v>28</v>
      </c>
      <c r="C77" t="s">
        <v>2280</v>
      </c>
      <c r="D77" t="s">
        <v>29</v>
      </c>
      <c r="E77" t="s">
        <v>2278</v>
      </c>
      <c r="F77">
        <v>2021</v>
      </c>
      <c r="G77" t="s">
        <v>2285</v>
      </c>
      <c r="H77">
        <v>900</v>
      </c>
      <c r="I77">
        <v>30</v>
      </c>
    </row>
    <row r="78" spans="1:9" x14ac:dyDescent="0.3">
      <c r="A78" t="s">
        <v>615</v>
      </c>
      <c r="B78" t="s">
        <v>64</v>
      </c>
      <c r="C78" t="s">
        <v>2288</v>
      </c>
      <c r="D78" t="s">
        <v>2281</v>
      </c>
      <c r="E78" t="s">
        <v>2287</v>
      </c>
      <c r="F78">
        <v>2024</v>
      </c>
      <c r="G78" t="s">
        <v>2279</v>
      </c>
      <c r="H78">
        <v>1500</v>
      </c>
      <c r="I78">
        <v>98</v>
      </c>
    </row>
    <row r="79" spans="1:9" x14ac:dyDescent="0.3">
      <c r="A79" t="s">
        <v>540</v>
      </c>
      <c r="B79" t="s">
        <v>57</v>
      </c>
      <c r="C79" t="s">
        <v>2288</v>
      </c>
      <c r="D79" t="s">
        <v>2281</v>
      </c>
      <c r="E79" t="s">
        <v>2282</v>
      </c>
      <c r="F79">
        <v>2022</v>
      </c>
      <c r="G79" t="s">
        <v>2289</v>
      </c>
      <c r="H79">
        <v>1500</v>
      </c>
      <c r="I79">
        <v>104</v>
      </c>
    </row>
    <row r="80" spans="1:9" x14ac:dyDescent="0.3">
      <c r="A80" t="s">
        <v>281</v>
      </c>
      <c r="B80" t="s">
        <v>73</v>
      </c>
      <c r="C80" t="s">
        <v>2280</v>
      </c>
      <c r="D80" t="s">
        <v>2286</v>
      </c>
      <c r="E80" t="s">
        <v>2287</v>
      </c>
      <c r="F80">
        <v>2021</v>
      </c>
      <c r="G80" t="s">
        <v>2285</v>
      </c>
      <c r="H80">
        <v>1200</v>
      </c>
      <c r="I80">
        <v>101</v>
      </c>
    </row>
    <row r="81" spans="1:9" x14ac:dyDescent="0.3">
      <c r="A81" t="s">
        <v>674</v>
      </c>
      <c r="B81" t="s">
        <v>57</v>
      </c>
      <c r="C81" t="s">
        <v>19</v>
      </c>
      <c r="D81" t="s">
        <v>2286</v>
      </c>
      <c r="E81" t="s">
        <v>2282</v>
      </c>
      <c r="F81">
        <v>2024</v>
      </c>
      <c r="G81" t="s">
        <v>2283</v>
      </c>
      <c r="H81">
        <v>1200</v>
      </c>
      <c r="I81">
        <v>61</v>
      </c>
    </row>
    <row r="82" spans="1:9" x14ac:dyDescent="0.3">
      <c r="A82" t="s">
        <v>528</v>
      </c>
      <c r="B82" t="s">
        <v>57</v>
      </c>
      <c r="C82" t="s">
        <v>37</v>
      </c>
      <c r="D82" t="s">
        <v>2284</v>
      </c>
      <c r="E82" t="s">
        <v>2282</v>
      </c>
      <c r="F82">
        <v>2021</v>
      </c>
      <c r="H82">
        <v>500</v>
      </c>
      <c r="I82">
        <v>170</v>
      </c>
    </row>
    <row r="83" spans="1:9" x14ac:dyDescent="0.3">
      <c r="A83" t="s">
        <v>566</v>
      </c>
      <c r="B83" t="s">
        <v>64</v>
      </c>
      <c r="C83" t="s">
        <v>2288</v>
      </c>
      <c r="D83" t="s">
        <v>29</v>
      </c>
      <c r="E83" t="s">
        <v>2282</v>
      </c>
      <c r="F83">
        <v>2023</v>
      </c>
      <c r="G83" t="s">
        <v>2289</v>
      </c>
      <c r="H83">
        <v>900</v>
      </c>
      <c r="I83">
        <v>204</v>
      </c>
    </row>
    <row r="84" spans="1:9" x14ac:dyDescent="0.3">
      <c r="A84" t="s">
        <v>440</v>
      </c>
      <c r="B84" t="s">
        <v>73</v>
      </c>
      <c r="C84" t="s">
        <v>2288</v>
      </c>
      <c r="D84" t="s">
        <v>2286</v>
      </c>
      <c r="E84" t="s">
        <v>2278</v>
      </c>
      <c r="F84">
        <v>2024</v>
      </c>
      <c r="H84">
        <v>700</v>
      </c>
      <c r="I84">
        <v>77</v>
      </c>
    </row>
    <row r="85" spans="1:9" x14ac:dyDescent="0.3">
      <c r="A85" t="s">
        <v>115</v>
      </c>
      <c r="B85" t="s">
        <v>57</v>
      </c>
      <c r="C85" t="s">
        <v>2276</v>
      </c>
      <c r="D85" t="s">
        <v>2286</v>
      </c>
      <c r="E85" t="s">
        <v>2278</v>
      </c>
      <c r="F85">
        <v>2022</v>
      </c>
      <c r="G85" t="s">
        <v>2285</v>
      </c>
      <c r="H85">
        <v>900</v>
      </c>
      <c r="I85">
        <v>71</v>
      </c>
    </row>
    <row r="86" spans="1:9" x14ac:dyDescent="0.3">
      <c r="A86" t="s">
        <v>400</v>
      </c>
      <c r="B86" t="s">
        <v>57</v>
      </c>
      <c r="C86" t="s">
        <v>2280</v>
      </c>
      <c r="D86" t="s">
        <v>2284</v>
      </c>
      <c r="E86" t="s">
        <v>2282</v>
      </c>
      <c r="F86">
        <v>2021</v>
      </c>
      <c r="G86" t="s">
        <v>2283</v>
      </c>
      <c r="H86">
        <v>700</v>
      </c>
      <c r="I86">
        <v>153</v>
      </c>
    </row>
    <row r="87" spans="1:9" x14ac:dyDescent="0.3">
      <c r="A87" t="s">
        <v>695</v>
      </c>
      <c r="B87" t="s">
        <v>98</v>
      </c>
      <c r="C87" t="s">
        <v>19</v>
      </c>
      <c r="D87" t="s">
        <v>2284</v>
      </c>
      <c r="E87" t="s">
        <v>2282</v>
      </c>
      <c r="F87">
        <v>2021</v>
      </c>
      <c r="G87" t="s">
        <v>2289</v>
      </c>
      <c r="I87">
        <v>29</v>
      </c>
    </row>
    <row r="88" spans="1:9" x14ac:dyDescent="0.3">
      <c r="A88" t="s">
        <v>184</v>
      </c>
      <c r="B88" t="s">
        <v>98</v>
      </c>
      <c r="C88" t="s">
        <v>2288</v>
      </c>
      <c r="D88" t="s">
        <v>29</v>
      </c>
      <c r="E88" t="s">
        <v>2282</v>
      </c>
      <c r="F88">
        <v>2021</v>
      </c>
      <c r="G88" t="s">
        <v>2289</v>
      </c>
      <c r="H88">
        <v>900</v>
      </c>
      <c r="I88">
        <v>147</v>
      </c>
    </row>
    <row r="89" spans="1:9" x14ac:dyDescent="0.3">
      <c r="A89" t="s">
        <v>2033</v>
      </c>
      <c r="B89" t="s">
        <v>64</v>
      </c>
      <c r="C89" t="s">
        <v>2280</v>
      </c>
      <c r="D89" t="s">
        <v>2284</v>
      </c>
      <c r="E89" t="s">
        <v>2278</v>
      </c>
      <c r="F89">
        <v>2021</v>
      </c>
      <c r="G89" t="s">
        <v>2285</v>
      </c>
      <c r="H89">
        <v>1200</v>
      </c>
      <c r="I89">
        <v>39</v>
      </c>
    </row>
    <row r="90" spans="1:9" x14ac:dyDescent="0.3">
      <c r="A90" t="s">
        <v>1393</v>
      </c>
      <c r="B90" t="s">
        <v>57</v>
      </c>
      <c r="C90" t="s">
        <v>2280</v>
      </c>
      <c r="D90" t="s">
        <v>2277</v>
      </c>
      <c r="E90" t="s">
        <v>2287</v>
      </c>
      <c r="F90">
        <v>2022</v>
      </c>
      <c r="H90">
        <v>700</v>
      </c>
      <c r="I90">
        <v>179</v>
      </c>
    </row>
    <row r="91" spans="1:9" x14ac:dyDescent="0.3">
      <c r="A91" t="s">
        <v>154</v>
      </c>
      <c r="B91" t="s">
        <v>98</v>
      </c>
      <c r="C91" t="s">
        <v>37</v>
      </c>
      <c r="D91" t="s">
        <v>2277</v>
      </c>
      <c r="E91" t="s">
        <v>2282</v>
      </c>
      <c r="F91">
        <v>2023</v>
      </c>
      <c r="G91" t="s">
        <v>2285</v>
      </c>
      <c r="H91">
        <v>900</v>
      </c>
      <c r="I91">
        <v>90</v>
      </c>
    </row>
    <row r="92" spans="1:9" x14ac:dyDescent="0.3">
      <c r="A92" t="s">
        <v>178</v>
      </c>
      <c r="B92" t="s">
        <v>73</v>
      </c>
      <c r="C92" t="s">
        <v>37</v>
      </c>
      <c r="D92" t="s">
        <v>2284</v>
      </c>
      <c r="E92" t="s">
        <v>2282</v>
      </c>
      <c r="F92">
        <v>2022</v>
      </c>
      <c r="G92" t="s">
        <v>2289</v>
      </c>
      <c r="H92">
        <v>1200</v>
      </c>
      <c r="I92">
        <v>154</v>
      </c>
    </row>
    <row r="93" spans="1:9" x14ac:dyDescent="0.3">
      <c r="A93" t="s">
        <v>512</v>
      </c>
      <c r="B93" t="s">
        <v>98</v>
      </c>
      <c r="C93" t="s">
        <v>2280</v>
      </c>
      <c r="D93" t="s">
        <v>2286</v>
      </c>
      <c r="E93" t="s">
        <v>2282</v>
      </c>
      <c r="F93">
        <v>2024</v>
      </c>
      <c r="G93" t="s">
        <v>2289</v>
      </c>
      <c r="H93">
        <v>500</v>
      </c>
      <c r="I93">
        <v>80</v>
      </c>
    </row>
    <row r="94" spans="1:9" x14ac:dyDescent="0.3">
      <c r="A94" t="s">
        <v>431</v>
      </c>
      <c r="B94" t="s">
        <v>98</v>
      </c>
      <c r="C94" t="s">
        <v>2276</v>
      </c>
      <c r="D94" t="s">
        <v>29</v>
      </c>
      <c r="E94" t="s">
        <v>2278</v>
      </c>
      <c r="F94">
        <v>2022</v>
      </c>
      <c r="G94" t="s">
        <v>2285</v>
      </c>
      <c r="H94">
        <v>700</v>
      </c>
      <c r="I94">
        <v>68</v>
      </c>
    </row>
    <row r="95" spans="1:9" x14ac:dyDescent="0.3">
      <c r="A95" t="s">
        <v>1050</v>
      </c>
      <c r="B95" t="s">
        <v>28</v>
      </c>
      <c r="C95" t="s">
        <v>37</v>
      </c>
      <c r="D95" t="s">
        <v>2277</v>
      </c>
      <c r="E95" t="s">
        <v>2282</v>
      </c>
      <c r="F95">
        <v>2022</v>
      </c>
      <c r="G95" t="s">
        <v>2279</v>
      </c>
      <c r="I95">
        <v>201</v>
      </c>
    </row>
    <row r="96" spans="1:9" x14ac:dyDescent="0.3">
      <c r="A96" t="s">
        <v>795</v>
      </c>
      <c r="B96" t="s">
        <v>98</v>
      </c>
      <c r="C96" t="s">
        <v>37</v>
      </c>
      <c r="D96" t="s">
        <v>2286</v>
      </c>
      <c r="E96" t="s">
        <v>2287</v>
      </c>
      <c r="F96">
        <v>2024</v>
      </c>
      <c r="G96" t="s">
        <v>2289</v>
      </c>
      <c r="H96">
        <v>1500</v>
      </c>
      <c r="I96">
        <v>109</v>
      </c>
    </row>
    <row r="97" spans="1:9" x14ac:dyDescent="0.3">
      <c r="A97" t="s">
        <v>157</v>
      </c>
      <c r="B97" t="s">
        <v>28</v>
      </c>
      <c r="C97" t="s">
        <v>19</v>
      </c>
      <c r="D97" t="s">
        <v>29</v>
      </c>
      <c r="E97" t="s">
        <v>2282</v>
      </c>
      <c r="F97">
        <v>2021</v>
      </c>
      <c r="G97" t="s">
        <v>2285</v>
      </c>
      <c r="H97">
        <v>900</v>
      </c>
      <c r="I97">
        <v>220</v>
      </c>
    </row>
    <row r="98" spans="1:9" x14ac:dyDescent="0.3">
      <c r="A98" t="s">
        <v>629</v>
      </c>
      <c r="B98" t="s">
        <v>64</v>
      </c>
      <c r="C98" t="s">
        <v>2288</v>
      </c>
      <c r="D98" t="s">
        <v>2284</v>
      </c>
      <c r="E98" t="s">
        <v>2287</v>
      </c>
      <c r="F98">
        <v>2021</v>
      </c>
      <c r="G98" t="s">
        <v>2283</v>
      </c>
      <c r="H98">
        <v>900</v>
      </c>
      <c r="I98">
        <v>191</v>
      </c>
    </row>
    <row r="99" spans="1:9" x14ac:dyDescent="0.3">
      <c r="A99" t="s">
        <v>1662</v>
      </c>
      <c r="B99" t="s">
        <v>28</v>
      </c>
      <c r="C99" t="s">
        <v>2276</v>
      </c>
      <c r="D99" t="s">
        <v>2286</v>
      </c>
      <c r="E99" t="s">
        <v>2287</v>
      </c>
      <c r="F99">
        <v>2024</v>
      </c>
      <c r="G99" t="s">
        <v>2289</v>
      </c>
      <c r="H99">
        <v>1500</v>
      </c>
      <c r="I99">
        <v>42</v>
      </c>
    </row>
    <row r="100" spans="1:9" x14ac:dyDescent="0.3">
      <c r="A100" t="s">
        <v>392</v>
      </c>
      <c r="B100" t="s">
        <v>28</v>
      </c>
      <c r="C100" t="s">
        <v>37</v>
      </c>
      <c r="D100" t="s">
        <v>29</v>
      </c>
      <c r="E100" t="s">
        <v>2278</v>
      </c>
      <c r="F100">
        <v>2023</v>
      </c>
      <c r="G100" t="s">
        <v>2285</v>
      </c>
      <c r="H100">
        <v>700</v>
      </c>
      <c r="I100">
        <v>253</v>
      </c>
    </row>
    <row r="101" spans="1:9" x14ac:dyDescent="0.3">
      <c r="A101" t="s">
        <v>518</v>
      </c>
      <c r="B101" t="s">
        <v>64</v>
      </c>
      <c r="C101" t="s">
        <v>2288</v>
      </c>
      <c r="D101" t="s">
        <v>2284</v>
      </c>
      <c r="E101" t="s">
        <v>2278</v>
      </c>
      <c r="F101">
        <v>2022</v>
      </c>
      <c r="G101" t="s">
        <v>2279</v>
      </c>
      <c r="H101">
        <v>1200</v>
      </c>
      <c r="I101">
        <v>107</v>
      </c>
    </row>
    <row r="102" spans="1:9" x14ac:dyDescent="0.3">
      <c r="A102" t="s">
        <v>1170</v>
      </c>
      <c r="B102" t="s">
        <v>64</v>
      </c>
      <c r="C102" t="s">
        <v>2280</v>
      </c>
      <c r="D102" t="s">
        <v>2286</v>
      </c>
      <c r="E102" t="s">
        <v>2278</v>
      </c>
      <c r="F102">
        <v>2021</v>
      </c>
      <c r="G102" t="s">
        <v>2279</v>
      </c>
      <c r="H102">
        <v>1500</v>
      </c>
      <c r="I102">
        <v>193</v>
      </c>
    </row>
    <row r="103" spans="1:9" x14ac:dyDescent="0.3">
      <c r="A103" t="s">
        <v>1084</v>
      </c>
      <c r="B103" t="s">
        <v>64</v>
      </c>
      <c r="C103" t="s">
        <v>2280</v>
      </c>
      <c r="D103" t="s">
        <v>29</v>
      </c>
      <c r="E103" t="s">
        <v>2282</v>
      </c>
      <c r="F103">
        <v>2022</v>
      </c>
      <c r="G103" t="s">
        <v>2285</v>
      </c>
      <c r="I103">
        <v>207</v>
      </c>
    </row>
    <row r="104" spans="1:9" x14ac:dyDescent="0.3">
      <c r="A104" t="s">
        <v>342</v>
      </c>
      <c r="B104" t="s">
        <v>64</v>
      </c>
      <c r="C104" t="s">
        <v>37</v>
      </c>
      <c r="D104" t="s">
        <v>29</v>
      </c>
      <c r="E104" t="s">
        <v>2282</v>
      </c>
      <c r="F104">
        <v>2021</v>
      </c>
      <c r="I104">
        <v>198</v>
      </c>
    </row>
    <row r="105" spans="1:9" x14ac:dyDescent="0.3">
      <c r="A105" t="s">
        <v>286</v>
      </c>
      <c r="B105" t="s">
        <v>64</v>
      </c>
      <c r="C105" t="s">
        <v>37</v>
      </c>
      <c r="D105" t="s">
        <v>2284</v>
      </c>
      <c r="E105" t="s">
        <v>2287</v>
      </c>
      <c r="F105">
        <v>2021</v>
      </c>
      <c r="G105" t="s">
        <v>2285</v>
      </c>
      <c r="I105">
        <v>153</v>
      </c>
    </row>
    <row r="106" spans="1:9" x14ac:dyDescent="0.3">
      <c r="A106" t="s">
        <v>783</v>
      </c>
      <c r="B106" t="s">
        <v>98</v>
      </c>
      <c r="C106" t="s">
        <v>19</v>
      </c>
      <c r="D106" t="s">
        <v>29</v>
      </c>
      <c r="E106" t="s">
        <v>2278</v>
      </c>
      <c r="F106">
        <v>2024</v>
      </c>
      <c r="G106" t="s">
        <v>2283</v>
      </c>
      <c r="H106">
        <v>900</v>
      </c>
      <c r="I106">
        <v>169</v>
      </c>
    </row>
    <row r="107" spans="1:9" x14ac:dyDescent="0.3">
      <c r="A107" t="s">
        <v>240</v>
      </c>
      <c r="B107" t="s">
        <v>98</v>
      </c>
      <c r="C107" t="s">
        <v>2280</v>
      </c>
      <c r="D107" t="s">
        <v>2286</v>
      </c>
      <c r="E107" t="s">
        <v>2287</v>
      </c>
      <c r="F107">
        <v>2023</v>
      </c>
      <c r="G107" t="s">
        <v>2289</v>
      </c>
      <c r="H107">
        <v>500</v>
      </c>
      <c r="I107">
        <v>237</v>
      </c>
    </row>
    <row r="108" spans="1:9" x14ac:dyDescent="0.3">
      <c r="A108" t="s">
        <v>250</v>
      </c>
      <c r="B108" t="s">
        <v>28</v>
      </c>
      <c r="C108" t="s">
        <v>37</v>
      </c>
      <c r="D108" t="s">
        <v>2277</v>
      </c>
      <c r="E108" t="s">
        <v>2282</v>
      </c>
      <c r="F108">
        <v>2023</v>
      </c>
      <c r="G108" t="s">
        <v>2285</v>
      </c>
      <c r="H108">
        <v>1200</v>
      </c>
      <c r="I108">
        <v>97</v>
      </c>
    </row>
    <row r="109" spans="1:9" x14ac:dyDescent="0.3">
      <c r="A109" t="s">
        <v>354</v>
      </c>
      <c r="B109" t="s">
        <v>64</v>
      </c>
      <c r="C109" t="s">
        <v>2288</v>
      </c>
      <c r="D109" t="s">
        <v>2281</v>
      </c>
      <c r="E109" t="s">
        <v>2278</v>
      </c>
      <c r="F109">
        <v>2023</v>
      </c>
      <c r="G109" t="s">
        <v>2285</v>
      </c>
      <c r="I109">
        <v>143</v>
      </c>
    </row>
    <row r="110" spans="1:9" x14ac:dyDescent="0.3">
      <c r="A110" t="s">
        <v>273</v>
      </c>
      <c r="B110" t="s">
        <v>73</v>
      </c>
      <c r="C110" t="s">
        <v>2288</v>
      </c>
      <c r="D110" t="s">
        <v>29</v>
      </c>
      <c r="E110" t="s">
        <v>2287</v>
      </c>
      <c r="F110">
        <v>2024</v>
      </c>
      <c r="H110">
        <v>700</v>
      </c>
      <c r="I110">
        <v>284</v>
      </c>
    </row>
    <row r="111" spans="1:9" x14ac:dyDescent="0.3">
      <c r="A111" t="s">
        <v>204</v>
      </c>
      <c r="B111" t="s">
        <v>73</v>
      </c>
      <c r="C111" t="s">
        <v>2276</v>
      </c>
      <c r="D111" t="s">
        <v>2286</v>
      </c>
      <c r="E111" t="s">
        <v>2282</v>
      </c>
      <c r="F111">
        <v>2022</v>
      </c>
      <c r="G111" t="s">
        <v>2279</v>
      </c>
      <c r="I111">
        <v>202</v>
      </c>
    </row>
    <row r="112" spans="1:9" x14ac:dyDescent="0.3">
      <c r="A112" t="s">
        <v>322</v>
      </c>
      <c r="B112" t="s">
        <v>28</v>
      </c>
      <c r="C112" t="s">
        <v>19</v>
      </c>
      <c r="D112" t="s">
        <v>2286</v>
      </c>
      <c r="E112" t="s">
        <v>2287</v>
      </c>
      <c r="F112">
        <v>2022</v>
      </c>
      <c r="H112">
        <v>1500</v>
      </c>
      <c r="I112">
        <v>138</v>
      </c>
    </row>
    <row r="113" spans="1:9" x14ac:dyDescent="0.3">
      <c r="A113" t="s">
        <v>521</v>
      </c>
      <c r="B113" t="s">
        <v>73</v>
      </c>
      <c r="C113" t="s">
        <v>2280</v>
      </c>
      <c r="D113" t="s">
        <v>2277</v>
      </c>
      <c r="E113" t="s">
        <v>2278</v>
      </c>
      <c r="F113">
        <v>2021</v>
      </c>
      <c r="G113" t="s">
        <v>2279</v>
      </c>
      <c r="H113">
        <v>1500</v>
      </c>
      <c r="I113">
        <v>234</v>
      </c>
    </row>
    <row r="114" spans="1:9" x14ac:dyDescent="0.3">
      <c r="A114" t="s">
        <v>1257</v>
      </c>
      <c r="B114" t="s">
        <v>73</v>
      </c>
      <c r="C114" t="s">
        <v>2280</v>
      </c>
      <c r="D114" t="s">
        <v>2284</v>
      </c>
      <c r="E114" t="s">
        <v>2287</v>
      </c>
      <c r="F114">
        <v>2023</v>
      </c>
      <c r="H114">
        <v>500</v>
      </c>
      <c r="I114">
        <v>94</v>
      </c>
    </row>
    <row r="115" spans="1:9" x14ac:dyDescent="0.3">
      <c r="A115" t="s">
        <v>351</v>
      </c>
      <c r="B115" t="s">
        <v>64</v>
      </c>
      <c r="C115" t="s">
        <v>2280</v>
      </c>
      <c r="D115" t="s">
        <v>2277</v>
      </c>
      <c r="E115" t="s">
        <v>2282</v>
      </c>
      <c r="F115">
        <v>2024</v>
      </c>
      <c r="H115">
        <v>900</v>
      </c>
      <c r="I115">
        <v>187</v>
      </c>
    </row>
    <row r="116" spans="1:9" x14ac:dyDescent="0.3">
      <c r="A116" t="s">
        <v>210</v>
      </c>
      <c r="B116" t="s">
        <v>57</v>
      </c>
      <c r="C116" t="s">
        <v>2280</v>
      </c>
      <c r="D116" t="s">
        <v>2277</v>
      </c>
      <c r="E116" t="s">
        <v>2278</v>
      </c>
      <c r="F116">
        <v>2024</v>
      </c>
      <c r="G116" t="s">
        <v>2279</v>
      </c>
      <c r="H116">
        <v>700</v>
      </c>
      <c r="I116">
        <v>208</v>
      </c>
    </row>
    <row r="117" spans="1:9" x14ac:dyDescent="0.3">
      <c r="A117" t="s">
        <v>1481</v>
      </c>
      <c r="B117" t="s">
        <v>73</v>
      </c>
      <c r="C117" t="s">
        <v>19</v>
      </c>
      <c r="D117" t="s">
        <v>2277</v>
      </c>
      <c r="E117" t="s">
        <v>2278</v>
      </c>
      <c r="F117">
        <v>2021</v>
      </c>
      <c r="H117">
        <v>1500</v>
      </c>
      <c r="I117">
        <v>38</v>
      </c>
    </row>
    <row r="118" spans="1:9" x14ac:dyDescent="0.3">
      <c r="A118" t="s">
        <v>169</v>
      </c>
      <c r="B118" t="s">
        <v>57</v>
      </c>
      <c r="C118" t="s">
        <v>19</v>
      </c>
      <c r="D118" t="s">
        <v>2277</v>
      </c>
      <c r="E118" t="s">
        <v>2287</v>
      </c>
      <c r="F118">
        <v>2023</v>
      </c>
      <c r="G118" t="s">
        <v>2283</v>
      </c>
      <c r="H118">
        <v>1500</v>
      </c>
      <c r="I118">
        <v>211</v>
      </c>
    </row>
    <row r="119" spans="1:9" x14ac:dyDescent="0.3">
      <c r="A119" t="s">
        <v>482</v>
      </c>
      <c r="B119" t="s">
        <v>73</v>
      </c>
      <c r="C119" t="s">
        <v>2276</v>
      </c>
      <c r="D119" t="s">
        <v>2281</v>
      </c>
      <c r="E119" t="s">
        <v>2287</v>
      </c>
      <c r="F119">
        <v>2021</v>
      </c>
      <c r="G119" t="s">
        <v>2283</v>
      </c>
      <c r="H119">
        <v>700</v>
      </c>
      <c r="I119">
        <v>109</v>
      </c>
    </row>
    <row r="120" spans="1:9" x14ac:dyDescent="0.3">
      <c r="A120" t="s">
        <v>1129</v>
      </c>
      <c r="B120" t="s">
        <v>98</v>
      </c>
      <c r="C120" t="s">
        <v>2280</v>
      </c>
      <c r="D120" t="s">
        <v>2281</v>
      </c>
      <c r="E120" t="s">
        <v>2278</v>
      </c>
      <c r="F120">
        <v>2022</v>
      </c>
      <c r="G120" t="s">
        <v>2285</v>
      </c>
      <c r="H120">
        <v>1500</v>
      </c>
      <c r="I120">
        <v>273</v>
      </c>
    </row>
    <row r="121" spans="1:9" x14ac:dyDescent="0.3">
      <c r="A121" t="s">
        <v>1470</v>
      </c>
      <c r="B121" t="s">
        <v>73</v>
      </c>
      <c r="C121" t="s">
        <v>19</v>
      </c>
      <c r="D121" t="s">
        <v>2284</v>
      </c>
      <c r="E121" t="s">
        <v>2278</v>
      </c>
      <c r="F121">
        <v>2023</v>
      </c>
      <c r="G121" t="s">
        <v>2285</v>
      </c>
      <c r="H121">
        <v>1200</v>
      </c>
      <c r="I121">
        <v>173</v>
      </c>
    </row>
    <row r="122" spans="1:9" x14ac:dyDescent="0.3">
      <c r="A122" t="s">
        <v>405</v>
      </c>
      <c r="B122" t="s">
        <v>98</v>
      </c>
      <c r="C122" t="s">
        <v>2276</v>
      </c>
      <c r="D122" t="s">
        <v>29</v>
      </c>
      <c r="E122" t="s">
        <v>2282</v>
      </c>
      <c r="F122">
        <v>2021</v>
      </c>
      <c r="G122" t="s">
        <v>2285</v>
      </c>
      <c r="H122">
        <v>1200</v>
      </c>
      <c r="I122">
        <v>38</v>
      </c>
    </row>
    <row r="123" spans="1:9" x14ac:dyDescent="0.3">
      <c r="A123" t="s">
        <v>535</v>
      </c>
      <c r="B123" t="s">
        <v>57</v>
      </c>
      <c r="C123" t="s">
        <v>2288</v>
      </c>
      <c r="D123" t="s">
        <v>2286</v>
      </c>
      <c r="E123" t="s">
        <v>2282</v>
      </c>
      <c r="F123">
        <v>2023</v>
      </c>
      <c r="G123" t="s">
        <v>2279</v>
      </c>
      <c r="I123">
        <v>176</v>
      </c>
    </row>
    <row r="124" spans="1:9" x14ac:dyDescent="0.3">
      <c r="A124" t="s">
        <v>991</v>
      </c>
      <c r="B124" t="s">
        <v>64</v>
      </c>
      <c r="C124" t="s">
        <v>2288</v>
      </c>
      <c r="D124" t="s">
        <v>29</v>
      </c>
      <c r="E124" t="s">
        <v>2287</v>
      </c>
      <c r="F124">
        <v>2021</v>
      </c>
      <c r="I124">
        <v>177</v>
      </c>
    </row>
    <row r="125" spans="1:9" x14ac:dyDescent="0.3">
      <c r="A125" t="s">
        <v>259</v>
      </c>
      <c r="B125" t="s">
        <v>98</v>
      </c>
      <c r="C125" t="s">
        <v>2280</v>
      </c>
      <c r="D125" t="s">
        <v>2281</v>
      </c>
      <c r="E125" t="s">
        <v>2287</v>
      </c>
      <c r="F125">
        <v>2023</v>
      </c>
      <c r="G125" t="s">
        <v>2283</v>
      </c>
      <c r="I125">
        <v>100</v>
      </c>
    </row>
    <row r="126" spans="1:9" x14ac:dyDescent="0.3">
      <c r="A126" t="s">
        <v>471</v>
      </c>
      <c r="B126" t="s">
        <v>98</v>
      </c>
      <c r="C126" t="s">
        <v>2276</v>
      </c>
      <c r="D126" t="s">
        <v>2277</v>
      </c>
      <c r="E126" t="s">
        <v>2282</v>
      </c>
      <c r="F126">
        <v>2022</v>
      </c>
      <c r="G126" t="s">
        <v>2285</v>
      </c>
      <c r="H126">
        <v>700</v>
      </c>
      <c r="I126">
        <v>173</v>
      </c>
    </row>
    <row r="127" spans="1:9" x14ac:dyDescent="0.3">
      <c r="A127" t="s">
        <v>829</v>
      </c>
      <c r="B127" t="s">
        <v>98</v>
      </c>
      <c r="C127" t="s">
        <v>19</v>
      </c>
      <c r="D127" t="s">
        <v>2284</v>
      </c>
      <c r="E127" t="s">
        <v>2287</v>
      </c>
      <c r="F127">
        <v>2021</v>
      </c>
      <c r="G127" t="s">
        <v>2285</v>
      </c>
      <c r="H127">
        <v>1500</v>
      </c>
      <c r="I127">
        <v>226</v>
      </c>
    </row>
    <row r="128" spans="1:9" x14ac:dyDescent="0.3">
      <c r="A128" t="s">
        <v>1520</v>
      </c>
      <c r="B128" t="s">
        <v>57</v>
      </c>
      <c r="C128" t="s">
        <v>37</v>
      </c>
      <c r="D128" t="s">
        <v>2277</v>
      </c>
      <c r="E128" t="s">
        <v>2282</v>
      </c>
      <c r="F128">
        <v>2022</v>
      </c>
      <c r="G128" t="s">
        <v>2285</v>
      </c>
      <c r="H128">
        <v>500</v>
      </c>
      <c r="I128">
        <v>297</v>
      </c>
    </row>
    <row r="129" spans="1:9" x14ac:dyDescent="0.3">
      <c r="A129" t="s">
        <v>269</v>
      </c>
      <c r="B129" t="s">
        <v>64</v>
      </c>
      <c r="C129" t="s">
        <v>2276</v>
      </c>
      <c r="D129" t="s">
        <v>2281</v>
      </c>
      <c r="E129" t="s">
        <v>2282</v>
      </c>
      <c r="F129">
        <v>2024</v>
      </c>
      <c r="G129" t="s">
        <v>2279</v>
      </c>
      <c r="I129">
        <v>36</v>
      </c>
    </row>
    <row r="130" spans="1:9" x14ac:dyDescent="0.3">
      <c r="A130" t="s">
        <v>420</v>
      </c>
      <c r="B130" t="s">
        <v>64</v>
      </c>
      <c r="C130" t="s">
        <v>2276</v>
      </c>
      <c r="D130" t="s">
        <v>2281</v>
      </c>
      <c r="E130" t="s">
        <v>2278</v>
      </c>
      <c r="F130">
        <v>2023</v>
      </c>
      <c r="G130" t="s">
        <v>2279</v>
      </c>
      <c r="H130">
        <v>500</v>
      </c>
      <c r="I130">
        <v>201</v>
      </c>
    </row>
    <row r="131" spans="1:9" x14ac:dyDescent="0.3">
      <c r="A131" t="s">
        <v>93</v>
      </c>
      <c r="B131" t="s">
        <v>64</v>
      </c>
      <c r="C131" t="s">
        <v>37</v>
      </c>
      <c r="D131" t="s">
        <v>29</v>
      </c>
      <c r="E131" t="s">
        <v>2278</v>
      </c>
      <c r="F131">
        <v>2021</v>
      </c>
      <c r="G131" t="s">
        <v>2289</v>
      </c>
      <c r="H131">
        <v>700</v>
      </c>
      <c r="I131">
        <v>76</v>
      </c>
    </row>
    <row r="132" spans="1:9" x14ac:dyDescent="0.3">
      <c r="A132" t="s">
        <v>1582</v>
      </c>
      <c r="B132" t="s">
        <v>64</v>
      </c>
      <c r="C132" t="s">
        <v>37</v>
      </c>
      <c r="D132" t="s">
        <v>2281</v>
      </c>
      <c r="E132" t="s">
        <v>2287</v>
      </c>
      <c r="F132">
        <v>2022</v>
      </c>
      <c r="H132">
        <v>900</v>
      </c>
      <c r="I132">
        <v>99</v>
      </c>
    </row>
    <row r="133" spans="1:9" x14ac:dyDescent="0.3">
      <c r="A133" t="s">
        <v>612</v>
      </c>
      <c r="B133" t="s">
        <v>57</v>
      </c>
      <c r="C133" t="s">
        <v>37</v>
      </c>
      <c r="D133" t="s">
        <v>29</v>
      </c>
      <c r="E133" t="s">
        <v>2278</v>
      </c>
      <c r="F133">
        <v>2021</v>
      </c>
      <c r="G133" t="s">
        <v>2283</v>
      </c>
      <c r="H133">
        <v>1200</v>
      </c>
      <c r="I133">
        <v>193</v>
      </c>
    </row>
    <row r="134" spans="1:9" x14ac:dyDescent="0.3">
      <c r="A134" t="s">
        <v>647</v>
      </c>
      <c r="B134" t="s">
        <v>64</v>
      </c>
      <c r="C134" t="s">
        <v>19</v>
      </c>
      <c r="D134" t="s">
        <v>2281</v>
      </c>
      <c r="E134" t="s">
        <v>2278</v>
      </c>
      <c r="F134">
        <v>2021</v>
      </c>
      <c r="H134">
        <v>700</v>
      </c>
      <c r="I134">
        <v>133</v>
      </c>
    </row>
    <row r="135" spans="1:9" x14ac:dyDescent="0.3">
      <c r="A135" t="s">
        <v>52</v>
      </c>
      <c r="B135" t="s">
        <v>28</v>
      </c>
      <c r="C135" t="s">
        <v>2288</v>
      </c>
      <c r="D135" t="s">
        <v>2284</v>
      </c>
      <c r="E135" t="s">
        <v>2278</v>
      </c>
      <c r="F135">
        <v>2022</v>
      </c>
      <c r="G135" t="s">
        <v>2283</v>
      </c>
      <c r="H135">
        <v>1500</v>
      </c>
      <c r="I135">
        <v>81</v>
      </c>
    </row>
    <row r="136" spans="1:9" x14ac:dyDescent="0.3">
      <c r="A136" t="s">
        <v>936</v>
      </c>
      <c r="B136" t="s">
        <v>57</v>
      </c>
      <c r="C136" t="s">
        <v>19</v>
      </c>
      <c r="D136" t="s">
        <v>2277</v>
      </c>
      <c r="E136" t="s">
        <v>2282</v>
      </c>
      <c r="F136">
        <v>2024</v>
      </c>
      <c r="G136" t="s">
        <v>2283</v>
      </c>
      <c r="H136">
        <v>1200</v>
      </c>
      <c r="I136">
        <v>231</v>
      </c>
    </row>
    <row r="137" spans="1:9" x14ac:dyDescent="0.3">
      <c r="A137" t="s">
        <v>1024</v>
      </c>
      <c r="B137" t="s">
        <v>28</v>
      </c>
      <c r="C137" t="s">
        <v>2280</v>
      </c>
      <c r="D137" t="s">
        <v>2281</v>
      </c>
      <c r="E137" t="s">
        <v>2282</v>
      </c>
      <c r="F137">
        <v>2021</v>
      </c>
      <c r="G137" t="s">
        <v>2285</v>
      </c>
      <c r="H137">
        <v>500</v>
      </c>
      <c r="I137">
        <v>286</v>
      </c>
    </row>
    <row r="138" spans="1:9" x14ac:dyDescent="0.3">
      <c r="A138" t="s">
        <v>336</v>
      </c>
      <c r="B138" t="s">
        <v>28</v>
      </c>
      <c r="C138" t="s">
        <v>2288</v>
      </c>
      <c r="D138" t="s">
        <v>2286</v>
      </c>
      <c r="E138" t="s">
        <v>2287</v>
      </c>
      <c r="F138">
        <v>2021</v>
      </c>
      <c r="G138" t="s">
        <v>2283</v>
      </c>
      <c r="I138">
        <v>95</v>
      </c>
    </row>
    <row r="139" spans="1:9" x14ac:dyDescent="0.3">
      <c r="A139" t="s">
        <v>609</v>
      </c>
      <c r="B139" t="s">
        <v>57</v>
      </c>
      <c r="C139" t="s">
        <v>2276</v>
      </c>
      <c r="D139" t="s">
        <v>2284</v>
      </c>
      <c r="E139" t="s">
        <v>2287</v>
      </c>
      <c r="F139">
        <v>2023</v>
      </c>
      <c r="G139" t="s">
        <v>2285</v>
      </c>
      <c r="I139">
        <v>102</v>
      </c>
    </row>
    <row r="140" spans="1:9" x14ac:dyDescent="0.3">
      <c r="A140" t="s">
        <v>856</v>
      </c>
      <c r="B140" t="s">
        <v>73</v>
      </c>
      <c r="C140" t="s">
        <v>19</v>
      </c>
      <c r="D140" t="s">
        <v>29</v>
      </c>
      <c r="E140" t="s">
        <v>2287</v>
      </c>
      <c r="F140">
        <v>2022</v>
      </c>
      <c r="G140" t="s">
        <v>2289</v>
      </c>
      <c r="H140">
        <v>1500</v>
      </c>
      <c r="I140">
        <v>34</v>
      </c>
    </row>
    <row r="141" spans="1:9" x14ac:dyDescent="0.3">
      <c r="A141" t="s">
        <v>295</v>
      </c>
      <c r="B141" t="s">
        <v>64</v>
      </c>
      <c r="C141" t="s">
        <v>2288</v>
      </c>
      <c r="D141" t="s">
        <v>2281</v>
      </c>
      <c r="E141" t="s">
        <v>2278</v>
      </c>
      <c r="F141">
        <v>2022</v>
      </c>
      <c r="G141" t="s">
        <v>2289</v>
      </c>
      <c r="H141">
        <v>1500</v>
      </c>
      <c r="I141">
        <v>24</v>
      </c>
    </row>
    <row r="142" spans="1:9" x14ac:dyDescent="0.3">
      <c r="A142" t="s">
        <v>454</v>
      </c>
      <c r="B142" t="s">
        <v>28</v>
      </c>
      <c r="C142" t="s">
        <v>2280</v>
      </c>
      <c r="D142" t="s">
        <v>29</v>
      </c>
      <c r="E142" t="s">
        <v>2282</v>
      </c>
      <c r="F142">
        <v>2022</v>
      </c>
      <c r="G142" t="s">
        <v>2279</v>
      </c>
      <c r="H142">
        <v>900</v>
      </c>
      <c r="I142">
        <v>220</v>
      </c>
    </row>
    <row r="143" spans="1:9" x14ac:dyDescent="0.3">
      <c r="A143" t="s">
        <v>973</v>
      </c>
      <c r="B143" t="s">
        <v>64</v>
      </c>
      <c r="C143" t="s">
        <v>2276</v>
      </c>
      <c r="D143" t="s">
        <v>2277</v>
      </c>
      <c r="E143" t="s">
        <v>2282</v>
      </c>
      <c r="F143">
        <v>2022</v>
      </c>
      <c r="H143">
        <v>700</v>
      </c>
      <c r="I143">
        <v>162</v>
      </c>
    </row>
    <row r="144" spans="1:9" x14ac:dyDescent="0.3">
      <c r="A144" t="s">
        <v>958</v>
      </c>
      <c r="B144" t="s">
        <v>57</v>
      </c>
      <c r="C144" t="s">
        <v>19</v>
      </c>
      <c r="D144" t="s">
        <v>2277</v>
      </c>
      <c r="E144" t="s">
        <v>2287</v>
      </c>
      <c r="F144">
        <v>2022</v>
      </c>
      <c r="G144" t="s">
        <v>2283</v>
      </c>
      <c r="H144">
        <v>500</v>
      </c>
      <c r="I144">
        <v>117</v>
      </c>
    </row>
    <row r="145" spans="1:9" x14ac:dyDescent="0.3">
      <c r="A145" t="s">
        <v>105</v>
      </c>
      <c r="B145" t="s">
        <v>98</v>
      </c>
      <c r="C145" t="s">
        <v>2276</v>
      </c>
      <c r="D145" t="s">
        <v>2281</v>
      </c>
      <c r="E145" t="s">
        <v>2287</v>
      </c>
      <c r="F145">
        <v>2024</v>
      </c>
      <c r="G145" t="s">
        <v>2285</v>
      </c>
      <c r="H145">
        <v>1200</v>
      </c>
      <c r="I145">
        <v>49</v>
      </c>
    </row>
    <row r="146" spans="1:9" x14ac:dyDescent="0.3">
      <c r="A146" t="s">
        <v>1375</v>
      </c>
      <c r="B146" t="s">
        <v>57</v>
      </c>
      <c r="C146" t="s">
        <v>2280</v>
      </c>
      <c r="D146" t="s">
        <v>2284</v>
      </c>
      <c r="E146" t="s">
        <v>2287</v>
      </c>
      <c r="F146">
        <v>2021</v>
      </c>
      <c r="G146" t="s">
        <v>2289</v>
      </c>
      <c r="H146">
        <v>500</v>
      </c>
      <c r="I146">
        <v>145</v>
      </c>
    </row>
    <row r="147" spans="1:9" x14ac:dyDescent="0.3">
      <c r="A147" t="s">
        <v>384</v>
      </c>
      <c r="B147" t="s">
        <v>73</v>
      </c>
      <c r="C147" t="s">
        <v>2288</v>
      </c>
      <c r="D147" t="s">
        <v>2277</v>
      </c>
      <c r="E147" t="s">
        <v>2282</v>
      </c>
      <c r="F147">
        <v>2022</v>
      </c>
      <c r="G147" t="s">
        <v>2283</v>
      </c>
      <c r="H147">
        <v>1500</v>
      </c>
      <c r="I147">
        <v>110</v>
      </c>
    </row>
    <row r="148" spans="1:9" x14ac:dyDescent="0.3">
      <c r="A148" t="s">
        <v>111</v>
      </c>
      <c r="B148" t="s">
        <v>28</v>
      </c>
      <c r="C148" t="s">
        <v>2276</v>
      </c>
      <c r="D148" t="s">
        <v>29</v>
      </c>
      <c r="E148" t="s">
        <v>2278</v>
      </c>
      <c r="F148">
        <v>2021</v>
      </c>
      <c r="G148" t="s">
        <v>2285</v>
      </c>
      <c r="H148">
        <v>900</v>
      </c>
      <c r="I148">
        <v>36</v>
      </c>
    </row>
    <row r="149" spans="1:9" x14ac:dyDescent="0.3">
      <c r="A149" t="s">
        <v>381</v>
      </c>
      <c r="B149" t="s">
        <v>28</v>
      </c>
      <c r="C149" t="s">
        <v>19</v>
      </c>
      <c r="D149" t="s">
        <v>2284</v>
      </c>
      <c r="E149" t="s">
        <v>2278</v>
      </c>
      <c r="F149">
        <v>2021</v>
      </c>
      <c r="H149">
        <v>1500</v>
      </c>
      <c r="I149">
        <v>219</v>
      </c>
    </row>
    <row r="150" spans="1:9" x14ac:dyDescent="0.3">
      <c r="A150" t="s">
        <v>816</v>
      </c>
      <c r="B150" t="s">
        <v>98</v>
      </c>
      <c r="C150" t="s">
        <v>2280</v>
      </c>
      <c r="D150" t="s">
        <v>2284</v>
      </c>
      <c r="E150" t="s">
        <v>2278</v>
      </c>
      <c r="F150">
        <v>2021</v>
      </c>
      <c r="G150" t="s">
        <v>2283</v>
      </c>
      <c r="H150">
        <v>1200</v>
      </c>
      <c r="I150">
        <v>49</v>
      </c>
    </row>
    <row r="151" spans="1:9" x14ac:dyDescent="0.3">
      <c r="A151" t="s">
        <v>1215</v>
      </c>
      <c r="B151" t="s">
        <v>64</v>
      </c>
      <c r="C151" t="s">
        <v>2276</v>
      </c>
      <c r="D151" t="s">
        <v>2286</v>
      </c>
      <c r="E151" t="s">
        <v>2282</v>
      </c>
      <c r="F151">
        <v>2021</v>
      </c>
      <c r="G151" t="s">
        <v>2279</v>
      </c>
      <c r="H151">
        <v>700</v>
      </c>
      <c r="I151">
        <v>55</v>
      </c>
    </row>
    <row r="152" spans="1:9" x14ac:dyDescent="0.3">
      <c r="A152" t="s">
        <v>550</v>
      </c>
      <c r="B152" t="s">
        <v>28</v>
      </c>
      <c r="C152" t="s">
        <v>2280</v>
      </c>
      <c r="D152" t="s">
        <v>29</v>
      </c>
      <c r="E152" t="s">
        <v>2278</v>
      </c>
      <c r="F152">
        <v>2021</v>
      </c>
      <c r="G152" t="s">
        <v>2285</v>
      </c>
      <c r="H152">
        <v>700</v>
      </c>
      <c r="I152">
        <v>215</v>
      </c>
    </row>
    <row r="153" spans="1:9" x14ac:dyDescent="0.3">
      <c r="A153" t="s">
        <v>468</v>
      </c>
      <c r="B153" t="s">
        <v>98</v>
      </c>
      <c r="C153" t="s">
        <v>37</v>
      </c>
      <c r="D153" t="s">
        <v>29</v>
      </c>
      <c r="E153" t="s">
        <v>2278</v>
      </c>
      <c r="F153">
        <v>2021</v>
      </c>
      <c r="H153">
        <v>1200</v>
      </c>
      <c r="I153">
        <v>253</v>
      </c>
    </row>
    <row r="154" spans="1:9" x14ac:dyDescent="0.3">
      <c r="A154" t="s">
        <v>263</v>
      </c>
      <c r="B154" t="s">
        <v>73</v>
      </c>
      <c r="C154" t="s">
        <v>2280</v>
      </c>
      <c r="D154" t="s">
        <v>2277</v>
      </c>
      <c r="E154" t="s">
        <v>2278</v>
      </c>
      <c r="F154">
        <v>2021</v>
      </c>
      <c r="G154" t="s">
        <v>2285</v>
      </c>
      <c r="H154">
        <v>1500</v>
      </c>
      <c r="I154">
        <v>27</v>
      </c>
    </row>
    <row r="155" spans="1:9" x14ac:dyDescent="0.3">
      <c r="A155" t="s">
        <v>1532</v>
      </c>
      <c r="B155" t="s">
        <v>73</v>
      </c>
      <c r="C155" t="s">
        <v>19</v>
      </c>
      <c r="D155" t="s">
        <v>2281</v>
      </c>
      <c r="E155" t="s">
        <v>2287</v>
      </c>
      <c r="F155">
        <v>2021</v>
      </c>
      <c r="G155" t="s">
        <v>2283</v>
      </c>
      <c r="H155">
        <v>1500</v>
      </c>
      <c r="I155">
        <v>195</v>
      </c>
    </row>
    <row r="156" spans="1:9" x14ac:dyDescent="0.3">
      <c r="A156" t="s">
        <v>1110</v>
      </c>
      <c r="B156" t="s">
        <v>28</v>
      </c>
      <c r="C156" t="s">
        <v>19</v>
      </c>
      <c r="D156" t="s">
        <v>2286</v>
      </c>
      <c r="E156" t="s">
        <v>2287</v>
      </c>
      <c r="F156">
        <v>2021</v>
      </c>
      <c r="G156" t="s">
        <v>2283</v>
      </c>
      <c r="H156">
        <v>900</v>
      </c>
      <c r="I156">
        <v>274</v>
      </c>
    </row>
    <row r="157" spans="1:9" x14ac:dyDescent="0.3">
      <c r="A157" t="s">
        <v>124</v>
      </c>
      <c r="B157" t="s">
        <v>64</v>
      </c>
      <c r="C157" t="s">
        <v>19</v>
      </c>
      <c r="D157" t="s">
        <v>2281</v>
      </c>
      <c r="E157" t="s">
        <v>2282</v>
      </c>
      <c r="F157">
        <v>2022</v>
      </c>
      <c r="G157" t="s">
        <v>2285</v>
      </c>
      <c r="I157">
        <v>63</v>
      </c>
    </row>
    <row r="158" spans="1:9" x14ac:dyDescent="0.3">
      <c r="A158" t="s">
        <v>376</v>
      </c>
      <c r="B158" t="s">
        <v>98</v>
      </c>
      <c r="C158" t="s">
        <v>37</v>
      </c>
      <c r="D158" t="s">
        <v>2277</v>
      </c>
      <c r="E158" t="s">
        <v>2278</v>
      </c>
      <c r="F158">
        <v>2021</v>
      </c>
      <c r="G158" t="s">
        <v>2283</v>
      </c>
      <c r="H158">
        <v>1500</v>
      </c>
      <c r="I158">
        <v>23</v>
      </c>
    </row>
    <row r="159" spans="1:9" x14ac:dyDescent="0.3">
      <c r="A159" t="s">
        <v>1782</v>
      </c>
      <c r="B159" t="s">
        <v>57</v>
      </c>
      <c r="C159" t="s">
        <v>2288</v>
      </c>
      <c r="D159" t="s">
        <v>2281</v>
      </c>
      <c r="E159" t="s">
        <v>2282</v>
      </c>
      <c r="F159">
        <v>2023</v>
      </c>
      <c r="G159" t="s">
        <v>2285</v>
      </c>
      <c r="H159">
        <v>1500</v>
      </c>
      <c r="I159">
        <v>279</v>
      </c>
    </row>
    <row r="160" spans="1:9" x14ac:dyDescent="0.3">
      <c r="A160" t="s">
        <v>81</v>
      </c>
      <c r="B160" t="s">
        <v>64</v>
      </c>
      <c r="C160" t="s">
        <v>2276</v>
      </c>
      <c r="D160" t="s">
        <v>2277</v>
      </c>
      <c r="E160" t="s">
        <v>2287</v>
      </c>
      <c r="F160">
        <v>2024</v>
      </c>
      <c r="G160" t="s">
        <v>2285</v>
      </c>
      <c r="H160">
        <v>1200</v>
      </c>
      <c r="I160">
        <v>22</v>
      </c>
    </row>
    <row r="161" spans="1:9" x14ac:dyDescent="0.3">
      <c r="A161" t="s">
        <v>410</v>
      </c>
      <c r="B161" t="s">
        <v>64</v>
      </c>
      <c r="C161" t="s">
        <v>19</v>
      </c>
      <c r="D161" t="s">
        <v>2284</v>
      </c>
      <c r="E161" t="s">
        <v>2278</v>
      </c>
      <c r="F161">
        <v>2022</v>
      </c>
      <c r="H161">
        <v>500</v>
      </c>
      <c r="I161">
        <v>150</v>
      </c>
    </row>
    <row r="162" spans="1:9" x14ac:dyDescent="0.3">
      <c r="A162" t="s">
        <v>1252</v>
      </c>
      <c r="B162" t="s">
        <v>64</v>
      </c>
      <c r="C162" t="s">
        <v>19</v>
      </c>
      <c r="D162" t="s">
        <v>2284</v>
      </c>
      <c r="E162" t="s">
        <v>2287</v>
      </c>
      <c r="F162">
        <v>2022</v>
      </c>
      <c r="G162" t="s">
        <v>2283</v>
      </c>
      <c r="H162">
        <v>700</v>
      </c>
      <c r="I162">
        <v>94</v>
      </c>
    </row>
    <row r="163" spans="1:9" x14ac:dyDescent="0.3">
      <c r="A163" t="s">
        <v>1651</v>
      </c>
      <c r="B163" t="s">
        <v>57</v>
      </c>
      <c r="C163" t="s">
        <v>19</v>
      </c>
      <c r="D163" t="s">
        <v>2277</v>
      </c>
      <c r="E163" t="s">
        <v>2282</v>
      </c>
      <c r="F163">
        <v>2023</v>
      </c>
      <c r="G163" t="s">
        <v>2279</v>
      </c>
      <c r="H163">
        <v>500</v>
      </c>
      <c r="I163">
        <v>139</v>
      </c>
    </row>
    <row r="164" spans="1:9" x14ac:dyDescent="0.3">
      <c r="A164" t="s">
        <v>425</v>
      </c>
      <c r="B164" t="s">
        <v>73</v>
      </c>
      <c r="C164" t="s">
        <v>2288</v>
      </c>
      <c r="D164" t="s">
        <v>2284</v>
      </c>
      <c r="E164" t="s">
        <v>2282</v>
      </c>
      <c r="F164">
        <v>2023</v>
      </c>
      <c r="G164" t="s">
        <v>2285</v>
      </c>
      <c r="H164">
        <v>1500</v>
      </c>
      <c r="I164">
        <v>96</v>
      </c>
    </row>
    <row r="165" spans="1:9" x14ac:dyDescent="0.3">
      <c r="A165" t="s">
        <v>643</v>
      </c>
      <c r="B165" t="s">
        <v>98</v>
      </c>
      <c r="C165" t="s">
        <v>2276</v>
      </c>
      <c r="D165" t="s">
        <v>2286</v>
      </c>
      <c r="E165" t="s">
        <v>2282</v>
      </c>
      <c r="F165">
        <v>2022</v>
      </c>
      <c r="G165" t="s">
        <v>2289</v>
      </c>
      <c r="H165">
        <v>1200</v>
      </c>
      <c r="I165">
        <v>124</v>
      </c>
    </row>
    <row r="166" spans="1:9" x14ac:dyDescent="0.3">
      <c r="A166" t="s">
        <v>42</v>
      </c>
      <c r="B166" t="s">
        <v>73</v>
      </c>
      <c r="C166" t="s">
        <v>37</v>
      </c>
      <c r="D166" t="s">
        <v>2281</v>
      </c>
      <c r="E166" t="s">
        <v>2278</v>
      </c>
      <c r="F166">
        <v>2021</v>
      </c>
      <c r="G166" t="s">
        <v>2279</v>
      </c>
      <c r="H166">
        <v>900</v>
      </c>
      <c r="I166">
        <v>172</v>
      </c>
    </row>
    <row r="167" spans="1:9" x14ac:dyDescent="0.3">
      <c r="A167" t="s">
        <v>72</v>
      </c>
      <c r="B167" t="s">
        <v>73</v>
      </c>
      <c r="C167" t="s">
        <v>2276</v>
      </c>
      <c r="D167" t="s">
        <v>2277</v>
      </c>
      <c r="E167" t="s">
        <v>2287</v>
      </c>
      <c r="F167">
        <v>2023</v>
      </c>
      <c r="G167" t="s">
        <v>2283</v>
      </c>
      <c r="I167">
        <v>168</v>
      </c>
    </row>
    <row r="168" spans="1:9" x14ac:dyDescent="0.3">
      <c r="A168" t="s">
        <v>1108</v>
      </c>
      <c r="B168" t="s">
        <v>28</v>
      </c>
      <c r="C168" t="s">
        <v>2288</v>
      </c>
      <c r="D168" t="s">
        <v>2281</v>
      </c>
      <c r="E168" t="s">
        <v>2287</v>
      </c>
      <c r="F168">
        <v>2024</v>
      </c>
      <c r="G168" t="s">
        <v>2289</v>
      </c>
      <c r="H168">
        <v>700</v>
      </c>
      <c r="I168">
        <v>42</v>
      </c>
    </row>
    <row r="169" spans="1:9" x14ac:dyDescent="0.3">
      <c r="A169" t="s">
        <v>428</v>
      </c>
      <c r="B169" t="s">
        <v>73</v>
      </c>
      <c r="C169" t="s">
        <v>37</v>
      </c>
      <c r="D169" t="s">
        <v>2286</v>
      </c>
      <c r="E169" t="s">
        <v>2278</v>
      </c>
      <c r="F169">
        <v>2021</v>
      </c>
      <c r="G169" t="s">
        <v>2289</v>
      </c>
      <c r="H169">
        <v>500</v>
      </c>
      <c r="I169">
        <v>136</v>
      </c>
    </row>
    <row r="170" spans="1:9" x14ac:dyDescent="0.3">
      <c r="A170" t="s">
        <v>546</v>
      </c>
      <c r="B170" t="s">
        <v>73</v>
      </c>
      <c r="C170" t="s">
        <v>2288</v>
      </c>
      <c r="D170" t="s">
        <v>2277</v>
      </c>
      <c r="E170" t="s">
        <v>2282</v>
      </c>
      <c r="F170">
        <v>2021</v>
      </c>
      <c r="G170" t="s">
        <v>2289</v>
      </c>
      <c r="H170">
        <v>900</v>
      </c>
      <c r="I170">
        <v>209</v>
      </c>
    </row>
    <row r="171" spans="1:9" x14ac:dyDescent="0.3">
      <c r="A171" t="s">
        <v>237</v>
      </c>
      <c r="B171" t="s">
        <v>28</v>
      </c>
      <c r="C171" t="s">
        <v>19</v>
      </c>
      <c r="D171" t="s">
        <v>2281</v>
      </c>
      <c r="E171" t="s">
        <v>2282</v>
      </c>
      <c r="F171">
        <v>2023</v>
      </c>
      <c r="G171" t="s">
        <v>2279</v>
      </c>
      <c r="H171">
        <v>900</v>
      </c>
      <c r="I171">
        <v>153</v>
      </c>
    </row>
    <row r="172" spans="1:9" x14ac:dyDescent="0.3">
      <c r="A172" t="s">
        <v>348</v>
      </c>
      <c r="B172" t="s">
        <v>28</v>
      </c>
      <c r="C172" t="s">
        <v>37</v>
      </c>
      <c r="D172" t="s">
        <v>2286</v>
      </c>
      <c r="E172" t="s">
        <v>2282</v>
      </c>
      <c r="F172">
        <v>2024</v>
      </c>
      <c r="H172">
        <v>900</v>
      </c>
      <c r="I172">
        <v>249</v>
      </c>
    </row>
    <row r="173" spans="1:9" x14ac:dyDescent="0.3">
      <c r="A173" t="s">
        <v>712</v>
      </c>
      <c r="B173" t="s">
        <v>98</v>
      </c>
      <c r="C173" t="s">
        <v>2288</v>
      </c>
      <c r="D173" t="s">
        <v>2281</v>
      </c>
      <c r="E173" t="s">
        <v>2287</v>
      </c>
      <c r="F173">
        <v>2021</v>
      </c>
      <c r="H173">
        <v>700</v>
      </c>
      <c r="I173">
        <v>98</v>
      </c>
    </row>
    <row r="174" spans="1:9" x14ac:dyDescent="0.3">
      <c r="A174" t="s">
        <v>924</v>
      </c>
      <c r="B174" t="s">
        <v>64</v>
      </c>
      <c r="C174" t="s">
        <v>2276</v>
      </c>
      <c r="D174" t="s">
        <v>29</v>
      </c>
      <c r="E174" t="s">
        <v>2278</v>
      </c>
      <c r="F174">
        <v>2022</v>
      </c>
      <c r="G174" t="s">
        <v>2285</v>
      </c>
      <c r="H174">
        <v>1500</v>
      </c>
      <c r="I174">
        <v>221</v>
      </c>
    </row>
    <row r="175" spans="1:9" x14ac:dyDescent="0.3">
      <c r="A175" t="s">
        <v>996</v>
      </c>
      <c r="B175" t="s">
        <v>98</v>
      </c>
      <c r="C175" t="s">
        <v>2276</v>
      </c>
      <c r="D175" t="s">
        <v>2277</v>
      </c>
      <c r="E175" t="s">
        <v>2287</v>
      </c>
      <c r="F175">
        <v>2023</v>
      </c>
      <c r="H175">
        <v>1500</v>
      </c>
      <c r="I175">
        <v>49</v>
      </c>
    </row>
    <row r="176" spans="1:9" x14ac:dyDescent="0.3">
      <c r="A176" t="s">
        <v>690</v>
      </c>
      <c r="B176" t="s">
        <v>73</v>
      </c>
      <c r="C176" t="s">
        <v>37</v>
      </c>
      <c r="D176" t="s">
        <v>2286</v>
      </c>
      <c r="E176" t="s">
        <v>2287</v>
      </c>
      <c r="F176">
        <v>2024</v>
      </c>
      <c r="G176" t="s">
        <v>2285</v>
      </c>
      <c r="I176">
        <v>280</v>
      </c>
    </row>
    <row r="177" spans="1:9" x14ac:dyDescent="0.3">
      <c r="A177" t="s">
        <v>500</v>
      </c>
      <c r="B177" t="s">
        <v>57</v>
      </c>
      <c r="C177" t="s">
        <v>37</v>
      </c>
      <c r="D177" t="s">
        <v>2277</v>
      </c>
      <c r="E177" t="s">
        <v>2278</v>
      </c>
      <c r="F177">
        <v>2023</v>
      </c>
      <c r="G177" t="s">
        <v>2283</v>
      </c>
      <c r="H177">
        <v>1200</v>
      </c>
      <c r="I177">
        <v>109</v>
      </c>
    </row>
    <row r="178" spans="1:9" x14ac:dyDescent="0.3">
      <c r="A178" t="s">
        <v>620</v>
      </c>
      <c r="B178" t="s">
        <v>57</v>
      </c>
      <c r="C178" t="s">
        <v>37</v>
      </c>
      <c r="D178" t="s">
        <v>2281</v>
      </c>
      <c r="E178" t="s">
        <v>2282</v>
      </c>
      <c r="F178">
        <v>2023</v>
      </c>
      <c r="G178" t="s">
        <v>2289</v>
      </c>
      <c r="H178">
        <v>900</v>
      </c>
      <c r="I178">
        <v>130</v>
      </c>
    </row>
    <row r="179" spans="1:9" x14ac:dyDescent="0.3">
      <c r="A179" t="s">
        <v>244</v>
      </c>
      <c r="B179" t="s">
        <v>73</v>
      </c>
      <c r="C179" t="s">
        <v>2280</v>
      </c>
      <c r="D179" t="s">
        <v>29</v>
      </c>
      <c r="E179" t="s">
        <v>2282</v>
      </c>
      <c r="F179">
        <v>2021</v>
      </c>
      <c r="G179" t="s">
        <v>2279</v>
      </c>
      <c r="H179">
        <v>900</v>
      </c>
      <c r="I179">
        <v>233</v>
      </c>
    </row>
    <row r="180" spans="1:9" x14ac:dyDescent="0.3">
      <c r="A180" t="s">
        <v>118</v>
      </c>
      <c r="B180" t="s">
        <v>98</v>
      </c>
      <c r="C180" t="s">
        <v>2280</v>
      </c>
      <c r="D180" t="s">
        <v>29</v>
      </c>
      <c r="E180" t="s">
        <v>2282</v>
      </c>
      <c r="F180">
        <v>2023</v>
      </c>
      <c r="G180" t="s">
        <v>2285</v>
      </c>
      <c r="H180">
        <v>700</v>
      </c>
      <c r="I180">
        <v>120</v>
      </c>
    </row>
    <row r="181" spans="1:9" x14ac:dyDescent="0.3">
      <c r="A181" t="s">
        <v>1549</v>
      </c>
      <c r="B181" t="s">
        <v>64</v>
      </c>
      <c r="C181" t="s">
        <v>2288</v>
      </c>
      <c r="D181" t="s">
        <v>2286</v>
      </c>
      <c r="E181" t="s">
        <v>2282</v>
      </c>
      <c r="F181">
        <v>2021</v>
      </c>
      <c r="G181" t="s">
        <v>2289</v>
      </c>
      <c r="H181">
        <v>1200</v>
      </c>
      <c r="I181">
        <v>100</v>
      </c>
    </row>
    <row r="182" spans="1:9" x14ac:dyDescent="0.3">
      <c r="A182" t="s">
        <v>85</v>
      </c>
      <c r="B182" t="s">
        <v>98</v>
      </c>
      <c r="C182" t="s">
        <v>19</v>
      </c>
      <c r="D182" t="s">
        <v>2284</v>
      </c>
      <c r="E182" t="s">
        <v>2278</v>
      </c>
      <c r="F182">
        <v>2024</v>
      </c>
      <c r="G182" t="s">
        <v>2285</v>
      </c>
      <c r="I182">
        <v>298</v>
      </c>
    </row>
    <row r="183" spans="1:9" x14ac:dyDescent="0.3">
      <c r="A183" t="s">
        <v>903</v>
      </c>
      <c r="B183" t="s">
        <v>57</v>
      </c>
      <c r="C183" t="s">
        <v>2280</v>
      </c>
      <c r="D183" t="s">
        <v>2284</v>
      </c>
      <c r="E183" t="s">
        <v>2287</v>
      </c>
      <c r="F183">
        <v>2024</v>
      </c>
      <c r="G183" t="s">
        <v>2285</v>
      </c>
      <c r="H183">
        <v>1500</v>
      </c>
      <c r="I183">
        <v>56</v>
      </c>
    </row>
    <row r="184" spans="1:9" x14ac:dyDescent="0.3">
      <c r="A184" t="s">
        <v>899</v>
      </c>
      <c r="B184" t="s">
        <v>73</v>
      </c>
      <c r="C184" t="s">
        <v>19</v>
      </c>
      <c r="D184" t="s">
        <v>2284</v>
      </c>
      <c r="E184" t="s">
        <v>2278</v>
      </c>
      <c r="F184">
        <v>2023</v>
      </c>
      <c r="G184" t="s">
        <v>2285</v>
      </c>
      <c r="H184">
        <v>500</v>
      </c>
      <c r="I184">
        <v>168</v>
      </c>
    </row>
    <row r="185" spans="1:9" x14ac:dyDescent="0.3">
      <c r="A185" t="s">
        <v>765</v>
      </c>
      <c r="B185" t="s">
        <v>73</v>
      </c>
      <c r="C185" t="s">
        <v>2288</v>
      </c>
      <c r="D185" t="s">
        <v>29</v>
      </c>
      <c r="E185" t="s">
        <v>2282</v>
      </c>
      <c r="F185">
        <v>2023</v>
      </c>
      <c r="G185" t="s">
        <v>2289</v>
      </c>
      <c r="H185">
        <v>500</v>
      </c>
      <c r="I185">
        <v>62</v>
      </c>
    </row>
    <row r="186" spans="1:9" x14ac:dyDescent="0.3">
      <c r="A186" t="s">
        <v>762</v>
      </c>
      <c r="B186" t="s">
        <v>64</v>
      </c>
      <c r="C186" t="s">
        <v>2280</v>
      </c>
      <c r="D186" t="s">
        <v>2286</v>
      </c>
      <c r="E186" t="s">
        <v>2282</v>
      </c>
      <c r="F186">
        <v>2022</v>
      </c>
      <c r="G186" t="s">
        <v>2283</v>
      </c>
      <c r="H186">
        <v>1500</v>
      </c>
      <c r="I186">
        <v>82</v>
      </c>
    </row>
    <row r="187" spans="1:9" x14ac:dyDescent="0.3">
      <c r="A187" t="s">
        <v>560</v>
      </c>
      <c r="B187" t="s">
        <v>73</v>
      </c>
      <c r="C187" t="s">
        <v>37</v>
      </c>
      <c r="D187" t="s">
        <v>2286</v>
      </c>
      <c r="E187" t="s">
        <v>2282</v>
      </c>
      <c r="F187">
        <v>2021</v>
      </c>
      <c r="G187" t="s">
        <v>2283</v>
      </c>
      <c r="H187">
        <v>500</v>
      </c>
      <c r="I187">
        <v>126</v>
      </c>
    </row>
    <row r="188" spans="1:9" x14ac:dyDescent="0.3">
      <c r="A188" t="s">
        <v>585</v>
      </c>
      <c r="B188" t="s">
        <v>28</v>
      </c>
      <c r="C188" t="s">
        <v>2288</v>
      </c>
      <c r="D188" t="s">
        <v>2281</v>
      </c>
      <c r="E188" t="s">
        <v>2278</v>
      </c>
      <c r="F188">
        <v>2021</v>
      </c>
      <c r="G188" t="s">
        <v>2283</v>
      </c>
      <c r="H188">
        <v>700</v>
      </c>
      <c r="I188">
        <v>283</v>
      </c>
    </row>
    <row r="189" spans="1:9" x14ac:dyDescent="0.3">
      <c r="A189" t="s">
        <v>918</v>
      </c>
      <c r="B189" t="s">
        <v>64</v>
      </c>
      <c r="C189" t="s">
        <v>2288</v>
      </c>
      <c r="D189" t="s">
        <v>2284</v>
      </c>
      <c r="E189" t="s">
        <v>2287</v>
      </c>
      <c r="F189">
        <v>2023</v>
      </c>
      <c r="G189" t="s">
        <v>2285</v>
      </c>
      <c r="I189">
        <v>26</v>
      </c>
    </row>
    <row r="190" spans="1:9" x14ac:dyDescent="0.3">
      <c r="A190" t="s">
        <v>1331</v>
      </c>
      <c r="B190" t="s">
        <v>57</v>
      </c>
      <c r="C190" t="s">
        <v>2276</v>
      </c>
      <c r="D190" t="s">
        <v>2281</v>
      </c>
      <c r="E190" t="s">
        <v>2282</v>
      </c>
      <c r="F190">
        <v>2021</v>
      </c>
      <c r="G190" t="s">
        <v>2285</v>
      </c>
      <c r="H190">
        <v>500</v>
      </c>
      <c r="I190">
        <v>61</v>
      </c>
    </row>
    <row r="191" spans="1:9" x14ac:dyDescent="0.3">
      <c r="A191" t="s">
        <v>1151</v>
      </c>
      <c r="B191" t="s">
        <v>64</v>
      </c>
      <c r="C191" t="s">
        <v>2280</v>
      </c>
      <c r="D191" t="s">
        <v>2281</v>
      </c>
      <c r="E191" t="s">
        <v>2278</v>
      </c>
      <c r="F191">
        <v>2021</v>
      </c>
      <c r="G191" t="s">
        <v>2289</v>
      </c>
      <c r="H191">
        <v>700</v>
      </c>
      <c r="I191">
        <v>196</v>
      </c>
    </row>
    <row r="192" spans="1:9" x14ac:dyDescent="0.3">
      <c r="A192" t="s">
        <v>373</v>
      </c>
      <c r="B192" t="s">
        <v>73</v>
      </c>
      <c r="C192" t="s">
        <v>19</v>
      </c>
      <c r="D192" t="s">
        <v>2286</v>
      </c>
      <c r="E192" t="s">
        <v>2282</v>
      </c>
      <c r="F192">
        <v>2022</v>
      </c>
      <c r="H192">
        <v>700</v>
      </c>
      <c r="I192">
        <v>29</v>
      </c>
    </row>
    <row r="193" spans="1:9" x14ac:dyDescent="0.3">
      <c r="A193" t="s">
        <v>800</v>
      </c>
      <c r="B193" t="s">
        <v>64</v>
      </c>
      <c r="C193" t="s">
        <v>37</v>
      </c>
      <c r="D193" t="s">
        <v>29</v>
      </c>
      <c r="E193" t="s">
        <v>2282</v>
      </c>
      <c r="F193">
        <v>2023</v>
      </c>
      <c r="G193" t="s">
        <v>2279</v>
      </c>
      <c r="H193">
        <v>1200</v>
      </c>
      <c r="I193">
        <v>35</v>
      </c>
    </row>
    <row r="194" spans="1:9" x14ac:dyDescent="0.3">
      <c r="A194" t="s">
        <v>229</v>
      </c>
      <c r="B194" t="s">
        <v>73</v>
      </c>
      <c r="C194" t="s">
        <v>2288</v>
      </c>
      <c r="D194" t="s">
        <v>2286</v>
      </c>
      <c r="E194" t="s">
        <v>2287</v>
      </c>
      <c r="F194">
        <v>2023</v>
      </c>
      <c r="H194">
        <v>500</v>
      </c>
      <c r="I194">
        <v>171</v>
      </c>
    </row>
    <row r="195" spans="1:9" x14ac:dyDescent="0.3">
      <c r="A195" t="s">
        <v>389</v>
      </c>
      <c r="B195" t="s">
        <v>28</v>
      </c>
      <c r="C195" t="s">
        <v>2276</v>
      </c>
      <c r="D195" t="s">
        <v>2281</v>
      </c>
      <c r="E195" t="s">
        <v>2278</v>
      </c>
      <c r="F195">
        <v>2024</v>
      </c>
      <c r="G195" t="s">
        <v>2279</v>
      </c>
      <c r="I195">
        <v>182</v>
      </c>
    </row>
    <row r="196" spans="1:9" x14ac:dyDescent="0.3">
      <c r="A196" t="s">
        <v>577</v>
      </c>
      <c r="B196" t="s">
        <v>28</v>
      </c>
      <c r="C196" t="s">
        <v>2280</v>
      </c>
      <c r="D196" t="s">
        <v>2277</v>
      </c>
      <c r="E196" t="s">
        <v>2282</v>
      </c>
      <c r="F196">
        <v>2023</v>
      </c>
      <c r="G196" t="s">
        <v>2279</v>
      </c>
      <c r="H196">
        <v>900</v>
      </c>
      <c r="I196">
        <v>232</v>
      </c>
    </row>
    <row r="197" spans="1:9" x14ac:dyDescent="0.3">
      <c r="A197" t="s">
        <v>223</v>
      </c>
      <c r="B197" t="s">
        <v>64</v>
      </c>
      <c r="C197" t="s">
        <v>2288</v>
      </c>
      <c r="D197" t="s">
        <v>29</v>
      </c>
      <c r="E197" t="s">
        <v>2282</v>
      </c>
      <c r="F197">
        <v>2023</v>
      </c>
      <c r="G197" t="s">
        <v>2285</v>
      </c>
      <c r="I197">
        <v>289</v>
      </c>
    </row>
    <row r="198" spans="1:9" x14ac:dyDescent="0.3">
      <c r="A198" t="s">
        <v>1561</v>
      </c>
      <c r="B198" t="s">
        <v>73</v>
      </c>
      <c r="C198" t="s">
        <v>2276</v>
      </c>
      <c r="D198" t="s">
        <v>2281</v>
      </c>
      <c r="E198" t="s">
        <v>2282</v>
      </c>
      <c r="F198">
        <v>2022</v>
      </c>
      <c r="G198" t="s">
        <v>2279</v>
      </c>
      <c r="H198">
        <v>900</v>
      </c>
      <c r="I198">
        <v>77</v>
      </c>
    </row>
    <row r="199" spans="1:9" x14ac:dyDescent="0.3">
      <c r="A199" t="s">
        <v>722</v>
      </c>
      <c r="B199" t="s">
        <v>73</v>
      </c>
      <c r="C199" t="s">
        <v>2280</v>
      </c>
      <c r="D199" t="s">
        <v>2281</v>
      </c>
      <c r="E199" t="s">
        <v>2278</v>
      </c>
      <c r="F199">
        <v>2023</v>
      </c>
      <c r="G199" t="s">
        <v>2285</v>
      </c>
      <c r="H199">
        <v>700</v>
      </c>
      <c r="I199">
        <v>49</v>
      </c>
    </row>
    <row r="200" spans="1:9" x14ac:dyDescent="0.3">
      <c r="A200" t="s">
        <v>1327</v>
      </c>
      <c r="B200" t="s">
        <v>73</v>
      </c>
      <c r="C200" t="s">
        <v>19</v>
      </c>
      <c r="D200" t="s">
        <v>2286</v>
      </c>
      <c r="E200" t="s">
        <v>2287</v>
      </c>
      <c r="F200">
        <v>2021</v>
      </c>
      <c r="H200">
        <v>1200</v>
      </c>
      <c r="I200">
        <v>193</v>
      </c>
    </row>
    <row r="201" spans="1:9" x14ac:dyDescent="0.3">
      <c r="A201" t="s">
        <v>964</v>
      </c>
      <c r="B201" t="s">
        <v>73</v>
      </c>
      <c r="C201" t="s">
        <v>19</v>
      </c>
      <c r="D201" t="s">
        <v>2281</v>
      </c>
      <c r="E201" t="s">
        <v>2287</v>
      </c>
      <c r="F201">
        <v>2021</v>
      </c>
      <c r="G201" t="s">
        <v>2279</v>
      </c>
      <c r="H201">
        <v>500</v>
      </c>
      <c r="I201">
        <v>165</v>
      </c>
    </row>
    <row r="202" spans="1:9" x14ac:dyDescent="0.3">
      <c r="A202" t="s">
        <v>476</v>
      </c>
      <c r="B202" t="s">
        <v>28</v>
      </c>
      <c r="C202" t="s">
        <v>2276</v>
      </c>
      <c r="D202" t="s">
        <v>29</v>
      </c>
      <c r="E202" t="s">
        <v>2278</v>
      </c>
      <c r="F202">
        <v>2023</v>
      </c>
      <c r="H202">
        <v>1200</v>
      </c>
      <c r="I202">
        <v>107</v>
      </c>
    </row>
    <row r="203" spans="1:9" x14ac:dyDescent="0.3">
      <c r="A203" t="s">
        <v>758</v>
      </c>
      <c r="B203" t="s">
        <v>73</v>
      </c>
      <c r="C203" t="s">
        <v>2288</v>
      </c>
      <c r="D203" t="s">
        <v>2286</v>
      </c>
      <c r="E203" t="s">
        <v>2287</v>
      </c>
      <c r="F203">
        <v>2021</v>
      </c>
      <c r="G203" t="s">
        <v>2285</v>
      </c>
      <c r="H203">
        <v>1500</v>
      </c>
      <c r="I203">
        <v>110</v>
      </c>
    </row>
    <row r="204" spans="1:9" x14ac:dyDescent="0.3">
      <c r="A204" t="s">
        <v>121</v>
      </c>
      <c r="B204" t="s">
        <v>73</v>
      </c>
      <c r="C204" t="s">
        <v>19</v>
      </c>
      <c r="D204" t="s">
        <v>2284</v>
      </c>
      <c r="E204" t="s">
        <v>2282</v>
      </c>
      <c r="F204">
        <v>2021</v>
      </c>
      <c r="G204" t="s">
        <v>2289</v>
      </c>
      <c r="H204">
        <v>700</v>
      </c>
      <c r="I204">
        <v>152</v>
      </c>
    </row>
    <row r="205" spans="1:9" x14ac:dyDescent="0.3">
      <c r="A205" t="s">
        <v>207</v>
      </c>
      <c r="B205" t="s">
        <v>98</v>
      </c>
      <c r="C205" t="s">
        <v>19</v>
      </c>
      <c r="D205" t="s">
        <v>29</v>
      </c>
      <c r="E205" t="s">
        <v>2278</v>
      </c>
      <c r="F205">
        <v>2021</v>
      </c>
      <c r="G205" t="s">
        <v>2289</v>
      </c>
      <c r="H205">
        <v>1500</v>
      </c>
      <c r="I205">
        <v>157</v>
      </c>
    </row>
    <row r="206" spans="1:9" x14ac:dyDescent="0.3">
      <c r="A206" t="s">
        <v>503</v>
      </c>
      <c r="B206" t="s">
        <v>64</v>
      </c>
      <c r="C206" t="s">
        <v>37</v>
      </c>
      <c r="D206" t="s">
        <v>2281</v>
      </c>
      <c r="E206" t="s">
        <v>2287</v>
      </c>
      <c r="F206">
        <v>2021</v>
      </c>
      <c r="G206" t="s">
        <v>2283</v>
      </c>
      <c r="I206">
        <v>218</v>
      </c>
    </row>
    <row r="207" spans="1:9" x14ac:dyDescent="0.3">
      <c r="A207" t="s">
        <v>319</v>
      </c>
      <c r="B207" t="s">
        <v>98</v>
      </c>
      <c r="C207" t="s">
        <v>2288</v>
      </c>
      <c r="D207" t="s">
        <v>29</v>
      </c>
      <c r="E207" t="s">
        <v>2278</v>
      </c>
      <c r="F207">
        <v>2023</v>
      </c>
      <c r="G207" t="s">
        <v>2279</v>
      </c>
      <c r="H207">
        <v>1200</v>
      </c>
      <c r="I207">
        <v>240</v>
      </c>
    </row>
    <row r="208" spans="1:9" x14ac:dyDescent="0.3">
      <c r="A208" t="s">
        <v>1202</v>
      </c>
      <c r="B208" t="s">
        <v>28</v>
      </c>
      <c r="C208" t="s">
        <v>2276</v>
      </c>
      <c r="D208" t="s">
        <v>2277</v>
      </c>
      <c r="E208" t="s">
        <v>2278</v>
      </c>
      <c r="F208">
        <v>2022</v>
      </c>
      <c r="H208">
        <v>700</v>
      </c>
      <c r="I208">
        <v>115</v>
      </c>
    </row>
    <row r="209" spans="1:9" x14ac:dyDescent="0.3">
      <c r="A209" t="s">
        <v>368</v>
      </c>
      <c r="B209" t="s">
        <v>98</v>
      </c>
      <c r="C209" t="s">
        <v>2288</v>
      </c>
      <c r="D209" t="s">
        <v>2284</v>
      </c>
      <c r="E209" t="s">
        <v>2287</v>
      </c>
      <c r="F209">
        <v>2023</v>
      </c>
      <c r="G209" t="s">
        <v>2279</v>
      </c>
      <c r="H209">
        <v>1500</v>
      </c>
      <c r="I209">
        <v>229</v>
      </c>
    </row>
    <row r="210" spans="1:9" x14ac:dyDescent="0.3">
      <c r="A210" t="s">
        <v>736</v>
      </c>
      <c r="B210" t="s">
        <v>73</v>
      </c>
      <c r="C210" t="s">
        <v>2276</v>
      </c>
      <c r="D210" t="s">
        <v>2277</v>
      </c>
      <c r="E210" t="s">
        <v>2278</v>
      </c>
      <c r="F210">
        <v>2023</v>
      </c>
      <c r="G210" t="s">
        <v>2289</v>
      </c>
      <c r="I210">
        <v>284</v>
      </c>
    </row>
    <row r="211" spans="1:9" x14ac:dyDescent="0.3">
      <c r="A211" t="s">
        <v>226</v>
      </c>
      <c r="B211" t="s">
        <v>28</v>
      </c>
      <c r="C211" t="s">
        <v>19</v>
      </c>
      <c r="D211" t="s">
        <v>2277</v>
      </c>
      <c r="E211" t="s">
        <v>2287</v>
      </c>
      <c r="F211">
        <v>2021</v>
      </c>
      <c r="G211" t="s">
        <v>2289</v>
      </c>
      <c r="H211">
        <v>700</v>
      </c>
      <c r="I211">
        <v>119</v>
      </c>
    </row>
    <row r="212" spans="1:9" x14ac:dyDescent="0.3">
      <c r="A212" t="s">
        <v>256</v>
      </c>
      <c r="B212" t="s">
        <v>57</v>
      </c>
      <c r="C212" t="s">
        <v>2280</v>
      </c>
      <c r="D212" t="s">
        <v>2286</v>
      </c>
      <c r="E212" t="s">
        <v>2278</v>
      </c>
      <c r="F212">
        <v>2022</v>
      </c>
      <c r="G212" t="s">
        <v>2283</v>
      </c>
      <c r="I212">
        <v>177</v>
      </c>
    </row>
    <row r="213" spans="1:9" x14ac:dyDescent="0.3">
      <c r="A213" t="s">
        <v>1245</v>
      </c>
      <c r="B213" t="s">
        <v>64</v>
      </c>
      <c r="C213" t="s">
        <v>2276</v>
      </c>
      <c r="D213" t="s">
        <v>29</v>
      </c>
      <c r="E213" t="s">
        <v>2278</v>
      </c>
      <c r="F213">
        <v>2021</v>
      </c>
      <c r="G213" t="s">
        <v>2279</v>
      </c>
      <c r="H213">
        <v>500</v>
      </c>
      <c r="I213">
        <v>80</v>
      </c>
    </row>
    <row r="214" spans="1:9" x14ac:dyDescent="0.3">
      <c r="A214" t="s">
        <v>946</v>
      </c>
      <c r="B214" t="s">
        <v>98</v>
      </c>
      <c r="C214" t="s">
        <v>19</v>
      </c>
      <c r="D214" t="s">
        <v>2277</v>
      </c>
      <c r="E214" t="s">
        <v>2278</v>
      </c>
      <c r="F214">
        <v>2024</v>
      </c>
      <c r="G214" t="s">
        <v>2279</v>
      </c>
      <c r="H214">
        <v>900</v>
      </c>
      <c r="I214">
        <v>227</v>
      </c>
    </row>
    <row r="215" spans="1:9" x14ac:dyDescent="0.3">
      <c r="A215" t="s">
        <v>1270</v>
      </c>
      <c r="B215" t="s">
        <v>73</v>
      </c>
      <c r="C215" t="s">
        <v>19</v>
      </c>
      <c r="D215" t="s">
        <v>2286</v>
      </c>
      <c r="E215" t="s">
        <v>2287</v>
      </c>
      <c r="F215">
        <v>2022</v>
      </c>
      <c r="G215" t="s">
        <v>2283</v>
      </c>
      <c r="H215">
        <v>500</v>
      </c>
      <c r="I215">
        <v>178</v>
      </c>
    </row>
    <row r="216" spans="1:9" x14ac:dyDescent="0.3">
      <c r="A216" t="s">
        <v>663</v>
      </c>
      <c r="B216" t="s">
        <v>73</v>
      </c>
      <c r="C216" t="s">
        <v>2288</v>
      </c>
      <c r="D216" t="s">
        <v>2281</v>
      </c>
      <c r="E216" t="s">
        <v>2282</v>
      </c>
      <c r="F216">
        <v>2022</v>
      </c>
      <c r="G216" t="s">
        <v>2283</v>
      </c>
      <c r="H216">
        <v>900</v>
      </c>
      <c r="I216">
        <v>172</v>
      </c>
    </row>
    <row r="217" spans="1:9" x14ac:dyDescent="0.3">
      <c r="A217" t="s">
        <v>1053</v>
      </c>
      <c r="B217" t="s">
        <v>28</v>
      </c>
      <c r="C217" t="s">
        <v>2280</v>
      </c>
      <c r="D217" t="s">
        <v>2277</v>
      </c>
      <c r="E217" t="s">
        <v>2287</v>
      </c>
      <c r="F217">
        <v>2022</v>
      </c>
      <c r="G217" t="s">
        <v>2283</v>
      </c>
      <c r="I217">
        <v>57</v>
      </c>
    </row>
    <row r="218" spans="1:9" x14ac:dyDescent="0.3">
      <c r="A218" t="s">
        <v>1438</v>
      </c>
      <c r="B218" t="s">
        <v>28</v>
      </c>
      <c r="C218" t="s">
        <v>37</v>
      </c>
      <c r="D218" t="s">
        <v>2281</v>
      </c>
      <c r="E218" t="s">
        <v>2287</v>
      </c>
      <c r="F218">
        <v>2023</v>
      </c>
      <c r="G218" t="s">
        <v>2279</v>
      </c>
      <c r="H218">
        <v>500</v>
      </c>
      <c r="I218">
        <v>199</v>
      </c>
    </row>
    <row r="219" spans="1:9" x14ac:dyDescent="0.3">
      <c r="A219" t="s">
        <v>357</v>
      </c>
      <c r="B219" t="s">
        <v>73</v>
      </c>
      <c r="C219" t="s">
        <v>37</v>
      </c>
      <c r="D219" t="s">
        <v>2281</v>
      </c>
      <c r="E219" t="s">
        <v>2287</v>
      </c>
      <c r="F219">
        <v>2021</v>
      </c>
      <c r="G219" t="s">
        <v>2285</v>
      </c>
      <c r="H219">
        <v>1200</v>
      </c>
      <c r="I219">
        <v>45</v>
      </c>
    </row>
    <row r="220" spans="1:9" x14ac:dyDescent="0.3">
      <c r="A220" t="s">
        <v>1683</v>
      </c>
      <c r="B220" t="s">
        <v>57</v>
      </c>
      <c r="C220" t="s">
        <v>19</v>
      </c>
      <c r="D220" t="s">
        <v>2284</v>
      </c>
      <c r="E220" t="s">
        <v>2282</v>
      </c>
      <c r="F220">
        <v>2023</v>
      </c>
      <c r="G220" t="s">
        <v>2289</v>
      </c>
      <c r="H220">
        <v>900</v>
      </c>
      <c r="I220">
        <v>200</v>
      </c>
    </row>
    <row r="221" spans="1:9" x14ac:dyDescent="0.3">
      <c r="A221" t="s">
        <v>146</v>
      </c>
      <c r="B221" t="s">
        <v>98</v>
      </c>
      <c r="C221" t="s">
        <v>37</v>
      </c>
      <c r="D221" t="s">
        <v>2281</v>
      </c>
      <c r="E221" t="s">
        <v>2278</v>
      </c>
      <c r="F221">
        <v>2021</v>
      </c>
      <c r="G221" t="s">
        <v>2283</v>
      </c>
      <c r="I221">
        <v>59</v>
      </c>
    </row>
    <row r="222" spans="1:9" x14ac:dyDescent="0.3">
      <c r="A222" t="s">
        <v>603</v>
      </c>
      <c r="B222" t="s">
        <v>98</v>
      </c>
      <c r="C222" t="s">
        <v>2288</v>
      </c>
      <c r="D222" t="s">
        <v>2277</v>
      </c>
      <c r="E222" t="s">
        <v>2287</v>
      </c>
      <c r="F222">
        <v>2021</v>
      </c>
      <c r="G222" t="s">
        <v>2279</v>
      </c>
      <c r="I222">
        <v>255</v>
      </c>
    </row>
    <row r="223" spans="1:9" x14ac:dyDescent="0.3">
      <c r="A223" t="s">
        <v>1839</v>
      </c>
      <c r="B223" t="s">
        <v>28</v>
      </c>
      <c r="C223" t="s">
        <v>2276</v>
      </c>
      <c r="D223" t="s">
        <v>2277</v>
      </c>
      <c r="E223" t="s">
        <v>2282</v>
      </c>
      <c r="F223">
        <v>2023</v>
      </c>
      <c r="G223" t="s">
        <v>2289</v>
      </c>
      <c r="H223">
        <v>700</v>
      </c>
      <c r="I223">
        <v>273</v>
      </c>
    </row>
    <row r="224" spans="1:9" x14ac:dyDescent="0.3">
      <c r="A224" t="s">
        <v>247</v>
      </c>
      <c r="B224" t="s">
        <v>98</v>
      </c>
      <c r="C224" t="s">
        <v>2276</v>
      </c>
      <c r="D224" t="s">
        <v>2277</v>
      </c>
      <c r="E224" t="s">
        <v>2287</v>
      </c>
      <c r="F224">
        <v>2021</v>
      </c>
      <c r="G224" t="s">
        <v>2289</v>
      </c>
      <c r="H224">
        <v>1500</v>
      </c>
      <c r="I224">
        <v>170</v>
      </c>
    </row>
    <row r="225" spans="1:9" x14ac:dyDescent="0.3">
      <c r="A225" t="s">
        <v>640</v>
      </c>
      <c r="B225" t="s">
        <v>73</v>
      </c>
      <c r="C225" t="s">
        <v>19</v>
      </c>
      <c r="D225" t="s">
        <v>2277</v>
      </c>
      <c r="E225" t="s">
        <v>2282</v>
      </c>
      <c r="F225">
        <v>2022</v>
      </c>
      <c r="G225" t="s">
        <v>2283</v>
      </c>
      <c r="H225">
        <v>900</v>
      </c>
      <c r="I225">
        <v>199</v>
      </c>
    </row>
    <row r="226" spans="1:9" x14ac:dyDescent="0.3">
      <c r="A226" t="s">
        <v>486</v>
      </c>
      <c r="B226" t="s">
        <v>57</v>
      </c>
      <c r="C226" t="s">
        <v>19</v>
      </c>
      <c r="D226" t="s">
        <v>29</v>
      </c>
      <c r="E226" t="s">
        <v>2282</v>
      </c>
      <c r="F226">
        <v>2021</v>
      </c>
      <c r="G226" t="s">
        <v>2279</v>
      </c>
      <c r="H226">
        <v>500</v>
      </c>
      <c r="I226">
        <v>215</v>
      </c>
    </row>
    <row r="227" spans="1:9" x14ac:dyDescent="0.3">
      <c r="A227" t="s">
        <v>572</v>
      </c>
      <c r="B227" t="s">
        <v>73</v>
      </c>
      <c r="C227" t="s">
        <v>37</v>
      </c>
      <c r="D227" t="s">
        <v>2281</v>
      </c>
      <c r="E227" t="s">
        <v>2287</v>
      </c>
      <c r="F227">
        <v>2023</v>
      </c>
      <c r="G227" t="s">
        <v>2285</v>
      </c>
      <c r="H227">
        <v>700</v>
      </c>
      <c r="I227">
        <v>78</v>
      </c>
    </row>
    <row r="228" spans="1:9" x14ac:dyDescent="0.3">
      <c r="A228" t="s">
        <v>452</v>
      </c>
      <c r="B228" t="s">
        <v>73</v>
      </c>
      <c r="C228" t="s">
        <v>2280</v>
      </c>
      <c r="D228" t="s">
        <v>2286</v>
      </c>
      <c r="E228" t="s">
        <v>2282</v>
      </c>
      <c r="F228">
        <v>2024</v>
      </c>
      <c r="G228" t="s">
        <v>2289</v>
      </c>
      <c r="H228">
        <v>1200</v>
      </c>
      <c r="I228">
        <v>47</v>
      </c>
    </row>
    <row r="229" spans="1:9" x14ac:dyDescent="0.3">
      <c r="A229" t="s">
        <v>56</v>
      </c>
      <c r="B229" t="s">
        <v>73</v>
      </c>
      <c r="C229" t="s">
        <v>37</v>
      </c>
      <c r="D229" t="s">
        <v>2286</v>
      </c>
      <c r="E229" t="s">
        <v>2282</v>
      </c>
      <c r="F229">
        <v>2021</v>
      </c>
      <c r="G229" t="s">
        <v>2283</v>
      </c>
      <c r="H229">
        <v>700</v>
      </c>
      <c r="I229">
        <v>245</v>
      </c>
    </row>
    <row r="230" spans="1:9" x14ac:dyDescent="0.3">
      <c r="A230" t="s">
        <v>824</v>
      </c>
      <c r="B230" t="s">
        <v>73</v>
      </c>
      <c r="C230" t="s">
        <v>2280</v>
      </c>
      <c r="D230" t="s">
        <v>2281</v>
      </c>
      <c r="E230" t="s">
        <v>2282</v>
      </c>
      <c r="F230">
        <v>2022</v>
      </c>
      <c r="H230">
        <v>1500</v>
      </c>
      <c r="I230">
        <v>213</v>
      </c>
    </row>
    <row r="231" spans="1:9" x14ac:dyDescent="0.3">
      <c r="A231" t="s">
        <v>68</v>
      </c>
      <c r="B231" t="s">
        <v>73</v>
      </c>
      <c r="C231" t="s">
        <v>2280</v>
      </c>
      <c r="D231" t="s">
        <v>2284</v>
      </c>
      <c r="E231" t="s">
        <v>2278</v>
      </c>
      <c r="F231">
        <v>2023</v>
      </c>
      <c r="G231" t="s">
        <v>2285</v>
      </c>
      <c r="H231">
        <v>700</v>
      </c>
      <c r="I231">
        <v>290</v>
      </c>
    </row>
    <row r="232" spans="1:9" x14ac:dyDescent="0.3">
      <c r="A232" t="s">
        <v>909</v>
      </c>
      <c r="B232" t="s">
        <v>28</v>
      </c>
      <c r="C232" t="s">
        <v>2280</v>
      </c>
      <c r="D232" t="s">
        <v>2286</v>
      </c>
      <c r="E232" t="s">
        <v>2287</v>
      </c>
      <c r="F232">
        <v>2023</v>
      </c>
      <c r="G232" t="s">
        <v>2283</v>
      </c>
      <c r="H232">
        <v>1200</v>
      </c>
      <c r="I232">
        <v>82</v>
      </c>
    </row>
    <row r="233" spans="1:9" x14ac:dyDescent="0.3">
      <c r="A233" t="s">
        <v>1174</v>
      </c>
      <c r="B233" t="s">
        <v>73</v>
      </c>
      <c r="C233" t="s">
        <v>37</v>
      </c>
      <c r="D233" t="s">
        <v>2277</v>
      </c>
      <c r="E233" t="s">
        <v>2287</v>
      </c>
      <c r="F233">
        <v>2024</v>
      </c>
      <c r="G233" t="s">
        <v>2279</v>
      </c>
      <c r="H233">
        <v>900</v>
      </c>
      <c r="I233">
        <v>142</v>
      </c>
    </row>
    <row r="234" spans="1:9" x14ac:dyDescent="0.3">
      <c r="A234" t="s">
        <v>575</v>
      </c>
      <c r="B234" t="s">
        <v>64</v>
      </c>
      <c r="C234" t="s">
        <v>2276</v>
      </c>
      <c r="D234" t="s">
        <v>2281</v>
      </c>
      <c r="E234" t="s">
        <v>2278</v>
      </c>
      <c r="F234">
        <v>2021</v>
      </c>
      <c r="G234" t="s">
        <v>2289</v>
      </c>
      <c r="I234">
        <v>106</v>
      </c>
    </row>
    <row r="235" spans="1:9" x14ac:dyDescent="0.3">
      <c r="A235" t="s">
        <v>132</v>
      </c>
      <c r="B235" t="s">
        <v>64</v>
      </c>
      <c r="C235" t="s">
        <v>2288</v>
      </c>
      <c r="D235" t="s">
        <v>2277</v>
      </c>
      <c r="E235" t="s">
        <v>2287</v>
      </c>
      <c r="F235">
        <v>2021</v>
      </c>
      <c r="H235">
        <v>1500</v>
      </c>
      <c r="I235">
        <v>95</v>
      </c>
    </row>
    <row r="236" spans="1:9" x14ac:dyDescent="0.3">
      <c r="A236" t="s">
        <v>434</v>
      </c>
      <c r="B236" t="s">
        <v>57</v>
      </c>
      <c r="C236" t="s">
        <v>2288</v>
      </c>
      <c r="D236" t="s">
        <v>2281</v>
      </c>
      <c r="E236" t="s">
        <v>2278</v>
      </c>
      <c r="F236">
        <v>2023</v>
      </c>
      <c r="G236" t="s">
        <v>2285</v>
      </c>
      <c r="H236">
        <v>700</v>
      </c>
      <c r="I236">
        <v>238</v>
      </c>
    </row>
    <row r="237" spans="1:9" x14ac:dyDescent="0.3">
      <c r="A237" t="s">
        <v>1345</v>
      </c>
      <c r="B237" t="s">
        <v>64</v>
      </c>
      <c r="C237" t="s">
        <v>2276</v>
      </c>
      <c r="D237" t="s">
        <v>2286</v>
      </c>
      <c r="E237" t="s">
        <v>2282</v>
      </c>
      <c r="F237">
        <v>2022</v>
      </c>
      <c r="G237" t="s">
        <v>2289</v>
      </c>
      <c r="I237">
        <v>50</v>
      </c>
    </row>
    <row r="238" spans="1:9" x14ac:dyDescent="0.3">
      <c r="A238" t="s">
        <v>1815</v>
      </c>
      <c r="B238" t="s">
        <v>57</v>
      </c>
      <c r="C238" t="s">
        <v>19</v>
      </c>
      <c r="D238" t="s">
        <v>29</v>
      </c>
      <c r="E238" t="s">
        <v>2282</v>
      </c>
      <c r="F238">
        <v>2023</v>
      </c>
      <c r="G238" t="s">
        <v>2279</v>
      </c>
      <c r="I238">
        <v>281</v>
      </c>
    </row>
    <row r="239" spans="1:9" x14ac:dyDescent="0.3">
      <c r="A239" t="s">
        <v>1072</v>
      </c>
      <c r="B239" t="s">
        <v>57</v>
      </c>
      <c r="C239" t="s">
        <v>37</v>
      </c>
      <c r="D239" t="s">
        <v>2286</v>
      </c>
      <c r="E239" t="s">
        <v>2282</v>
      </c>
      <c r="F239">
        <v>2021</v>
      </c>
      <c r="I239">
        <v>32</v>
      </c>
    </row>
    <row r="240" spans="1:9" x14ac:dyDescent="0.3">
      <c r="A240" t="s">
        <v>102</v>
      </c>
      <c r="B240" t="s">
        <v>98</v>
      </c>
      <c r="C240" t="s">
        <v>37</v>
      </c>
      <c r="D240" t="s">
        <v>2277</v>
      </c>
      <c r="E240" t="s">
        <v>2282</v>
      </c>
      <c r="F240">
        <v>2021</v>
      </c>
      <c r="G240" t="s">
        <v>2279</v>
      </c>
      <c r="H240">
        <v>1500</v>
      </c>
      <c r="I240">
        <v>61</v>
      </c>
    </row>
    <row r="241" spans="1:9" x14ac:dyDescent="0.3">
      <c r="A241" t="s">
        <v>866</v>
      </c>
      <c r="B241" t="s">
        <v>57</v>
      </c>
      <c r="C241" t="s">
        <v>37</v>
      </c>
      <c r="D241" t="s">
        <v>2277</v>
      </c>
      <c r="E241" t="s">
        <v>2278</v>
      </c>
      <c r="F241">
        <v>2023</v>
      </c>
      <c r="H241">
        <v>900</v>
      </c>
      <c r="I241">
        <v>58</v>
      </c>
    </row>
    <row r="242" spans="1:9" x14ac:dyDescent="0.3">
      <c r="A242" t="s">
        <v>187</v>
      </c>
      <c r="B242" t="s">
        <v>28</v>
      </c>
      <c r="C242" t="s">
        <v>37</v>
      </c>
      <c r="D242" t="s">
        <v>29</v>
      </c>
      <c r="E242" t="s">
        <v>2282</v>
      </c>
      <c r="F242">
        <v>2024</v>
      </c>
      <c r="G242" t="s">
        <v>2279</v>
      </c>
      <c r="H242">
        <v>500</v>
      </c>
      <c r="I242">
        <v>185</v>
      </c>
    </row>
    <row r="243" spans="1:9" x14ac:dyDescent="0.3">
      <c r="A243" t="s">
        <v>1193</v>
      </c>
      <c r="B243" t="s">
        <v>64</v>
      </c>
      <c r="C243" t="s">
        <v>2280</v>
      </c>
      <c r="D243" t="s">
        <v>29</v>
      </c>
      <c r="E243" t="s">
        <v>2282</v>
      </c>
      <c r="F243">
        <v>2024</v>
      </c>
      <c r="G243" t="s">
        <v>2279</v>
      </c>
      <c r="H243">
        <v>900</v>
      </c>
      <c r="I243">
        <v>153</v>
      </c>
    </row>
    <row r="244" spans="1:9" x14ac:dyDescent="0.3">
      <c r="A244" t="s">
        <v>704</v>
      </c>
      <c r="B244" t="s">
        <v>73</v>
      </c>
      <c r="C244" t="s">
        <v>2288</v>
      </c>
      <c r="D244" t="s">
        <v>29</v>
      </c>
      <c r="E244" t="s">
        <v>2282</v>
      </c>
      <c r="F244">
        <v>2021</v>
      </c>
      <c r="G244" t="s">
        <v>2289</v>
      </c>
      <c r="H244">
        <v>1200</v>
      </c>
      <c r="I244">
        <v>25</v>
      </c>
    </row>
    <row r="245" spans="1:9" x14ac:dyDescent="0.3">
      <c r="A245" t="s">
        <v>128</v>
      </c>
      <c r="B245" t="s">
        <v>98</v>
      </c>
      <c r="C245" t="s">
        <v>2288</v>
      </c>
      <c r="D245" t="s">
        <v>2284</v>
      </c>
      <c r="E245" t="s">
        <v>2278</v>
      </c>
      <c r="F245">
        <v>2021</v>
      </c>
      <c r="G245" t="s">
        <v>2289</v>
      </c>
      <c r="H245">
        <v>500</v>
      </c>
      <c r="I245">
        <v>119</v>
      </c>
    </row>
    <row r="246" spans="1:9" x14ac:dyDescent="0.3">
      <c r="A246" t="s">
        <v>1198</v>
      </c>
      <c r="B246" t="s">
        <v>98</v>
      </c>
      <c r="C246" t="s">
        <v>37</v>
      </c>
      <c r="D246" t="s">
        <v>2277</v>
      </c>
      <c r="E246" t="s">
        <v>2287</v>
      </c>
      <c r="F246">
        <v>2022</v>
      </c>
      <c r="G246" t="s">
        <v>2289</v>
      </c>
      <c r="I246">
        <v>115</v>
      </c>
    </row>
    <row r="247" spans="1:9" x14ac:dyDescent="0.3">
      <c r="A247" t="s">
        <v>1356</v>
      </c>
      <c r="B247" t="s">
        <v>28</v>
      </c>
      <c r="C247" t="s">
        <v>37</v>
      </c>
      <c r="D247" t="s">
        <v>2281</v>
      </c>
      <c r="E247" t="s">
        <v>2278</v>
      </c>
      <c r="F247">
        <v>2022</v>
      </c>
      <c r="G247" t="s">
        <v>2285</v>
      </c>
      <c r="H247">
        <v>900</v>
      </c>
      <c r="I247">
        <v>25</v>
      </c>
    </row>
    <row r="248" spans="1:9" x14ac:dyDescent="0.3">
      <c r="A248" t="s">
        <v>1602</v>
      </c>
      <c r="B248" t="s">
        <v>98</v>
      </c>
      <c r="C248" t="s">
        <v>19</v>
      </c>
      <c r="D248" t="s">
        <v>29</v>
      </c>
      <c r="E248" t="s">
        <v>2287</v>
      </c>
      <c r="F248">
        <v>2022</v>
      </c>
      <c r="G248" t="s">
        <v>2283</v>
      </c>
      <c r="H248">
        <v>500</v>
      </c>
      <c r="I248">
        <v>291</v>
      </c>
    </row>
    <row r="249" spans="1:9" x14ac:dyDescent="0.3">
      <c r="A249" t="s">
        <v>563</v>
      </c>
      <c r="B249" t="s">
        <v>57</v>
      </c>
      <c r="C249" t="s">
        <v>19</v>
      </c>
      <c r="D249" t="s">
        <v>2277</v>
      </c>
      <c r="E249" t="s">
        <v>2278</v>
      </c>
      <c r="F249">
        <v>2022</v>
      </c>
      <c r="G249" t="s">
        <v>2279</v>
      </c>
      <c r="I249">
        <v>93</v>
      </c>
    </row>
    <row r="250" spans="1:9" x14ac:dyDescent="0.3">
      <c r="A250" t="s">
        <v>270</v>
      </c>
      <c r="B250" t="s">
        <v>73</v>
      </c>
      <c r="C250" t="s">
        <v>19</v>
      </c>
      <c r="D250" t="s">
        <v>2284</v>
      </c>
      <c r="E250" t="s">
        <v>2278</v>
      </c>
      <c r="F250">
        <v>2023</v>
      </c>
      <c r="G250" t="s">
        <v>2279</v>
      </c>
      <c r="H250">
        <v>500</v>
      </c>
      <c r="I250">
        <v>267</v>
      </c>
    </row>
    <row r="251" spans="1:9" x14ac:dyDescent="0.3">
      <c r="A251" t="s">
        <v>1043</v>
      </c>
      <c r="B251" t="s">
        <v>57</v>
      </c>
      <c r="C251" t="s">
        <v>2276</v>
      </c>
      <c r="D251" t="s">
        <v>2277</v>
      </c>
      <c r="E251" t="s">
        <v>2287</v>
      </c>
      <c r="F251">
        <v>2022</v>
      </c>
      <c r="G251" t="s">
        <v>2279</v>
      </c>
      <c r="H251">
        <v>1500</v>
      </c>
      <c r="I251">
        <v>259</v>
      </c>
    </row>
    <row r="252" spans="1:9" x14ac:dyDescent="0.3">
      <c r="A252" t="s">
        <v>1810</v>
      </c>
      <c r="B252" t="s">
        <v>98</v>
      </c>
      <c r="C252" t="s">
        <v>2288</v>
      </c>
      <c r="D252" t="s">
        <v>2284</v>
      </c>
      <c r="E252" t="s">
        <v>2278</v>
      </c>
      <c r="F252">
        <v>2021</v>
      </c>
      <c r="G252" t="s">
        <v>2289</v>
      </c>
      <c r="H252">
        <v>1200</v>
      </c>
      <c r="I252">
        <v>227</v>
      </c>
    </row>
    <row r="253" spans="1:9" x14ac:dyDescent="0.3">
      <c r="A253" t="s">
        <v>417</v>
      </c>
      <c r="B253" t="s">
        <v>57</v>
      </c>
      <c r="C253" t="s">
        <v>2280</v>
      </c>
      <c r="D253" t="s">
        <v>2277</v>
      </c>
      <c r="E253" t="s">
        <v>2278</v>
      </c>
      <c r="F253">
        <v>2024</v>
      </c>
      <c r="G253" t="s">
        <v>2289</v>
      </c>
      <c r="H253">
        <v>1500</v>
      </c>
      <c r="I253">
        <v>136</v>
      </c>
    </row>
    <row r="254" spans="1:9" x14ac:dyDescent="0.3">
      <c r="A254" t="s">
        <v>166</v>
      </c>
      <c r="B254" t="s">
        <v>28</v>
      </c>
      <c r="C254" t="s">
        <v>19</v>
      </c>
      <c r="D254" t="s">
        <v>29</v>
      </c>
      <c r="E254" t="s">
        <v>2287</v>
      </c>
      <c r="F254">
        <v>2023</v>
      </c>
      <c r="G254" t="s">
        <v>2279</v>
      </c>
      <c r="I254">
        <v>165</v>
      </c>
    </row>
    <row r="255" spans="1:9" x14ac:dyDescent="0.3">
      <c r="A255" t="s">
        <v>1493</v>
      </c>
      <c r="B255" t="s">
        <v>73</v>
      </c>
      <c r="C255" t="s">
        <v>37</v>
      </c>
      <c r="D255" t="s">
        <v>2277</v>
      </c>
      <c r="E255" t="s">
        <v>2282</v>
      </c>
      <c r="F255">
        <v>2022</v>
      </c>
      <c r="G255" t="s">
        <v>2289</v>
      </c>
      <c r="H255">
        <v>700</v>
      </c>
      <c r="I255">
        <v>282</v>
      </c>
    </row>
    <row r="256" spans="1:9" x14ac:dyDescent="0.3">
      <c r="A256" t="s">
        <v>314</v>
      </c>
      <c r="B256" t="s">
        <v>57</v>
      </c>
      <c r="C256" t="s">
        <v>37</v>
      </c>
      <c r="D256" t="s">
        <v>2284</v>
      </c>
      <c r="E256" t="s">
        <v>2282</v>
      </c>
      <c r="F256">
        <v>2024</v>
      </c>
      <c r="H256">
        <v>500</v>
      </c>
      <c r="I256">
        <v>33</v>
      </c>
    </row>
    <row r="257" spans="1:9" x14ac:dyDescent="0.3">
      <c r="A257" t="s">
        <v>1212</v>
      </c>
      <c r="B257" t="s">
        <v>98</v>
      </c>
      <c r="C257" t="s">
        <v>19</v>
      </c>
      <c r="D257" t="s">
        <v>2284</v>
      </c>
      <c r="E257" t="s">
        <v>2278</v>
      </c>
      <c r="F257">
        <v>2023</v>
      </c>
      <c r="H257">
        <v>700</v>
      </c>
      <c r="I257">
        <v>117</v>
      </c>
    </row>
    <row r="258" spans="1:9" x14ac:dyDescent="0.3">
      <c r="A258" t="s">
        <v>771</v>
      </c>
      <c r="B258" t="s">
        <v>64</v>
      </c>
      <c r="C258" t="s">
        <v>2276</v>
      </c>
      <c r="D258" t="s">
        <v>2277</v>
      </c>
      <c r="E258" t="s">
        <v>2287</v>
      </c>
      <c r="F258">
        <v>2023</v>
      </c>
      <c r="G258" t="s">
        <v>2283</v>
      </c>
      <c r="H258">
        <v>1200</v>
      </c>
      <c r="I258">
        <v>283</v>
      </c>
    </row>
    <row r="259" spans="1:9" x14ac:dyDescent="0.3">
      <c r="A259" t="s">
        <v>494</v>
      </c>
      <c r="B259" t="s">
        <v>98</v>
      </c>
      <c r="C259" t="s">
        <v>2276</v>
      </c>
      <c r="D259" t="s">
        <v>2284</v>
      </c>
      <c r="E259" t="s">
        <v>2287</v>
      </c>
      <c r="F259">
        <v>2023</v>
      </c>
      <c r="G259" t="s">
        <v>2279</v>
      </c>
      <c r="I259">
        <v>163</v>
      </c>
    </row>
    <row r="260" spans="1:9" x14ac:dyDescent="0.3">
      <c r="A260" t="s">
        <v>716</v>
      </c>
      <c r="B260" t="s">
        <v>57</v>
      </c>
      <c r="C260" t="s">
        <v>2280</v>
      </c>
      <c r="D260" t="s">
        <v>2281</v>
      </c>
      <c r="E260" t="s">
        <v>2278</v>
      </c>
      <c r="F260">
        <v>2024</v>
      </c>
      <c r="G260" t="s">
        <v>2283</v>
      </c>
      <c r="H260">
        <v>700</v>
      </c>
      <c r="I260">
        <v>99</v>
      </c>
    </row>
    <row r="261" spans="1:9" x14ac:dyDescent="0.3">
      <c r="A261" t="s">
        <v>266</v>
      </c>
      <c r="B261" t="s">
        <v>28</v>
      </c>
      <c r="C261" t="s">
        <v>37</v>
      </c>
      <c r="D261" t="s">
        <v>2284</v>
      </c>
      <c r="E261" t="s">
        <v>2282</v>
      </c>
      <c r="F261">
        <v>2023</v>
      </c>
      <c r="G261" t="s">
        <v>2279</v>
      </c>
      <c r="H261">
        <v>1200</v>
      </c>
      <c r="I261">
        <v>100</v>
      </c>
    </row>
    <row r="262" spans="1:9" x14ac:dyDescent="0.3">
      <c r="A262" t="s">
        <v>198</v>
      </c>
      <c r="B262" t="s">
        <v>28</v>
      </c>
      <c r="C262" t="s">
        <v>2280</v>
      </c>
      <c r="D262" t="s">
        <v>2281</v>
      </c>
      <c r="E262" t="s">
        <v>2278</v>
      </c>
      <c r="F262">
        <v>2022</v>
      </c>
      <c r="G262" t="s">
        <v>2289</v>
      </c>
      <c r="I262">
        <v>274</v>
      </c>
    </row>
    <row r="263" spans="1:9" x14ac:dyDescent="0.3">
      <c r="A263" t="s">
        <v>754</v>
      </c>
      <c r="B263" t="s">
        <v>98</v>
      </c>
      <c r="C263" t="s">
        <v>2288</v>
      </c>
      <c r="D263" t="s">
        <v>2284</v>
      </c>
      <c r="E263" t="s">
        <v>2278</v>
      </c>
      <c r="F263">
        <v>2021</v>
      </c>
      <c r="G263" t="s">
        <v>2289</v>
      </c>
      <c r="H263">
        <v>500</v>
      </c>
      <c r="I263">
        <v>53</v>
      </c>
    </row>
    <row r="264" spans="1:9" x14ac:dyDescent="0.3">
      <c r="A264" t="s">
        <v>626</v>
      </c>
      <c r="B264" t="s">
        <v>98</v>
      </c>
      <c r="C264" t="s">
        <v>37</v>
      </c>
      <c r="D264" t="s">
        <v>2277</v>
      </c>
      <c r="E264" t="s">
        <v>2278</v>
      </c>
      <c r="F264">
        <v>2023</v>
      </c>
      <c r="H264">
        <v>1200</v>
      </c>
      <c r="I264">
        <v>283</v>
      </c>
    </row>
    <row r="265" spans="1:9" x14ac:dyDescent="0.3">
      <c r="A265" t="s">
        <v>216</v>
      </c>
      <c r="B265" t="s">
        <v>73</v>
      </c>
      <c r="C265" t="s">
        <v>37</v>
      </c>
      <c r="D265" t="s">
        <v>2277</v>
      </c>
      <c r="E265" t="s">
        <v>2287</v>
      </c>
      <c r="F265">
        <v>2021</v>
      </c>
      <c r="I265">
        <v>132</v>
      </c>
    </row>
    <row r="266" spans="1:9" x14ac:dyDescent="0.3">
      <c r="A266" t="s">
        <v>2290</v>
      </c>
      <c r="B266" t="s">
        <v>57</v>
      </c>
      <c r="C266" t="s">
        <v>37</v>
      </c>
      <c r="D266" t="s">
        <v>2286</v>
      </c>
      <c r="E266" t="s">
        <v>2282</v>
      </c>
      <c r="F266">
        <v>2022</v>
      </c>
      <c r="G266" t="s">
        <v>2285</v>
      </c>
      <c r="H266">
        <v>1200</v>
      </c>
      <c r="I266">
        <v>199</v>
      </c>
    </row>
    <row r="267" spans="1:9" x14ac:dyDescent="0.3">
      <c r="A267" t="s">
        <v>97</v>
      </c>
      <c r="B267" t="s">
        <v>64</v>
      </c>
      <c r="C267" t="s">
        <v>19</v>
      </c>
      <c r="D267" t="s">
        <v>2284</v>
      </c>
      <c r="E267" t="s">
        <v>2282</v>
      </c>
      <c r="F267">
        <v>2022</v>
      </c>
      <c r="G267" t="s">
        <v>2289</v>
      </c>
      <c r="H267">
        <v>500</v>
      </c>
      <c r="I267">
        <v>292</v>
      </c>
    </row>
    <row r="268" spans="1:9" x14ac:dyDescent="0.3">
      <c r="A268" t="s">
        <v>1309</v>
      </c>
      <c r="B268" t="s">
        <v>98</v>
      </c>
      <c r="C268" t="s">
        <v>37</v>
      </c>
      <c r="D268" t="s">
        <v>2286</v>
      </c>
      <c r="E268" t="s">
        <v>2282</v>
      </c>
      <c r="F268">
        <v>2022</v>
      </c>
      <c r="G268" t="s">
        <v>2289</v>
      </c>
      <c r="H268">
        <v>1500</v>
      </c>
      <c r="I268">
        <v>82</v>
      </c>
    </row>
    <row r="269" spans="1:9" x14ac:dyDescent="0.3">
      <c r="A269" t="s">
        <v>1608</v>
      </c>
      <c r="B269" t="s">
        <v>57</v>
      </c>
      <c r="C269" t="s">
        <v>19</v>
      </c>
      <c r="D269" t="s">
        <v>29</v>
      </c>
      <c r="E269" t="s">
        <v>2278</v>
      </c>
      <c r="F269">
        <v>2021</v>
      </c>
      <c r="G269" t="s">
        <v>2283</v>
      </c>
      <c r="I269">
        <v>195</v>
      </c>
    </row>
    <row r="270" spans="1:9" x14ac:dyDescent="0.3">
      <c r="A270" t="s">
        <v>543</v>
      </c>
      <c r="B270" t="s">
        <v>64</v>
      </c>
      <c r="C270" t="s">
        <v>19</v>
      </c>
      <c r="D270" t="s">
        <v>2286</v>
      </c>
      <c r="E270" t="s">
        <v>2287</v>
      </c>
      <c r="F270">
        <v>2024</v>
      </c>
      <c r="G270" t="s">
        <v>2285</v>
      </c>
      <c r="H270">
        <v>1500</v>
      </c>
      <c r="I270">
        <v>197</v>
      </c>
    </row>
    <row r="271" spans="1:9" x14ac:dyDescent="0.3">
      <c r="A271" t="s">
        <v>1148</v>
      </c>
      <c r="B271" t="s">
        <v>28</v>
      </c>
      <c r="C271" t="s">
        <v>2276</v>
      </c>
      <c r="D271" t="s">
        <v>2284</v>
      </c>
      <c r="E271" t="s">
        <v>2278</v>
      </c>
      <c r="F271">
        <v>2022</v>
      </c>
      <c r="G271" t="s">
        <v>2283</v>
      </c>
      <c r="H271">
        <v>700</v>
      </c>
      <c r="I271">
        <v>187</v>
      </c>
    </row>
    <row r="272" spans="1:9" x14ac:dyDescent="0.3">
      <c r="A272" t="s">
        <v>403</v>
      </c>
      <c r="B272" t="s">
        <v>98</v>
      </c>
      <c r="C272" t="s">
        <v>2288</v>
      </c>
      <c r="D272" t="s">
        <v>2281</v>
      </c>
      <c r="E272" t="s">
        <v>2287</v>
      </c>
      <c r="F272">
        <v>2022</v>
      </c>
      <c r="G272" t="s">
        <v>2283</v>
      </c>
      <c r="H272">
        <v>1200</v>
      </c>
      <c r="I272">
        <v>187</v>
      </c>
    </row>
    <row r="273" spans="1:9" x14ac:dyDescent="0.3">
      <c r="A273" t="s">
        <v>1882</v>
      </c>
      <c r="B273" t="s">
        <v>73</v>
      </c>
      <c r="C273" t="s">
        <v>19</v>
      </c>
      <c r="D273" t="s">
        <v>2281</v>
      </c>
      <c r="E273" t="s">
        <v>2287</v>
      </c>
      <c r="F273">
        <v>2023</v>
      </c>
      <c r="G273" t="s">
        <v>2285</v>
      </c>
      <c r="H273">
        <v>1500</v>
      </c>
      <c r="I273">
        <v>111</v>
      </c>
    </row>
    <row r="274" spans="1:9" x14ac:dyDescent="0.3">
      <c r="A274" t="s">
        <v>339</v>
      </c>
      <c r="B274" t="s">
        <v>64</v>
      </c>
      <c r="C274" t="s">
        <v>19</v>
      </c>
      <c r="D274" t="s">
        <v>29</v>
      </c>
      <c r="E274" t="s">
        <v>2278</v>
      </c>
      <c r="F274">
        <v>2021</v>
      </c>
      <c r="G274" t="s">
        <v>2283</v>
      </c>
      <c r="H274">
        <v>1500</v>
      </c>
      <c r="I274">
        <v>268</v>
      </c>
    </row>
    <row r="275" spans="1:9" x14ac:dyDescent="0.3">
      <c r="A275" t="s">
        <v>398</v>
      </c>
      <c r="B275" t="s">
        <v>57</v>
      </c>
      <c r="C275" t="s">
        <v>2280</v>
      </c>
      <c r="D275" t="s">
        <v>29</v>
      </c>
      <c r="E275" t="s">
        <v>2278</v>
      </c>
      <c r="F275">
        <v>2023</v>
      </c>
      <c r="G275" t="s">
        <v>2289</v>
      </c>
      <c r="H275">
        <v>700</v>
      </c>
      <c r="I275">
        <v>249</v>
      </c>
    </row>
    <row r="276" spans="1:9" x14ac:dyDescent="0.3">
      <c r="A276" t="s">
        <v>201</v>
      </c>
      <c r="B276" t="s">
        <v>98</v>
      </c>
      <c r="C276" t="s">
        <v>2288</v>
      </c>
      <c r="D276" t="s">
        <v>29</v>
      </c>
      <c r="E276" t="s">
        <v>2278</v>
      </c>
      <c r="F276">
        <v>2021</v>
      </c>
      <c r="H276">
        <v>1200</v>
      </c>
      <c r="I276">
        <v>286</v>
      </c>
    </row>
    <row r="277" spans="1:9" x14ac:dyDescent="0.3">
      <c r="A277" t="s">
        <v>1593</v>
      </c>
      <c r="B277" t="s">
        <v>73</v>
      </c>
      <c r="C277" t="s">
        <v>37</v>
      </c>
      <c r="D277" t="s">
        <v>2281</v>
      </c>
      <c r="E277" t="s">
        <v>2282</v>
      </c>
      <c r="F277">
        <v>2021</v>
      </c>
      <c r="G277" t="s">
        <v>2285</v>
      </c>
      <c r="H277">
        <v>1500</v>
      </c>
      <c r="I277">
        <v>106</v>
      </c>
    </row>
    <row r="278" spans="1:9" x14ac:dyDescent="0.3">
      <c r="A278" t="s">
        <v>2040</v>
      </c>
      <c r="B278" t="s">
        <v>57</v>
      </c>
      <c r="C278" t="s">
        <v>19</v>
      </c>
      <c r="D278" t="s">
        <v>2281</v>
      </c>
      <c r="E278" t="s">
        <v>2282</v>
      </c>
      <c r="F278">
        <v>2022</v>
      </c>
      <c r="G278" t="s">
        <v>2279</v>
      </c>
      <c r="H278">
        <v>700</v>
      </c>
      <c r="I278">
        <v>97</v>
      </c>
    </row>
    <row r="279" spans="1:9" x14ac:dyDescent="0.3">
      <c r="A279" t="s">
        <v>1653</v>
      </c>
      <c r="B279" t="s">
        <v>73</v>
      </c>
      <c r="C279" t="s">
        <v>2288</v>
      </c>
      <c r="D279" t="s">
        <v>2284</v>
      </c>
      <c r="E279" t="s">
        <v>2282</v>
      </c>
      <c r="F279">
        <v>2021</v>
      </c>
      <c r="G279" t="s">
        <v>2279</v>
      </c>
      <c r="H279">
        <v>700</v>
      </c>
      <c r="I279">
        <v>87</v>
      </c>
    </row>
    <row r="280" spans="1:9" x14ac:dyDescent="0.3">
      <c r="A280" t="s">
        <v>1097</v>
      </c>
      <c r="B280" t="s">
        <v>57</v>
      </c>
      <c r="C280" t="s">
        <v>2276</v>
      </c>
      <c r="D280" t="s">
        <v>2281</v>
      </c>
      <c r="E280" t="s">
        <v>2287</v>
      </c>
      <c r="F280">
        <v>2021</v>
      </c>
      <c r="G280" t="s">
        <v>2279</v>
      </c>
      <c r="H280">
        <v>1500</v>
      </c>
      <c r="I280">
        <v>64</v>
      </c>
    </row>
    <row r="281" spans="1:9" x14ac:dyDescent="0.3">
      <c r="A281" t="s">
        <v>983</v>
      </c>
      <c r="B281" t="s">
        <v>73</v>
      </c>
      <c r="C281" t="s">
        <v>2288</v>
      </c>
      <c r="D281" t="s">
        <v>2281</v>
      </c>
      <c r="E281" t="s">
        <v>2287</v>
      </c>
      <c r="F281">
        <v>2022</v>
      </c>
      <c r="G281" t="s">
        <v>2279</v>
      </c>
      <c r="H281">
        <v>1200</v>
      </c>
      <c r="I281">
        <v>252</v>
      </c>
    </row>
    <row r="282" spans="1:9" x14ac:dyDescent="0.3">
      <c r="A282" t="s">
        <v>819</v>
      </c>
      <c r="B282" t="s">
        <v>64</v>
      </c>
      <c r="C282" t="s">
        <v>2276</v>
      </c>
      <c r="D282" t="s">
        <v>2277</v>
      </c>
      <c r="E282" t="s">
        <v>2282</v>
      </c>
      <c r="F282">
        <v>2021</v>
      </c>
      <c r="G282" t="s">
        <v>2279</v>
      </c>
      <c r="I282">
        <v>162</v>
      </c>
    </row>
    <row r="283" spans="1:9" x14ac:dyDescent="0.3">
      <c r="A283" t="s">
        <v>1009</v>
      </c>
      <c r="B283" t="s">
        <v>98</v>
      </c>
      <c r="C283" t="s">
        <v>2288</v>
      </c>
      <c r="D283" t="s">
        <v>29</v>
      </c>
      <c r="E283" t="s">
        <v>2278</v>
      </c>
      <c r="F283">
        <v>2021</v>
      </c>
      <c r="H283">
        <v>500</v>
      </c>
      <c r="I283">
        <v>138</v>
      </c>
    </row>
    <row r="284" spans="1:9" x14ac:dyDescent="0.3">
      <c r="A284" t="s">
        <v>331</v>
      </c>
      <c r="B284" t="s">
        <v>64</v>
      </c>
      <c r="C284" t="s">
        <v>19</v>
      </c>
      <c r="D284" t="s">
        <v>2281</v>
      </c>
      <c r="E284" t="s">
        <v>2282</v>
      </c>
      <c r="F284">
        <v>2022</v>
      </c>
      <c r="G284" t="s">
        <v>2289</v>
      </c>
      <c r="H284">
        <v>900</v>
      </c>
      <c r="I284">
        <v>244</v>
      </c>
    </row>
    <row r="285" spans="1:9" x14ac:dyDescent="0.3">
      <c r="A285" t="s">
        <v>36</v>
      </c>
      <c r="B285" t="s">
        <v>73</v>
      </c>
      <c r="C285" t="s">
        <v>37</v>
      </c>
      <c r="D285" t="s">
        <v>29</v>
      </c>
      <c r="E285" t="s">
        <v>2278</v>
      </c>
      <c r="F285">
        <v>2024</v>
      </c>
      <c r="G285" t="s">
        <v>2279</v>
      </c>
      <c r="H285">
        <v>1500</v>
      </c>
      <c r="I285">
        <v>142</v>
      </c>
    </row>
    <row r="286" spans="1:9" x14ac:dyDescent="0.3">
      <c r="A286" t="s">
        <v>1267</v>
      </c>
      <c r="B286" t="s">
        <v>64</v>
      </c>
      <c r="C286" t="s">
        <v>2276</v>
      </c>
      <c r="D286" t="s">
        <v>2277</v>
      </c>
      <c r="E286" t="s">
        <v>2278</v>
      </c>
      <c r="F286">
        <v>2024</v>
      </c>
      <c r="G286" t="s">
        <v>2283</v>
      </c>
      <c r="H286">
        <v>500</v>
      </c>
      <c r="I286">
        <v>158</v>
      </c>
    </row>
    <row r="287" spans="1:9" x14ac:dyDescent="0.3">
      <c r="A287" t="s">
        <v>726</v>
      </c>
      <c r="B287" t="s">
        <v>64</v>
      </c>
      <c r="C287" t="s">
        <v>37</v>
      </c>
      <c r="D287" t="s">
        <v>2284</v>
      </c>
      <c r="E287" t="s">
        <v>2287</v>
      </c>
      <c r="F287">
        <v>2022</v>
      </c>
      <c r="G287" t="s">
        <v>2289</v>
      </c>
      <c r="I287">
        <v>99</v>
      </c>
    </row>
    <row r="288" spans="1:9" x14ac:dyDescent="0.3">
      <c r="A288" t="s">
        <v>213</v>
      </c>
      <c r="B288" t="s">
        <v>64</v>
      </c>
      <c r="C288" t="s">
        <v>2288</v>
      </c>
      <c r="D288" t="s">
        <v>2277</v>
      </c>
      <c r="E288" t="s">
        <v>2282</v>
      </c>
      <c r="F288">
        <v>2022</v>
      </c>
      <c r="G288" t="s">
        <v>2283</v>
      </c>
      <c r="I288">
        <v>149</v>
      </c>
    </row>
    <row r="289" spans="1:9" x14ac:dyDescent="0.3">
      <c r="A289" t="s">
        <v>883</v>
      </c>
      <c r="B289" t="s">
        <v>98</v>
      </c>
      <c r="C289" t="s">
        <v>2276</v>
      </c>
      <c r="D289" t="s">
        <v>2281</v>
      </c>
      <c r="E289" t="s">
        <v>2287</v>
      </c>
      <c r="F289">
        <v>2023</v>
      </c>
      <c r="H289">
        <v>500</v>
      </c>
      <c r="I289">
        <v>28</v>
      </c>
    </row>
    <row r="290" spans="1:9" x14ac:dyDescent="0.3">
      <c r="A290" t="s">
        <v>309</v>
      </c>
      <c r="B290" t="s">
        <v>57</v>
      </c>
      <c r="C290" t="s">
        <v>2276</v>
      </c>
      <c r="D290" t="s">
        <v>2284</v>
      </c>
      <c r="E290" t="s">
        <v>2278</v>
      </c>
      <c r="F290">
        <v>2021</v>
      </c>
      <c r="H290">
        <v>700</v>
      </c>
      <c r="I290">
        <v>148</v>
      </c>
    </row>
    <row r="291" spans="1:9" x14ac:dyDescent="0.3">
      <c r="A291" t="s">
        <v>886</v>
      </c>
      <c r="B291" t="s">
        <v>73</v>
      </c>
      <c r="C291" t="s">
        <v>37</v>
      </c>
      <c r="D291" t="s">
        <v>2281</v>
      </c>
      <c r="E291" t="s">
        <v>2282</v>
      </c>
      <c r="F291">
        <v>2021</v>
      </c>
      <c r="G291" t="s">
        <v>2289</v>
      </c>
      <c r="H291">
        <v>1500</v>
      </c>
      <c r="I291">
        <v>138</v>
      </c>
    </row>
    <row r="292" spans="1:9" x14ac:dyDescent="0.3">
      <c r="A292" t="s">
        <v>497</v>
      </c>
      <c r="B292" t="s">
        <v>73</v>
      </c>
      <c r="C292" t="s">
        <v>37</v>
      </c>
      <c r="D292" t="s">
        <v>2281</v>
      </c>
      <c r="E292" t="s">
        <v>2278</v>
      </c>
      <c r="F292">
        <v>2024</v>
      </c>
      <c r="H292">
        <v>500</v>
      </c>
      <c r="I292">
        <v>285</v>
      </c>
    </row>
    <row r="293" spans="1:9" x14ac:dyDescent="0.3">
      <c r="A293" t="s">
        <v>597</v>
      </c>
      <c r="B293" t="s">
        <v>98</v>
      </c>
      <c r="C293" t="s">
        <v>2280</v>
      </c>
      <c r="D293" t="s">
        <v>29</v>
      </c>
      <c r="E293" t="s">
        <v>2278</v>
      </c>
      <c r="F293">
        <v>2021</v>
      </c>
      <c r="G293" t="s">
        <v>2283</v>
      </c>
      <c r="H293">
        <v>1500</v>
      </c>
      <c r="I293">
        <v>219</v>
      </c>
    </row>
    <row r="294" spans="1:9" x14ac:dyDescent="0.3">
      <c r="A294" t="s">
        <v>914</v>
      </c>
      <c r="B294" t="s">
        <v>64</v>
      </c>
      <c r="C294" t="s">
        <v>2288</v>
      </c>
      <c r="D294" t="s">
        <v>29</v>
      </c>
      <c r="E294" t="s">
        <v>2287</v>
      </c>
      <c r="F294">
        <v>2021</v>
      </c>
      <c r="G294" t="s">
        <v>2285</v>
      </c>
      <c r="H294">
        <v>700</v>
      </c>
      <c r="I294">
        <v>110</v>
      </c>
    </row>
    <row r="295" spans="1:9" x14ac:dyDescent="0.3">
      <c r="A295" t="s">
        <v>160</v>
      </c>
      <c r="B295" t="s">
        <v>64</v>
      </c>
      <c r="C295" t="s">
        <v>2276</v>
      </c>
      <c r="D295" t="s">
        <v>2281</v>
      </c>
      <c r="E295" t="s">
        <v>2282</v>
      </c>
      <c r="F295">
        <v>2024</v>
      </c>
      <c r="H295">
        <v>1200</v>
      </c>
      <c r="I295">
        <v>118</v>
      </c>
    </row>
    <row r="296" spans="1:9" x14ac:dyDescent="0.3">
      <c r="A296" t="s">
        <v>1036</v>
      </c>
      <c r="B296" t="s">
        <v>98</v>
      </c>
      <c r="C296" t="s">
        <v>2280</v>
      </c>
      <c r="D296" t="s">
        <v>2286</v>
      </c>
      <c r="E296" t="s">
        <v>2278</v>
      </c>
      <c r="F296">
        <v>2023</v>
      </c>
      <c r="H296">
        <v>700</v>
      </c>
      <c r="I296">
        <v>217</v>
      </c>
    </row>
    <row r="297" spans="1:9" x14ac:dyDescent="0.3">
      <c r="A297" t="s">
        <v>1571</v>
      </c>
      <c r="B297" t="s">
        <v>73</v>
      </c>
      <c r="C297" t="s">
        <v>2288</v>
      </c>
      <c r="D297" t="s">
        <v>2286</v>
      </c>
      <c r="E297" t="s">
        <v>2278</v>
      </c>
      <c r="F297">
        <v>2023</v>
      </c>
      <c r="H297">
        <v>1500</v>
      </c>
      <c r="I297">
        <v>271</v>
      </c>
    </row>
    <row r="298" spans="1:9" x14ac:dyDescent="0.3">
      <c r="A298" t="s">
        <v>306</v>
      </c>
      <c r="B298" t="s">
        <v>73</v>
      </c>
      <c r="C298" t="s">
        <v>19</v>
      </c>
      <c r="D298" t="s">
        <v>2286</v>
      </c>
      <c r="E298" t="s">
        <v>2282</v>
      </c>
      <c r="F298">
        <v>2022</v>
      </c>
      <c r="G298" t="s">
        <v>2289</v>
      </c>
      <c r="H298">
        <v>700</v>
      </c>
      <c r="I298">
        <v>44</v>
      </c>
    </row>
    <row r="299" spans="1:9" x14ac:dyDescent="0.3">
      <c r="A299" t="s">
        <v>138</v>
      </c>
      <c r="B299" t="s">
        <v>98</v>
      </c>
      <c r="C299" t="s">
        <v>2276</v>
      </c>
      <c r="D299" t="s">
        <v>29</v>
      </c>
      <c r="E299" t="s">
        <v>2282</v>
      </c>
      <c r="F299">
        <v>2021</v>
      </c>
      <c r="H299">
        <v>1200</v>
      </c>
      <c r="I299">
        <v>228</v>
      </c>
    </row>
    <row r="300" spans="1:9" x14ac:dyDescent="0.3">
      <c r="A300" t="s">
        <v>362</v>
      </c>
      <c r="B300" t="s">
        <v>57</v>
      </c>
      <c r="C300" t="s">
        <v>2276</v>
      </c>
      <c r="D300" t="s">
        <v>2284</v>
      </c>
      <c r="E300" t="s">
        <v>2287</v>
      </c>
      <c r="F300">
        <v>2024</v>
      </c>
      <c r="G300" t="s">
        <v>2283</v>
      </c>
      <c r="H300">
        <v>500</v>
      </c>
      <c r="I300">
        <v>59</v>
      </c>
    </row>
    <row r="301" spans="1:9" x14ac:dyDescent="0.3">
      <c r="A301" t="s">
        <v>976</v>
      </c>
      <c r="B301" t="s">
        <v>64</v>
      </c>
      <c r="C301" t="s">
        <v>2276</v>
      </c>
      <c r="D301" t="s">
        <v>2277</v>
      </c>
      <c r="E301" t="s">
        <v>2282</v>
      </c>
      <c r="F301">
        <v>2024</v>
      </c>
      <c r="G301" t="s">
        <v>2285</v>
      </c>
      <c r="H301">
        <v>1200</v>
      </c>
      <c r="I301">
        <v>85</v>
      </c>
    </row>
    <row r="302" spans="1:9" x14ac:dyDescent="0.3">
      <c r="A302" t="s">
        <v>839</v>
      </c>
      <c r="B302" t="s">
        <v>57</v>
      </c>
      <c r="C302" t="s">
        <v>37</v>
      </c>
      <c r="D302" t="s">
        <v>2284</v>
      </c>
      <c r="E302" t="s">
        <v>2287</v>
      </c>
      <c r="F302">
        <v>2023</v>
      </c>
      <c r="G302" t="s">
        <v>2279</v>
      </c>
      <c r="H302">
        <v>500</v>
      </c>
      <c r="I302">
        <v>235</v>
      </c>
    </row>
    <row r="303" spans="1:9" x14ac:dyDescent="0.3">
      <c r="A303" t="s">
        <v>2291</v>
      </c>
      <c r="B303" t="s">
        <v>98</v>
      </c>
      <c r="C303" t="s">
        <v>19</v>
      </c>
      <c r="D303" t="s">
        <v>2284</v>
      </c>
      <c r="E303" t="s">
        <v>2278</v>
      </c>
      <c r="F303">
        <v>2024</v>
      </c>
      <c r="G303" t="s">
        <v>2289</v>
      </c>
      <c r="I303">
        <v>63</v>
      </c>
    </row>
    <row r="304" spans="1:9" x14ac:dyDescent="0.3">
      <c r="A304" t="s">
        <v>2292</v>
      </c>
      <c r="B304" t="s">
        <v>28</v>
      </c>
      <c r="C304" t="s">
        <v>2276</v>
      </c>
      <c r="D304" t="s">
        <v>2277</v>
      </c>
      <c r="E304" t="s">
        <v>2282</v>
      </c>
      <c r="F304">
        <v>2024</v>
      </c>
      <c r="G304" t="s">
        <v>2289</v>
      </c>
      <c r="H304">
        <v>500</v>
      </c>
      <c r="I304">
        <v>133</v>
      </c>
    </row>
    <row r="305" spans="1:9" x14ac:dyDescent="0.3">
      <c r="A305" t="s">
        <v>2293</v>
      </c>
      <c r="B305" t="s">
        <v>57</v>
      </c>
      <c r="C305" t="s">
        <v>2280</v>
      </c>
      <c r="D305" t="s">
        <v>2277</v>
      </c>
      <c r="E305" t="s">
        <v>2282</v>
      </c>
      <c r="F305">
        <v>2021</v>
      </c>
      <c r="G305" t="s">
        <v>2279</v>
      </c>
      <c r="H305">
        <v>500</v>
      </c>
      <c r="I305">
        <v>120</v>
      </c>
    </row>
    <row r="306" spans="1:9" x14ac:dyDescent="0.3">
      <c r="A306" t="s">
        <v>2294</v>
      </c>
      <c r="B306" t="s">
        <v>98</v>
      </c>
      <c r="C306" t="s">
        <v>2280</v>
      </c>
      <c r="D306" t="s">
        <v>2286</v>
      </c>
      <c r="E306" t="s">
        <v>2287</v>
      </c>
      <c r="F306">
        <v>2022</v>
      </c>
      <c r="G306" t="s">
        <v>2279</v>
      </c>
      <c r="H306">
        <v>1500</v>
      </c>
      <c r="I306">
        <v>199</v>
      </c>
    </row>
    <row r="307" spans="1:9" x14ac:dyDescent="0.3">
      <c r="A307" t="s">
        <v>2295</v>
      </c>
      <c r="B307" t="s">
        <v>57</v>
      </c>
      <c r="C307" t="s">
        <v>2288</v>
      </c>
      <c r="D307" t="s">
        <v>29</v>
      </c>
      <c r="E307" t="s">
        <v>2282</v>
      </c>
      <c r="F307">
        <v>2021</v>
      </c>
      <c r="G307" t="s">
        <v>2283</v>
      </c>
      <c r="I307">
        <v>204</v>
      </c>
    </row>
    <row r="308" spans="1:9" x14ac:dyDescent="0.3">
      <c r="A308" t="s">
        <v>2296</v>
      </c>
      <c r="B308" t="s">
        <v>64</v>
      </c>
      <c r="C308" t="s">
        <v>2280</v>
      </c>
      <c r="D308" t="s">
        <v>2286</v>
      </c>
      <c r="E308" t="s">
        <v>2282</v>
      </c>
      <c r="F308">
        <v>2022</v>
      </c>
      <c r="G308" t="s">
        <v>2285</v>
      </c>
      <c r="H308">
        <v>1500</v>
      </c>
      <c r="I308">
        <v>157</v>
      </c>
    </row>
    <row r="309" spans="1:9" x14ac:dyDescent="0.3">
      <c r="A309" t="s">
        <v>2297</v>
      </c>
      <c r="B309" t="s">
        <v>64</v>
      </c>
      <c r="C309" t="s">
        <v>19</v>
      </c>
      <c r="D309" t="s">
        <v>29</v>
      </c>
      <c r="E309" t="s">
        <v>2278</v>
      </c>
      <c r="F309">
        <v>2024</v>
      </c>
      <c r="G309" t="s">
        <v>2279</v>
      </c>
      <c r="H309">
        <v>500</v>
      </c>
      <c r="I309">
        <v>37</v>
      </c>
    </row>
    <row r="310" spans="1:9" x14ac:dyDescent="0.3">
      <c r="A310" t="s">
        <v>2298</v>
      </c>
      <c r="B310" t="s">
        <v>64</v>
      </c>
      <c r="C310" t="s">
        <v>2276</v>
      </c>
      <c r="D310" t="s">
        <v>2284</v>
      </c>
      <c r="E310" t="s">
        <v>2282</v>
      </c>
      <c r="F310">
        <v>2024</v>
      </c>
      <c r="G310" t="s">
        <v>2279</v>
      </c>
      <c r="H310">
        <v>900</v>
      </c>
      <c r="I310">
        <v>227</v>
      </c>
    </row>
    <row r="311" spans="1:9" x14ac:dyDescent="0.3">
      <c r="A311" t="s">
        <v>2299</v>
      </c>
      <c r="B311" t="s">
        <v>28</v>
      </c>
      <c r="C311" t="s">
        <v>37</v>
      </c>
      <c r="D311" t="s">
        <v>2281</v>
      </c>
      <c r="E311" t="s">
        <v>2282</v>
      </c>
      <c r="F311">
        <v>2023</v>
      </c>
      <c r="G311" t="s">
        <v>2285</v>
      </c>
      <c r="H311">
        <v>1500</v>
      </c>
      <c r="I311">
        <v>221</v>
      </c>
    </row>
    <row r="312" spans="1:9" x14ac:dyDescent="0.3">
      <c r="A312" t="s">
        <v>2300</v>
      </c>
      <c r="B312" t="s">
        <v>73</v>
      </c>
      <c r="C312" t="s">
        <v>2288</v>
      </c>
      <c r="D312" t="s">
        <v>29</v>
      </c>
      <c r="E312" t="s">
        <v>2278</v>
      </c>
      <c r="F312">
        <v>2024</v>
      </c>
      <c r="G312" t="s">
        <v>2285</v>
      </c>
      <c r="I312">
        <v>89</v>
      </c>
    </row>
    <row r="313" spans="1:9" x14ac:dyDescent="0.3">
      <c r="A313" t="s">
        <v>2301</v>
      </c>
      <c r="B313" t="s">
        <v>73</v>
      </c>
      <c r="C313" t="s">
        <v>19</v>
      </c>
      <c r="D313" t="s">
        <v>2277</v>
      </c>
      <c r="E313" t="s">
        <v>2282</v>
      </c>
      <c r="F313">
        <v>2021</v>
      </c>
      <c r="G313" t="s">
        <v>2279</v>
      </c>
      <c r="H313">
        <v>900</v>
      </c>
      <c r="I313">
        <v>215</v>
      </c>
    </row>
    <row r="314" spans="1:9" x14ac:dyDescent="0.3">
      <c r="A314" t="s">
        <v>2302</v>
      </c>
      <c r="B314" t="s">
        <v>73</v>
      </c>
      <c r="C314" t="s">
        <v>2276</v>
      </c>
      <c r="D314" t="s">
        <v>2281</v>
      </c>
      <c r="E314" t="s">
        <v>2282</v>
      </c>
      <c r="F314">
        <v>2021</v>
      </c>
      <c r="G314" t="s">
        <v>2283</v>
      </c>
      <c r="H314">
        <v>500</v>
      </c>
      <c r="I314">
        <v>52</v>
      </c>
    </row>
    <row r="315" spans="1:9" x14ac:dyDescent="0.3">
      <c r="A315" t="s">
        <v>2303</v>
      </c>
      <c r="B315" t="s">
        <v>28</v>
      </c>
      <c r="C315" t="s">
        <v>2288</v>
      </c>
      <c r="D315" t="s">
        <v>2281</v>
      </c>
      <c r="E315" t="s">
        <v>2278</v>
      </c>
      <c r="F315">
        <v>2021</v>
      </c>
      <c r="G315" t="s">
        <v>2289</v>
      </c>
      <c r="I315">
        <v>95</v>
      </c>
    </row>
    <row r="316" spans="1:9" x14ac:dyDescent="0.3">
      <c r="A316" t="s">
        <v>2304</v>
      </c>
      <c r="B316" t="s">
        <v>64</v>
      </c>
      <c r="C316" t="s">
        <v>2276</v>
      </c>
      <c r="D316" t="s">
        <v>2286</v>
      </c>
      <c r="E316" t="s">
        <v>2278</v>
      </c>
      <c r="F316">
        <v>2023</v>
      </c>
      <c r="G316" t="s">
        <v>2279</v>
      </c>
      <c r="H316">
        <v>1500</v>
      </c>
      <c r="I316">
        <v>89</v>
      </c>
    </row>
    <row r="317" spans="1:9" x14ac:dyDescent="0.3">
      <c r="A317" t="s">
        <v>2305</v>
      </c>
      <c r="B317" t="s">
        <v>64</v>
      </c>
      <c r="C317" t="s">
        <v>19</v>
      </c>
      <c r="D317" t="s">
        <v>2284</v>
      </c>
      <c r="E317" t="s">
        <v>2287</v>
      </c>
      <c r="F317">
        <v>2021</v>
      </c>
      <c r="G317" t="s">
        <v>2279</v>
      </c>
      <c r="H317">
        <v>1200</v>
      </c>
      <c r="I317">
        <v>126</v>
      </c>
    </row>
    <row r="318" spans="1:9" x14ac:dyDescent="0.3">
      <c r="A318" t="s">
        <v>2306</v>
      </c>
      <c r="B318" t="s">
        <v>28</v>
      </c>
      <c r="C318" t="s">
        <v>19</v>
      </c>
      <c r="D318" t="s">
        <v>29</v>
      </c>
      <c r="E318" t="s">
        <v>2278</v>
      </c>
      <c r="F318">
        <v>2023</v>
      </c>
      <c r="G318" t="s">
        <v>2289</v>
      </c>
      <c r="H318">
        <v>1500</v>
      </c>
      <c r="I318">
        <v>113</v>
      </c>
    </row>
    <row r="319" spans="1:9" x14ac:dyDescent="0.3">
      <c r="A319" t="s">
        <v>2307</v>
      </c>
      <c r="B319" t="s">
        <v>64</v>
      </c>
      <c r="C319" t="s">
        <v>37</v>
      </c>
      <c r="D319" t="s">
        <v>2281</v>
      </c>
      <c r="E319" t="s">
        <v>2278</v>
      </c>
      <c r="F319">
        <v>2023</v>
      </c>
      <c r="G319" t="s">
        <v>2289</v>
      </c>
      <c r="H319">
        <v>500</v>
      </c>
      <c r="I319">
        <v>137</v>
      </c>
    </row>
    <row r="320" spans="1:9" x14ac:dyDescent="0.3">
      <c r="A320" t="s">
        <v>2308</v>
      </c>
      <c r="B320" t="s">
        <v>98</v>
      </c>
      <c r="C320" t="s">
        <v>37</v>
      </c>
      <c r="D320" t="s">
        <v>2281</v>
      </c>
      <c r="E320" t="s">
        <v>2278</v>
      </c>
      <c r="F320">
        <v>2023</v>
      </c>
      <c r="G320" t="s">
        <v>2285</v>
      </c>
      <c r="I320">
        <v>104</v>
      </c>
    </row>
    <row r="321" spans="1:9" x14ac:dyDescent="0.3">
      <c r="A321" t="s">
        <v>2309</v>
      </c>
      <c r="B321" t="s">
        <v>28</v>
      </c>
      <c r="C321" t="s">
        <v>37</v>
      </c>
      <c r="D321" t="s">
        <v>2281</v>
      </c>
      <c r="E321" t="s">
        <v>2278</v>
      </c>
      <c r="F321">
        <v>2022</v>
      </c>
      <c r="G321" t="s">
        <v>2279</v>
      </c>
      <c r="H321">
        <v>900</v>
      </c>
      <c r="I321">
        <v>194</v>
      </c>
    </row>
    <row r="322" spans="1:9" x14ac:dyDescent="0.3">
      <c r="A322" t="s">
        <v>2310</v>
      </c>
      <c r="B322" t="s">
        <v>64</v>
      </c>
      <c r="C322" t="s">
        <v>2280</v>
      </c>
      <c r="D322" t="s">
        <v>2277</v>
      </c>
      <c r="E322" t="s">
        <v>2287</v>
      </c>
      <c r="F322">
        <v>2023</v>
      </c>
      <c r="G322" t="s">
        <v>2289</v>
      </c>
      <c r="H322">
        <v>900</v>
      </c>
      <c r="I322">
        <v>269</v>
      </c>
    </row>
    <row r="323" spans="1:9" x14ac:dyDescent="0.3">
      <c r="A323" t="s">
        <v>2311</v>
      </c>
      <c r="B323" t="s">
        <v>28</v>
      </c>
      <c r="C323" t="s">
        <v>2288</v>
      </c>
      <c r="D323" t="s">
        <v>2277</v>
      </c>
      <c r="E323" t="s">
        <v>2278</v>
      </c>
      <c r="F323">
        <v>2021</v>
      </c>
      <c r="G323" t="s">
        <v>2289</v>
      </c>
      <c r="I323">
        <v>181</v>
      </c>
    </row>
    <row r="324" spans="1:9" x14ac:dyDescent="0.3">
      <c r="A324" t="s">
        <v>2312</v>
      </c>
      <c r="B324" t="s">
        <v>98</v>
      </c>
      <c r="C324" t="s">
        <v>19</v>
      </c>
      <c r="D324" t="s">
        <v>2284</v>
      </c>
      <c r="E324" t="s">
        <v>2282</v>
      </c>
      <c r="F324">
        <v>2022</v>
      </c>
      <c r="I324">
        <v>122</v>
      </c>
    </row>
    <row r="325" spans="1:9" x14ac:dyDescent="0.3">
      <c r="A325" t="s">
        <v>2313</v>
      </c>
      <c r="B325" t="s">
        <v>98</v>
      </c>
      <c r="C325" t="s">
        <v>2288</v>
      </c>
      <c r="D325" t="s">
        <v>29</v>
      </c>
      <c r="E325" t="s">
        <v>2282</v>
      </c>
      <c r="F325">
        <v>2021</v>
      </c>
      <c r="G325" t="s">
        <v>2283</v>
      </c>
      <c r="H325">
        <v>1500</v>
      </c>
      <c r="I325">
        <v>68</v>
      </c>
    </row>
    <row r="326" spans="1:9" x14ac:dyDescent="0.3">
      <c r="A326" t="s">
        <v>2314</v>
      </c>
      <c r="B326" t="s">
        <v>73</v>
      </c>
      <c r="C326" t="s">
        <v>2276</v>
      </c>
      <c r="D326" t="s">
        <v>29</v>
      </c>
      <c r="E326" t="s">
        <v>2278</v>
      </c>
      <c r="F326">
        <v>2022</v>
      </c>
      <c r="H326">
        <v>900</v>
      </c>
      <c r="I326">
        <v>49</v>
      </c>
    </row>
    <row r="327" spans="1:9" x14ac:dyDescent="0.3">
      <c r="A327" t="s">
        <v>2315</v>
      </c>
      <c r="B327" t="s">
        <v>64</v>
      </c>
      <c r="C327" t="s">
        <v>2288</v>
      </c>
      <c r="D327" t="s">
        <v>2277</v>
      </c>
      <c r="E327" t="s">
        <v>2282</v>
      </c>
      <c r="F327">
        <v>2023</v>
      </c>
      <c r="G327" t="s">
        <v>2283</v>
      </c>
      <c r="H327">
        <v>700</v>
      </c>
      <c r="I327">
        <v>230</v>
      </c>
    </row>
    <row r="328" spans="1:9" x14ac:dyDescent="0.3">
      <c r="A328" t="s">
        <v>2316</v>
      </c>
      <c r="B328" t="s">
        <v>73</v>
      </c>
      <c r="C328" t="s">
        <v>2288</v>
      </c>
      <c r="D328" t="s">
        <v>29</v>
      </c>
      <c r="E328" t="s">
        <v>2287</v>
      </c>
      <c r="F328">
        <v>2021</v>
      </c>
      <c r="H328">
        <v>1200</v>
      </c>
      <c r="I328">
        <v>156</v>
      </c>
    </row>
    <row r="329" spans="1:9" x14ac:dyDescent="0.3">
      <c r="A329" t="s">
        <v>2317</v>
      </c>
      <c r="B329" t="s">
        <v>64</v>
      </c>
      <c r="C329" t="s">
        <v>2280</v>
      </c>
      <c r="D329" t="s">
        <v>2284</v>
      </c>
      <c r="E329" t="s">
        <v>2278</v>
      </c>
      <c r="F329">
        <v>2023</v>
      </c>
      <c r="G329" t="s">
        <v>2283</v>
      </c>
      <c r="H329">
        <v>700</v>
      </c>
      <c r="I329">
        <v>76</v>
      </c>
    </row>
    <row r="330" spans="1:9" x14ac:dyDescent="0.3">
      <c r="A330" t="s">
        <v>2318</v>
      </c>
      <c r="B330" t="s">
        <v>64</v>
      </c>
      <c r="C330" t="s">
        <v>2276</v>
      </c>
      <c r="D330" t="s">
        <v>2286</v>
      </c>
      <c r="E330" t="s">
        <v>2287</v>
      </c>
      <c r="F330">
        <v>2022</v>
      </c>
      <c r="G330" t="s">
        <v>2283</v>
      </c>
      <c r="I330">
        <v>176</v>
      </c>
    </row>
    <row r="331" spans="1:9" x14ac:dyDescent="0.3">
      <c r="A331" t="s">
        <v>2319</v>
      </c>
      <c r="B331" t="s">
        <v>57</v>
      </c>
      <c r="C331" t="s">
        <v>19</v>
      </c>
      <c r="D331" t="s">
        <v>2286</v>
      </c>
      <c r="E331" t="s">
        <v>2282</v>
      </c>
      <c r="F331">
        <v>2021</v>
      </c>
      <c r="G331" t="s">
        <v>2279</v>
      </c>
      <c r="I331">
        <v>59</v>
      </c>
    </row>
    <row r="332" spans="1:9" x14ac:dyDescent="0.3">
      <c r="A332" t="s">
        <v>2320</v>
      </c>
      <c r="B332" t="s">
        <v>64</v>
      </c>
      <c r="C332" t="s">
        <v>2280</v>
      </c>
      <c r="D332" t="s">
        <v>2281</v>
      </c>
      <c r="E332" t="s">
        <v>2278</v>
      </c>
      <c r="F332">
        <v>2023</v>
      </c>
      <c r="G332" t="s">
        <v>2283</v>
      </c>
      <c r="H332">
        <v>700</v>
      </c>
      <c r="I332">
        <v>165</v>
      </c>
    </row>
    <row r="333" spans="1:9" x14ac:dyDescent="0.3">
      <c r="A333" t="s">
        <v>2321</v>
      </c>
      <c r="B333" t="s">
        <v>73</v>
      </c>
      <c r="C333" t="s">
        <v>37</v>
      </c>
      <c r="D333" t="s">
        <v>2277</v>
      </c>
      <c r="E333" t="s">
        <v>2282</v>
      </c>
      <c r="F333">
        <v>2021</v>
      </c>
      <c r="G333" t="s">
        <v>2279</v>
      </c>
      <c r="I333">
        <v>145</v>
      </c>
    </row>
    <row r="334" spans="1:9" x14ac:dyDescent="0.3">
      <c r="A334" t="s">
        <v>2322</v>
      </c>
      <c r="B334" t="s">
        <v>73</v>
      </c>
      <c r="C334" t="s">
        <v>2280</v>
      </c>
      <c r="D334" t="s">
        <v>2281</v>
      </c>
      <c r="E334" t="s">
        <v>2278</v>
      </c>
      <c r="F334">
        <v>2024</v>
      </c>
      <c r="H334">
        <v>500</v>
      </c>
      <c r="I334">
        <v>82</v>
      </c>
    </row>
    <row r="335" spans="1:9" x14ac:dyDescent="0.3">
      <c r="A335" t="s">
        <v>2323</v>
      </c>
      <c r="B335" t="s">
        <v>73</v>
      </c>
      <c r="C335" t="s">
        <v>2280</v>
      </c>
      <c r="D335" t="s">
        <v>2281</v>
      </c>
      <c r="E335" t="s">
        <v>2282</v>
      </c>
      <c r="F335">
        <v>2024</v>
      </c>
      <c r="G335" t="s">
        <v>2285</v>
      </c>
      <c r="H335">
        <v>900</v>
      </c>
      <c r="I335">
        <v>90</v>
      </c>
    </row>
    <row r="336" spans="1:9" x14ac:dyDescent="0.3">
      <c r="A336" t="s">
        <v>2324</v>
      </c>
      <c r="B336" t="s">
        <v>73</v>
      </c>
      <c r="C336" t="s">
        <v>2288</v>
      </c>
      <c r="D336" t="s">
        <v>2277</v>
      </c>
      <c r="E336" t="s">
        <v>2278</v>
      </c>
      <c r="F336">
        <v>2021</v>
      </c>
      <c r="G336" t="s">
        <v>2289</v>
      </c>
      <c r="H336">
        <v>700</v>
      </c>
      <c r="I336">
        <v>232</v>
      </c>
    </row>
    <row r="337" spans="1:9" x14ac:dyDescent="0.3">
      <c r="A337" t="s">
        <v>2325</v>
      </c>
      <c r="B337" t="s">
        <v>28</v>
      </c>
      <c r="C337" t="s">
        <v>2280</v>
      </c>
      <c r="D337" t="s">
        <v>29</v>
      </c>
      <c r="E337" t="s">
        <v>2282</v>
      </c>
      <c r="F337">
        <v>2023</v>
      </c>
      <c r="G337" t="s">
        <v>2289</v>
      </c>
      <c r="I337">
        <v>193</v>
      </c>
    </row>
    <row r="338" spans="1:9" x14ac:dyDescent="0.3">
      <c r="A338" t="s">
        <v>2326</v>
      </c>
      <c r="B338" t="s">
        <v>57</v>
      </c>
      <c r="C338" t="s">
        <v>37</v>
      </c>
      <c r="D338" t="s">
        <v>29</v>
      </c>
      <c r="E338" t="s">
        <v>2278</v>
      </c>
      <c r="F338">
        <v>2022</v>
      </c>
      <c r="G338" t="s">
        <v>2279</v>
      </c>
      <c r="I338">
        <v>122</v>
      </c>
    </row>
    <row r="339" spans="1:9" x14ac:dyDescent="0.3">
      <c r="A339" t="s">
        <v>2327</v>
      </c>
      <c r="B339" t="s">
        <v>57</v>
      </c>
      <c r="C339" t="s">
        <v>37</v>
      </c>
      <c r="D339" t="s">
        <v>2286</v>
      </c>
      <c r="E339" t="s">
        <v>2287</v>
      </c>
      <c r="F339">
        <v>2024</v>
      </c>
      <c r="G339" t="s">
        <v>2285</v>
      </c>
      <c r="H339">
        <v>1500</v>
      </c>
      <c r="I339">
        <v>256</v>
      </c>
    </row>
    <row r="340" spans="1:9" x14ac:dyDescent="0.3">
      <c r="A340" t="s">
        <v>2328</v>
      </c>
      <c r="B340" t="s">
        <v>98</v>
      </c>
      <c r="C340" t="s">
        <v>19</v>
      </c>
      <c r="D340" t="s">
        <v>2286</v>
      </c>
      <c r="E340" t="s">
        <v>2287</v>
      </c>
      <c r="F340">
        <v>2022</v>
      </c>
      <c r="G340" t="s">
        <v>2285</v>
      </c>
      <c r="H340">
        <v>900</v>
      </c>
      <c r="I340">
        <v>26</v>
      </c>
    </row>
    <row r="341" spans="1:9" x14ac:dyDescent="0.3">
      <c r="A341" t="s">
        <v>2329</v>
      </c>
      <c r="B341" t="s">
        <v>64</v>
      </c>
      <c r="C341" t="s">
        <v>2280</v>
      </c>
      <c r="D341" t="s">
        <v>2277</v>
      </c>
      <c r="E341" t="s">
        <v>2278</v>
      </c>
      <c r="F341">
        <v>2021</v>
      </c>
      <c r="G341" t="s">
        <v>2285</v>
      </c>
      <c r="H341">
        <v>1200</v>
      </c>
      <c r="I341">
        <v>160</v>
      </c>
    </row>
    <row r="342" spans="1:9" x14ac:dyDescent="0.3">
      <c r="A342" t="s">
        <v>2330</v>
      </c>
      <c r="B342" t="s">
        <v>57</v>
      </c>
      <c r="C342" t="s">
        <v>2276</v>
      </c>
      <c r="D342" t="s">
        <v>2281</v>
      </c>
      <c r="E342" t="s">
        <v>2287</v>
      </c>
      <c r="F342">
        <v>2022</v>
      </c>
      <c r="G342" t="s">
        <v>2279</v>
      </c>
      <c r="H342">
        <v>1200</v>
      </c>
      <c r="I342">
        <v>298</v>
      </c>
    </row>
    <row r="343" spans="1:9" x14ac:dyDescent="0.3">
      <c r="A343" t="s">
        <v>2331</v>
      </c>
      <c r="B343" t="s">
        <v>64</v>
      </c>
      <c r="C343" t="s">
        <v>19</v>
      </c>
      <c r="D343" t="s">
        <v>2284</v>
      </c>
      <c r="E343" t="s">
        <v>2287</v>
      </c>
      <c r="F343">
        <v>2023</v>
      </c>
      <c r="G343" t="s">
        <v>2285</v>
      </c>
      <c r="H343">
        <v>1500</v>
      </c>
      <c r="I343">
        <v>52</v>
      </c>
    </row>
    <row r="344" spans="1:9" x14ac:dyDescent="0.3">
      <c r="A344" t="s">
        <v>2332</v>
      </c>
      <c r="B344" t="s">
        <v>98</v>
      </c>
      <c r="C344" t="s">
        <v>2280</v>
      </c>
      <c r="D344" t="s">
        <v>2284</v>
      </c>
      <c r="E344" t="s">
        <v>2278</v>
      </c>
      <c r="F344">
        <v>2023</v>
      </c>
      <c r="G344" t="s">
        <v>2279</v>
      </c>
      <c r="I344">
        <v>272</v>
      </c>
    </row>
    <row r="345" spans="1:9" x14ac:dyDescent="0.3">
      <c r="A345" t="s">
        <v>2333</v>
      </c>
      <c r="B345" t="s">
        <v>28</v>
      </c>
      <c r="C345" t="s">
        <v>2276</v>
      </c>
      <c r="D345" t="s">
        <v>2281</v>
      </c>
      <c r="E345" t="s">
        <v>2287</v>
      </c>
      <c r="F345">
        <v>2022</v>
      </c>
      <c r="G345" t="s">
        <v>2285</v>
      </c>
      <c r="H345">
        <v>700</v>
      </c>
      <c r="I345">
        <v>274</v>
      </c>
    </row>
    <row r="346" spans="1:9" x14ac:dyDescent="0.3">
      <c r="A346" t="s">
        <v>2334</v>
      </c>
      <c r="B346" t="s">
        <v>64</v>
      </c>
      <c r="C346" t="s">
        <v>37</v>
      </c>
      <c r="D346" t="s">
        <v>2277</v>
      </c>
      <c r="E346" t="s">
        <v>2282</v>
      </c>
      <c r="F346">
        <v>2024</v>
      </c>
      <c r="G346" t="s">
        <v>2285</v>
      </c>
      <c r="H346">
        <v>500</v>
      </c>
      <c r="I346">
        <v>48</v>
      </c>
    </row>
    <row r="347" spans="1:9" x14ac:dyDescent="0.3">
      <c r="A347" t="s">
        <v>2335</v>
      </c>
      <c r="B347" t="s">
        <v>57</v>
      </c>
      <c r="C347" t="s">
        <v>2276</v>
      </c>
      <c r="D347" t="s">
        <v>2281</v>
      </c>
      <c r="E347" t="s">
        <v>2287</v>
      </c>
      <c r="F347">
        <v>2023</v>
      </c>
      <c r="G347" t="s">
        <v>2279</v>
      </c>
      <c r="H347">
        <v>700</v>
      </c>
      <c r="I347">
        <v>183</v>
      </c>
    </row>
    <row r="348" spans="1:9" x14ac:dyDescent="0.3">
      <c r="A348" t="s">
        <v>2336</v>
      </c>
      <c r="B348" t="s">
        <v>73</v>
      </c>
      <c r="C348" t="s">
        <v>2288</v>
      </c>
      <c r="D348" t="s">
        <v>2286</v>
      </c>
      <c r="E348" t="s">
        <v>2287</v>
      </c>
      <c r="F348">
        <v>2021</v>
      </c>
      <c r="G348" t="s">
        <v>2283</v>
      </c>
      <c r="H348">
        <v>1200</v>
      </c>
      <c r="I348">
        <v>225</v>
      </c>
    </row>
    <row r="349" spans="1:9" x14ac:dyDescent="0.3">
      <c r="A349" t="s">
        <v>2337</v>
      </c>
      <c r="B349" t="s">
        <v>98</v>
      </c>
      <c r="C349" t="s">
        <v>2280</v>
      </c>
      <c r="D349" t="s">
        <v>2281</v>
      </c>
      <c r="E349" t="s">
        <v>2282</v>
      </c>
      <c r="F349">
        <v>2022</v>
      </c>
      <c r="G349" t="s">
        <v>2289</v>
      </c>
      <c r="H349">
        <v>1200</v>
      </c>
      <c r="I349">
        <v>126</v>
      </c>
    </row>
    <row r="350" spans="1:9" x14ac:dyDescent="0.3">
      <c r="A350" t="s">
        <v>2338</v>
      </c>
      <c r="B350" t="s">
        <v>64</v>
      </c>
      <c r="C350" t="s">
        <v>2288</v>
      </c>
      <c r="D350" t="s">
        <v>2277</v>
      </c>
      <c r="E350" t="s">
        <v>2287</v>
      </c>
      <c r="F350">
        <v>2022</v>
      </c>
      <c r="G350" t="s">
        <v>2285</v>
      </c>
      <c r="H350">
        <v>700</v>
      </c>
      <c r="I350">
        <v>78</v>
      </c>
    </row>
    <row r="351" spans="1:9" x14ac:dyDescent="0.3">
      <c r="A351" t="s">
        <v>2339</v>
      </c>
      <c r="B351" t="s">
        <v>64</v>
      </c>
      <c r="C351" t="s">
        <v>2276</v>
      </c>
      <c r="D351" t="s">
        <v>2281</v>
      </c>
      <c r="E351" t="s">
        <v>2282</v>
      </c>
      <c r="F351">
        <v>2021</v>
      </c>
      <c r="G351" t="s">
        <v>2279</v>
      </c>
      <c r="I351">
        <v>166</v>
      </c>
    </row>
    <row r="352" spans="1:9" x14ac:dyDescent="0.3">
      <c r="A352" t="s">
        <v>2340</v>
      </c>
      <c r="B352" t="s">
        <v>57</v>
      </c>
      <c r="C352" t="s">
        <v>37</v>
      </c>
      <c r="D352" t="s">
        <v>29</v>
      </c>
      <c r="E352" t="s">
        <v>2287</v>
      </c>
      <c r="F352">
        <v>2024</v>
      </c>
      <c r="H352">
        <v>1500</v>
      </c>
      <c r="I352">
        <v>264</v>
      </c>
    </row>
    <row r="353" spans="1:9" x14ac:dyDescent="0.3">
      <c r="A353" t="s">
        <v>2341</v>
      </c>
      <c r="B353" t="s">
        <v>57</v>
      </c>
      <c r="C353" t="s">
        <v>19</v>
      </c>
      <c r="D353" t="s">
        <v>29</v>
      </c>
      <c r="E353" t="s">
        <v>2278</v>
      </c>
      <c r="F353">
        <v>2021</v>
      </c>
      <c r="G353" t="s">
        <v>2285</v>
      </c>
      <c r="H353">
        <v>1500</v>
      </c>
      <c r="I353">
        <v>173</v>
      </c>
    </row>
    <row r="354" spans="1:9" x14ac:dyDescent="0.3">
      <c r="A354" t="s">
        <v>2342</v>
      </c>
      <c r="B354" t="s">
        <v>98</v>
      </c>
      <c r="C354" t="s">
        <v>19</v>
      </c>
      <c r="D354" t="s">
        <v>2284</v>
      </c>
      <c r="E354" t="s">
        <v>2278</v>
      </c>
      <c r="F354">
        <v>2022</v>
      </c>
      <c r="G354" t="s">
        <v>2285</v>
      </c>
      <c r="H354">
        <v>900</v>
      </c>
      <c r="I354">
        <v>297</v>
      </c>
    </row>
    <row r="355" spans="1:9" x14ac:dyDescent="0.3">
      <c r="A355" t="s">
        <v>2343</v>
      </c>
      <c r="B355" t="s">
        <v>98</v>
      </c>
      <c r="C355" t="s">
        <v>2280</v>
      </c>
      <c r="D355" t="s">
        <v>2284</v>
      </c>
      <c r="E355" t="s">
        <v>2287</v>
      </c>
      <c r="F355">
        <v>2022</v>
      </c>
      <c r="G355" t="s">
        <v>2283</v>
      </c>
      <c r="H355">
        <v>900</v>
      </c>
      <c r="I355">
        <v>95</v>
      </c>
    </row>
    <row r="356" spans="1:9" x14ac:dyDescent="0.3">
      <c r="A356" t="s">
        <v>2344</v>
      </c>
      <c r="B356" t="s">
        <v>57</v>
      </c>
      <c r="C356" t="s">
        <v>2276</v>
      </c>
      <c r="D356" t="s">
        <v>2284</v>
      </c>
      <c r="E356" t="s">
        <v>2282</v>
      </c>
      <c r="F356">
        <v>2022</v>
      </c>
      <c r="G356" t="s">
        <v>2285</v>
      </c>
      <c r="H356">
        <v>500</v>
      </c>
      <c r="I356">
        <v>147</v>
      </c>
    </row>
    <row r="357" spans="1:9" x14ac:dyDescent="0.3">
      <c r="A357" t="s">
        <v>2345</v>
      </c>
      <c r="B357" t="s">
        <v>64</v>
      </c>
      <c r="C357" t="s">
        <v>2276</v>
      </c>
      <c r="D357" t="s">
        <v>29</v>
      </c>
      <c r="E357" t="s">
        <v>2282</v>
      </c>
      <c r="F357">
        <v>2024</v>
      </c>
      <c r="G357" t="s">
        <v>2285</v>
      </c>
      <c r="H357">
        <v>1200</v>
      </c>
      <c r="I357">
        <v>64</v>
      </c>
    </row>
    <row r="358" spans="1:9" x14ac:dyDescent="0.3">
      <c r="A358" t="s">
        <v>2346</v>
      </c>
      <c r="B358" t="s">
        <v>98</v>
      </c>
      <c r="C358" t="s">
        <v>2276</v>
      </c>
      <c r="D358" t="s">
        <v>2281</v>
      </c>
      <c r="E358" t="s">
        <v>2278</v>
      </c>
      <c r="F358">
        <v>2024</v>
      </c>
      <c r="H358">
        <v>1200</v>
      </c>
      <c r="I358">
        <v>239</v>
      </c>
    </row>
    <row r="359" spans="1:9" x14ac:dyDescent="0.3">
      <c r="A359" t="s">
        <v>2347</v>
      </c>
      <c r="B359" t="s">
        <v>28</v>
      </c>
      <c r="C359" t="s">
        <v>37</v>
      </c>
      <c r="D359" t="s">
        <v>2286</v>
      </c>
      <c r="E359" t="s">
        <v>2282</v>
      </c>
      <c r="F359">
        <v>2023</v>
      </c>
      <c r="G359" t="s">
        <v>2279</v>
      </c>
      <c r="H359">
        <v>1500</v>
      </c>
      <c r="I359">
        <v>211</v>
      </c>
    </row>
    <row r="360" spans="1:9" x14ac:dyDescent="0.3">
      <c r="A360" t="s">
        <v>2348</v>
      </c>
      <c r="B360" t="s">
        <v>73</v>
      </c>
      <c r="C360" t="s">
        <v>37</v>
      </c>
      <c r="D360" t="s">
        <v>2281</v>
      </c>
      <c r="E360" t="s">
        <v>2282</v>
      </c>
      <c r="F360">
        <v>2021</v>
      </c>
      <c r="G360" t="s">
        <v>2279</v>
      </c>
      <c r="H360">
        <v>900</v>
      </c>
      <c r="I360">
        <v>130</v>
      </c>
    </row>
    <row r="361" spans="1:9" x14ac:dyDescent="0.3">
      <c r="A361" t="s">
        <v>2349</v>
      </c>
      <c r="B361" t="s">
        <v>64</v>
      </c>
      <c r="C361" t="s">
        <v>2288</v>
      </c>
      <c r="D361" t="s">
        <v>2284</v>
      </c>
      <c r="E361" t="s">
        <v>2287</v>
      </c>
      <c r="F361">
        <v>2021</v>
      </c>
      <c r="G361" t="s">
        <v>2279</v>
      </c>
      <c r="H361">
        <v>900</v>
      </c>
      <c r="I361">
        <v>245</v>
      </c>
    </row>
    <row r="362" spans="1:9" x14ac:dyDescent="0.3">
      <c r="A362" t="s">
        <v>2350</v>
      </c>
      <c r="B362" t="s">
        <v>64</v>
      </c>
      <c r="C362" t="s">
        <v>19</v>
      </c>
      <c r="D362" t="s">
        <v>2277</v>
      </c>
      <c r="E362" t="s">
        <v>2278</v>
      </c>
      <c r="F362">
        <v>2021</v>
      </c>
      <c r="G362" t="s">
        <v>2283</v>
      </c>
      <c r="H362">
        <v>500</v>
      </c>
      <c r="I362">
        <v>230</v>
      </c>
    </row>
    <row r="363" spans="1:9" x14ac:dyDescent="0.3">
      <c r="A363" t="s">
        <v>2351</v>
      </c>
      <c r="B363" t="s">
        <v>73</v>
      </c>
      <c r="C363" t="s">
        <v>37</v>
      </c>
      <c r="D363" t="s">
        <v>2286</v>
      </c>
      <c r="E363" t="s">
        <v>2278</v>
      </c>
      <c r="F363">
        <v>2024</v>
      </c>
      <c r="G363" t="s">
        <v>2285</v>
      </c>
      <c r="H363">
        <v>500</v>
      </c>
      <c r="I363">
        <v>279</v>
      </c>
    </row>
    <row r="364" spans="1:9" x14ac:dyDescent="0.3">
      <c r="A364" t="s">
        <v>2352</v>
      </c>
      <c r="B364" t="s">
        <v>73</v>
      </c>
      <c r="C364" t="s">
        <v>2280</v>
      </c>
      <c r="D364" t="s">
        <v>2284</v>
      </c>
      <c r="E364" t="s">
        <v>2278</v>
      </c>
      <c r="F364">
        <v>2023</v>
      </c>
      <c r="H364">
        <v>900</v>
      </c>
      <c r="I364">
        <v>63</v>
      </c>
    </row>
    <row r="365" spans="1:9" x14ac:dyDescent="0.3">
      <c r="A365" t="s">
        <v>2353</v>
      </c>
      <c r="B365" t="s">
        <v>64</v>
      </c>
      <c r="C365" t="s">
        <v>2288</v>
      </c>
      <c r="D365" t="s">
        <v>2284</v>
      </c>
      <c r="E365" t="s">
        <v>2282</v>
      </c>
      <c r="F365">
        <v>2022</v>
      </c>
      <c r="G365" t="s">
        <v>2279</v>
      </c>
      <c r="H365">
        <v>700</v>
      </c>
      <c r="I365">
        <v>70</v>
      </c>
    </row>
    <row r="366" spans="1:9" x14ac:dyDescent="0.3">
      <c r="A366" t="s">
        <v>2354</v>
      </c>
      <c r="B366" t="s">
        <v>64</v>
      </c>
      <c r="C366" t="s">
        <v>2276</v>
      </c>
      <c r="D366" t="s">
        <v>2277</v>
      </c>
      <c r="E366" t="s">
        <v>2278</v>
      </c>
      <c r="F366">
        <v>2024</v>
      </c>
      <c r="H366">
        <v>500</v>
      </c>
      <c r="I366">
        <v>270</v>
      </c>
    </row>
    <row r="367" spans="1:9" x14ac:dyDescent="0.3">
      <c r="A367" t="s">
        <v>2355</v>
      </c>
      <c r="B367" t="s">
        <v>28</v>
      </c>
      <c r="C367" t="s">
        <v>2288</v>
      </c>
      <c r="D367" t="s">
        <v>2286</v>
      </c>
      <c r="E367" t="s">
        <v>2278</v>
      </c>
      <c r="F367">
        <v>2023</v>
      </c>
      <c r="G367" t="s">
        <v>2289</v>
      </c>
      <c r="H367">
        <v>1500</v>
      </c>
      <c r="I367">
        <v>161</v>
      </c>
    </row>
    <row r="368" spans="1:9" x14ac:dyDescent="0.3">
      <c r="A368" t="s">
        <v>2356</v>
      </c>
      <c r="B368" t="s">
        <v>57</v>
      </c>
      <c r="C368" t="s">
        <v>2276</v>
      </c>
      <c r="D368" t="s">
        <v>2281</v>
      </c>
      <c r="E368" t="s">
        <v>2278</v>
      </c>
      <c r="F368">
        <v>2024</v>
      </c>
      <c r="G368" t="s">
        <v>2279</v>
      </c>
      <c r="H368">
        <v>900</v>
      </c>
      <c r="I368">
        <v>26</v>
      </c>
    </row>
    <row r="369" spans="1:9" x14ac:dyDescent="0.3">
      <c r="A369" t="s">
        <v>2357</v>
      </c>
      <c r="B369" t="s">
        <v>28</v>
      </c>
      <c r="C369" t="s">
        <v>2288</v>
      </c>
      <c r="D369" t="s">
        <v>2277</v>
      </c>
      <c r="E369" t="s">
        <v>2282</v>
      </c>
      <c r="F369">
        <v>2023</v>
      </c>
      <c r="H369">
        <v>700</v>
      </c>
      <c r="I369">
        <v>177</v>
      </c>
    </row>
    <row r="370" spans="1:9" x14ac:dyDescent="0.3">
      <c r="A370" t="s">
        <v>2358</v>
      </c>
      <c r="B370" t="s">
        <v>57</v>
      </c>
      <c r="C370" t="s">
        <v>2288</v>
      </c>
      <c r="D370" t="s">
        <v>2281</v>
      </c>
      <c r="E370" t="s">
        <v>2282</v>
      </c>
      <c r="F370">
        <v>2024</v>
      </c>
      <c r="G370" t="s">
        <v>2285</v>
      </c>
      <c r="H370">
        <v>1200</v>
      </c>
      <c r="I370">
        <v>158</v>
      </c>
    </row>
    <row r="371" spans="1:9" x14ac:dyDescent="0.3">
      <c r="A371" t="s">
        <v>2359</v>
      </c>
      <c r="B371" t="s">
        <v>28</v>
      </c>
      <c r="C371" t="s">
        <v>19</v>
      </c>
      <c r="D371" t="s">
        <v>2277</v>
      </c>
      <c r="E371" t="s">
        <v>2278</v>
      </c>
      <c r="F371">
        <v>2022</v>
      </c>
      <c r="G371" t="s">
        <v>2289</v>
      </c>
      <c r="H371">
        <v>1500</v>
      </c>
      <c r="I371">
        <v>197</v>
      </c>
    </row>
    <row r="372" spans="1:9" x14ac:dyDescent="0.3">
      <c r="A372" t="s">
        <v>2360</v>
      </c>
      <c r="B372" t="s">
        <v>98</v>
      </c>
      <c r="C372" t="s">
        <v>19</v>
      </c>
      <c r="D372" t="s">
        <v>29</v>
      </c>
      <c r="E372" t="s">
        <v>2278</v>
      </c>
      <c r="F372">
        <v>2023</v>
      </c>
      <c r="I372">
        <v>71</v>
      </c>
    </row>
    <row r="373" spans="1:9" x14ac:dyDescent="0.3">
      <c r="A373" t="s">
        <v>2361</v>
      </c>
      <c r="B373" t="s">
        <v>64</v>
      </c>
      <c r="C373" t="s">
        <v>37</v>
      </c>
      <c r="D373" t="s">
        <v>29</v>
      </c>
      <c r="E373" t="s">
        <v>2278</v>
      </c>
      <c r="F373">
        <v>2021</v>
      </c>
      <c r="G373" t="s">
        <v>2289</v>
      </c>
      <c r="H373">
        <v>1200</v>
      </c>
      <c r="I373">
        <v>67</v>
      </c>
    </row>
    <row r="374" spans="1:9" x14ac:dyDescent="0.3">
      <c r="A374" t="s">
        <v>2362</v>
      </c>
      <c r="B374" t="s">
        <v>64</v>
      </c>
      <c r="C374" t="s">
        <v>2288</v>
      </c>
      <c r="D374" t="s">
        <v>2277</v>
      </c>
      <c r="E374" t="s">
        <v>2278</v>
      </c>
      <c r="F374">
        <v>2021</v>
      </c>
      <c r="G374" t="s">
        <v>2285</v>
      </c>
      <c r="I374">
        <v>172</v>
      </c>
    </row>
    <row r="375" spans="1:9" x14ac:dyDescent="0.3">
      <c r="A375" t="s">
        <v>2363</v>
      </c>
      <c r="B375" t="s">
        <v>73</v>
      </c>
      <c r="C375" t="s">
        <v>2280</v>
      </c>
      <c r="D375" t="s">
        <v>2277</v>
      </c>
      <c r="E375" t="s">
        <v>2278</v>
      </c>
      <c r="F375">
        <v>2023</v>
      </c>
      <c r="H375">
        <v>900</v>
      </c>
      <c r="I375">
        <v>75</v>
      </c>
    </row>
    <row r="376" spans="1:9" x14ac:dyDescent="0.3">
      <c r="A376" t="s">
        <v>2364</v>
      </c>
      <c r="B376" t="s">
        <v>28</v>
      </c>
      <c r="C376" t="s">
        <v>2276</v>
      </c>
      <c r="D376" t="s">
        <v>29</v>
      </c>
      <c r="E376" t="s">
        <v>2278</v>
      </c>
      <c r="F376">
        <v>2024</v>
      </c>
      <c r="G376" t="s">
        <v>2283</v>
      </c>
      <c r="H376">
        <v>700</v>
      </c>
      <c r="I376">
        <v>252</v>
      </c>
    </row>
    <row r="377" spans="1:9" x14ac:dyDescent="0.3">
      <c r="A377" t="s">
        <v>2365</v>
      </c>
      <c r="B377" t="s">
        <v>73</v>
      </c>
      <c r="C377" t="s">
        <v>2280</v>
      </c>
      <c r="D377" t="s">
        <v>2286</v>
      </c>
      <c r="E377" t="s">
        <v>2278</v>
      </c>
      <c r="F377">
        <v>2024</v>
      </c>
      <c r="I377">
        <v>292</v>
      </c>
    </row>
    <row r="378" spans="1:9" x14ac:dyDescent="0.3">
      <c r="A378" t="s">
        <v>2366</v>
      </c>
      <c r="B378" t="s">
        <v>64</v>
      </c>
      <c r="C378" t="s">
        <v>2276</v>
      </c>
      <c r="D378" t="s">
        <v>29</v>
      </c>
      <c r="E378" t="s">
        <v>2278</v>
      </c>
      <c r="F378">
        <v>2022</v>
      </c>
      <c r="G378" t="s">
        <v>2289</v>
      </c>
      <c r="H378">
        <v>700</v>
      </c>
      <c r="I378">
        <v>272</v>
      </c>
    </row>
    <row r="379" spans="1:9" x14ac:dyDescent="0.3">
      <c r="A379" t="s">
        <v>2367</v>
      </c>
      <c r="B379" t="s">
        <v>98</v>
      </c>
      <c r="C379" t="s">
        <v>19</v>
      </c>
      <c r="D379" t="s">
        <v>2277</v>
      </c>
      <c r="E379" t="s">
        <v>2287</v>
      </c>
      <c r="F379">
        <v>2022</v>
      </c>
      <c r="G379" t="s">
        <v>2285</v>
      </c>
      <c r="H379">
        <v>1500</v>
      </c>
      <c r="I379">
        <v>150</v>
      </c>
    </row>
    <row r="380" spans="1:9" x14ac:dyDescent="0.3">
      <c r="A380" t="s">
        <v>2368</v>
      </c>
      <c r="B380" t="s">
        <v>73</v>
      </c>
      <c r="C380" t="s">
        <v>37</v>
      </c>
      <c r="D380" t="s">
        <v>2277</v>
      </c>
      <c r="E380" t="s">
        <v>2287</v>
      </c>
      <c r="F380">
        <v>2023</v>
      </c>
      <c r="G380" t="s">
        <v>2289</v>
      </c>
      <c r="H380">
        <v>1500</v>
      </c>
      <c r="I380">
        <v>205</v>
      </c>
    </row>
    <row r="381" spans="1:9" x14ac:dyDescent="0.3">
      <c r="A381" t="s">
        <v>2369</v>
      </c>
      <c r="B381" t="s">
        <v>57</v>
      </c>
      <c r="C381" t="s">
        <v>19</v>
      </c>
      <c r="D381" t="s">
        <v>2284</v>
      </c>
      <c r="E381" t="s">
        <v>2287</v>
      </c>
      <c r="F381">
        <v>2021</v>
      </c>
      <c r="G381" t="s">
        <v>2283</v>
      </c>
      <c r="H381">
        <v>900</v>
      </c>
      <c r="I381">
        <v>155</v>
      </c>
    </row>
    <row r="382" spans="1:9" x14ac:dyDescent="0.3">
      <c r="A382" t="s">
        <v>2370</v>
      </c>
      <c r="B382" t="s">
        <v>64</v>
      </c>
      <c r="C382" t="s">
        <v>2276</v>
      </c>
      <c r="D382" t="s">
        <v>2281</v>
      </c>
      <c r="E382" t="s">
        <v>2278</v>
      </c>
      <c r="F382">
        <v>2023</v>
      </c>
      <c r="H382">
        <v>1200</v>
      </c>
      <c r="I382">
        <v>141</v>
      </c>
    </row>
    <row r="383" spans="1:9" x14ac:dyDescent="0.3">
      <c r="A383" t="s">
        <v>2371</v>
      </c>
      <c r="B383" t="s">
        <v>98</v>
      </c>
      <c r="C383" t="s">
        <v>37</v>
      </c>
      <c r="D383" t="s">
        <v>2281</v>
      </c>
      <c r="E383" t="s">
        <v>2282</v>
      </c>
      <c r="F383">
        <v>2023</v>
      </c>
      <c r="G383" t="s">
        <v>2289</v>
      </c>
      <c r="H383">
        <v>700</v>
      </c>
      <c r="I383">
        <v>158</v>
      </c>
    </row>
    <row r="384" spans="1:9" x14ac:dyDescent="0.3">
      <c r="A384" t="s">
        <v>2372</v>
      </c>
      <c r="B384" t="s">
        <v>98</v>
      </c>
      <c r="C384" t="s">
        <v>2288</v>
      </c>
      <c r="D384" t="s">
        <v>2281</v>
      </c>
      <c r="E384" t="s">
        <v>2282</v>
      </c>
      <c r="F384">
        <v>2024</v>
      </c>
      <c r="G384" t="s">
        <v>2279</v>
      </c>
      <c r="I384">
        <v>241</v>
      </c>
    </row>
    <row r="385" spans="1:9" x14ac:dyDescent="0.3">
      <c r="A385" t="s">
        <v>2373</v>
      </c>
      <c r="B385" t="s">
        <v>57</v>
      </c>
      <c r="C385" t="s">
        <v>37</v>
      </c>
      <c r="D385" t="s">
        <v>2277</v>
      </c>
      <c r="E385" t="s">
        <v>2278</v>
      </c>
      <c r="F385">
        <v>2023</v>
      </c>
      <c r="G385" t="s">
        <v>2285</v>
      </c>
      <c r="H385">
        <v>900</v>
      </c>
      <c r="I385">
        <v>269</v>
      </c>
    </row>
    <row r="386" spans="1:9" x14ac:dyDescent="0.3">
      <c r="A386" t="s">
        <v>2374</v>
      </c>
      <c r="B386" t="s">
        <v>28</v>
      </c>
      <c r="C386" t="s">
        <v>2276</v>
      </c>
      <c r="D386" t="s">
        <v>2277</v>
      </c>
      <c r="E386" t="s">
        <v>2287</v>
      </c>
      <c r="F386">
        <v>2022</v>
      </c>
      <c r="G386" t="s">
        <v>2285</v>
      </c>
      <c r="H386">
        <v>900</v>
      </c>
      <c r="I386">
        <v>252</v>
      </c>
    </row>
    <row r="387" spans="1:9" x14ac:dyDescent="0.3">
      <c r="A387" t="s">
        <v>2375</v>
      </c>
      <c r="B387" t="s">
        <v>64</v>
      </c>
      <c r="C387" t="s">
        <v>2280</v>
      </c>
      <c r="D387" t="s">
        <v>2281</v>
      </c>
      <c r="E387" t="s">
        <v>2282</v>
      </c>
      <c r="F387">
        <v>2022</v>
      </c>
      <c r="H387">
        <v>900</v>
      </c>
      <c r="I387">
        <v>272</v>
      </c>
    </row>
    <row r="388" spans="1:9" x14ac:dyDescent="0.3">
      <c r="A388" t="s">
        <v>2376</v>
      </c>
      <c r="B388" t="s">
        <v>64</v>
      </c>
      <c r="C388" t="s">
        <v>37</v>
      </c>
      <c r="D388" t="s">
        <v>2277</v>
      </c>
      <c r="E388" t="s">
        <v>2282</v>
      </c>
      <c r="F388">
        <v>2023</v>
      </c>
      <c r="G388" t="s">
        <v>2283</v>
      </c>
      <c r="H388">
        <v>1500</v>
      </c>
      <c r="I388">
        <v>107</v>
      </c>
    </row>
    <row r="389" spans="1:9" x14ac:dyDescent="0.3">
      <c r="A389" t="s">
        <v>2377</v>
      </c>
      <c r="B389" t="s">
        <v>57</v>
      </c>
      <c r="C389" t="s">
        <v>2276</v>
      </c>
      <c r="D389" t="s">
        <v>2286</v>
      </c>
      <c r="E389" t="s">
        <v>2287</v>
      </c>
      <c r="F389">
        <v>2024</v>
      </c>
      <c r="G389" t="s">
        <v>2289</v>
      </c>
      <c r="I389">
        <v>70</v>
      </c>
    </row>
    <row r="390" spans="1:9" x14ac:dyDescent="0.3">
      <c r="A390" t="s">
        <v>2378</v>
      </c>
      <c r="B390" t="s">
        <v>73</v>
      </c>
      <c r="C390" t="s">
        <v>2280</v>
      </c>
      <c r="D390" t="s">
        <v>29</v>
      </c>
      <c r="E390" t="s">
        <v>2278</v>
      </c>
      <c r="F390">
        <v>2021</v>
      </c>
      <c r="G390" t="s">
        <v>2289</v>
      </c>
      <c r="I390">
        <v>182</v>
      </c>
    </row>
    <row r="391" spans="1:9" x14ac:dyDescent="0.3">
      <c r="A391" t="s">
        <v>2379</v>
      </c>
      <c r="B391" t="s">
        <v>57</v>
      </c>
      <c r="C391" t="s">
        <v>2288</v>
      </c>
      <c r="D391" t="s">
        <v>2286</v>
      </c>
      <c r="E391" t="s">
        <v>2282</v>
      </c>
      <c r="F391">
        <v>2024</v>
      </c>
      <c r="H391">
        <v>700</v>
      </c>
      <c r="I391">
        <v>249</v>
      </c>
    </row>
    <row r="392" spans="1:9" x14ac:dyDescent="0.3">
      <c r="A392" t="s">
        <v>2380</v>
      </c>
      <c r="B392" t="s">
        <v>64</v>
      </c>
      <c r="C392" t="s">
        <v>2288</v>
      </c>
      <c r="D392" t="s">
        <v>2284</v>
      </c>
      <c r="E392" t="s">
        <v>2282</v>
      </c>
      <c r="F392">
        <v>2023</v>
      </c>
      <c r="G392" t="s">
        <v>2285</v>
      </c>
      <c r="H392">
        <v>500</v>
      </c>
      <c r="I392">
        <v>109</v>
      </c>
    </row>
    <row r="393" spans="1:9" x14ac:dyDescent="0.3">
      <c r="A393" t="s">
        <v>2381</v>
      </c>
      <c r="B393" t="s">
        <v>98</v>
      </c>
      <c r="C393" t="s">
        <v>2288</v>
      </c>
      <c r="D393" t="s">
        <v>2284</v>
      </c>
      <c r="E393" t="s">
        <v>2282</v>
      </c>
      <c r="F393">
        <v>2021</v>
      </c>
      <c r="G393" t="s">
        <v>2283</v>
      </c>
      <c r="H393">
        <v>700</v>
      </c>
      <c r="I393">
        <v>214</v>
      </c>
    </row>
    <row r="394" spans="1:9" x14ac:dyDescent="0.3">
      <c r="A394" t="s">
        <v>2382</v>
      </c>
      <c r="B394" t="s">
        <v>98</v>
      </c>
      <c r="C394" t="s">
        <v>19</v>
      </c>
      <c r="D394" t="s">
        <v>2281</v>
      </c>
      <c r="E394" t="s">
        <v>2282</v>
      </c>
      <c r="F394">
        <v>2023</v>
      </c>
      <c r="G394" t="s">
        <v>2285</v>
      </c>
      <c r="H394">
        <v>700</v>
      </c>
      <c r="I394">
        <v>72</v>
      </c>
    </row>
    <row r="395" spans="1:9" x14ac:dyDescent="0.3">
      <c r="A395" t="s">
        <v>2383</v>
      </c>
      <c r="B395" t="s">
        <v>64</v>
      </c>
      <c r="C395" t="s">
        <v>2288</v>
      </c>
      <c r="D395" t="s">
        <v>29</v>
      </c>
      <c r="E395" t="s">
        <v>2278</v>
      </c>
      <c r="F395">
        <v>2023</v>
      </c>
      <c r="G395" t="s">
        <v>2285</v>
      </c>
      <c r="I395">
        <v>34</v>
      </c>
    </row>
    <row r="396" spans="1:9" x14ac:dyDescent="0.3">
      <c r="A396" t="s">
        <v>2384</v>
      </c>
      <c r="B396" t="s">
        <v>73</v>
      </c>
      <c r="C396" t="s">
        <v>19</v>
      </c>
      <c r="D396" t="s">
        <v>2286</v>
      </c>
      <c r="E396" t="s">
        <v>2278</v>
      </c>
      <c r="F396">
        <v>2024</v>
      </c>
      <c r="G396" t="s">
        <v>2285</v>
      </c>
      <c r="H396">
        <v>1500</v>
      </c>
      <c r="I396">
        <v>106</v>
      </c>
    </row>
    <row r="397" spans="1:9" x14ac:dyDescent="0.3">
      <c r="A397" t="s">
        <v>2385</v>
      </c>
      <c r="B397" t="s">
        <v>28</v>
      </c>
      <c r="C397" t="s">
        <v>2276</v>
      </c>
      <c r="D397" t="s">
        <v>2286</v>
      </c>
      <c r="E397" t="s">
        <v>2282</v>
      </c>
      <c r="F397">
        <v>2021</v>
      </c>
      <c r="G397" t="s">
        <v>2279</v>
      </c>
      <c r="H397">
        <v>1500</v>
      </c>
      <c r="I397">
        <v>211</v>
      </c>
    </row>
    <row r="398" spans="1:9" x14ac:dyDescent="0.3">
      <c r="A398" t="s">
        <v>2386</v>
      </c>
      <c r="B398" t="s">
        <v>98</v>
      </c>
      <c r="C398" t="s">
        <v>2276</v>
      </c>
      <c r="D398" t="s">
        <v>2277</v>
      </c>
      <c r="E398" t="s">
        <v>2287</v>
      </c>
      <c r="F398">
        <v>2022</v>
      </c>
      <c r="G398" t="s">
        <v>2285</v>
      </c>
      <c r="I398">
        <v>141</v>
      </c>
    </row>
    <row r="399" spans="1:9" x14ac:dyDescent="0.3">
      <c r="A399" t="s">
        <v>2387</v>
      </c>
      <c r="B399" t="s">
        <v>28</v>
      </c>
      <c r="C399" t="s">
        <v>2280</v>
      </c>
      <c r="D399" t="s">
        <v>2277</v>
      </c>
      <c r="E399" t="s">
        <v>2278</v>
      </c>
      <c r="F399">
        <v>2024</v>
      </c>
      <c r="I399">
        <v>36</v>
      </c>
    </row>
    <row r="400" spans="1:9" x14ac:dyDescent="0.3">
      <c r="A400" t="s">
        <v>2388</v>
      </c>
      <c r="B400" t="s">
        <v>73</v>
      </c>
      <c r="C400" t="s">
        <v>2276</v>
      </c>
      <c r="D400" t="s">
        <v>29</v>
      </c>
      <c r="E400" t="s">
        <v>2287</v>
      </c>
      <c r="F400">
        <v>2021</v>
      </c>
      <c r="G400" t="s">
        <v>2289</v>
      </c>
      <c r="H400">
        <v>1200</v>
      </c>
      <c r="I400">
        <v>107</v>
      </c>
    </row>
    <row r="401" spans="1:9" x14ac:dyDescent="0.3">
      <c r="A401" t="s">
        <v>2389</v>
      </c>
      <c r="B401" t="s">
        <v>57</v>
      </c>
      <c r="C401" t="s">
        <v>2276</v>
      </c>
      <c r="D401" t="s">
        <v>29</v>
      </c>
      <c r="E401" t="s">
        <v>2287</v>
      </c>
      <c r="F401">
        <v>2023</v>
      </c>
      <c r="G401" t="s">
        <v>2289</v>
      </c>
      <c r="H401">
        <v>700</v>
      </c>
      <c r="I401">
        <v>205</v>
      </c>
    </row>
    <row r="402" spans="1:9" x14ac:dyDescent="0.3">
      <c r="A402" t="s">
        <v>2390</v>
      </c>
      <c r="B402" t="s">
        <v>98</v>
      </c>
      <c r="C402" t="s">
        <v>37</v>
      </c>
      <c r="D402" t="s">
        <v>2281</v>
      </c>
      <c r="E402" t="s">
        <v>2287</v>
      </c>
      <c r="F402">
        <v>2022</v>
      </c>
      <c r="G402" t="s">
        <v>2279</v>
      </c>
      <c r="H402">
        <v>700</v>
      </c>
      <c r="I402">
        <v>273</v>
      </c>
    </row>
    <row r="403" spans="1:9" x14ac:dyDescent="0.3">
      <c r="A403" t="s">
        <v>2391</v>
      </c>
      <c r="B403" t="s">
        <v>57</v>
      </c>
      <c r="C403" t="s">
        <v>2288</v>
      </c>
      <c r="D403" t="s">
        <v>2284</v>
      </c>
      <c r="E403" t="s">
        <v>2278</v>
      </c>
      <c r="F403">
        <v>2023</v>
      </c>
      <c r="G403" t="s">
        <v>2289</v>
      </c>
      <c r="H403">
        <v>700</v>
      </c>
      <c r="I403">
        <v>104</v>
      </c>
    </row>
    <row r="404" spans="1:9" x14ac:dyDescent="0.3">
      <c r="A404" t="s">
        <v>2392</v>
      </c>
      <c r="B404" t="s">
        <v>73</v>
      </c>
      <c r="C404" t="s">
        <v>19</v>
      </c>
      <c r="D404" t="s">
        <v>2281</v>
      </c>
      <c r="E404" t="s">
        <v>2282</v>
      </c>
      <c r="F404">
        <v>2024</v>
      </c>
      <c r="H404">
        <v>700</v>
      </c>
      <c r="I404">
        <v>291</v>
      </c>
    </row>
    <row r="405" spans="1:9" x14ac:dyDescent="0.3">
      <c r="A405" t="s">
        <v>2393</v>
      </c>
      <c r="B405" t="s">
        <v>28</v>
      </c>
      <c r="C405" t="s">
        <v>37</v>
      </c>
      <c r="D405" t="s">
        <v>29</v>
      </c>
      <c r="E405" t="s">
        <v>2287</v>
      </c>
      <c r="F405">
        <v>2024</v>
      </c>
      <c r="G405" t="s">
        <v>2283</v>
      </c>
      <c r="H405">
        <v>500</v>
      </c>
      <c r="I405">
        <v>298</v>
      </c>
    </row>
    <row r="406" spans="1:9" x14ac:dyDescent="0.3">
      <c r="A406" t="s">
        <v>2394</v>
      </c>
      <c r="B406" t="s">
        <v>28</v>
      </c>
      <c r="C406" t="s">
        <v>37</v>
      </c>
      <c r="D406" t="s">
        <v>2284</v>
      </c>
      <c r="E406" t="s">
        <v>2287</v>
      </c>
      <c r="F406">
        <v>2023</v>
      </c>
      <c r="G406" t="s">
        <v>2289</v>
      </c>
      <c r="H406">
        <v>1500</v>
      </c>
      <c r="I406">
        <v>88</v>
      </c>
    </row>
    <row r="407" spans="1:9" x14ac:dyDescent="0.3">
      <c r="A407" t="s">
        <v>2395</v>
      </c>
      <c r="B407" t="s">
        <v>73</v>
      </c>
      <c r="C407" t="s">
        <v>37</v>
      </c>
      <c r="D407" t="s">
        <v>2284</v>
      </c>
      <c r="E407" t="s">
        <v>2282</v>
      </c>
      <c r="F407">
        <v>2023</v>
      </c>
      <c r="G407" t="s">
        <v>2279</v>
      </c>
      <c r="H407">
        <v>900</v>
      </c>
      <c r="I407">
        <v>59</v>
      </c>
    </row>
    <row r="408" spans="1:9" x14ac:dyDescent="0.3">
      <c r="A408" t="s">
        <v>2396</v>
      </c>
      <c r="B408" t="s">
        <v>64</v>
      </c>
      <c r="C408" t="s">
        <v>19</v>
      </c>
      <c r="D408" t="s">
        <v>2277</v>
      </c>
      <c r="E408" t="s">
        <v>2282</v>
      </c>
      <c r="F408">
        <v>2022</v>
      </c>
      <c r="G408" t="s">
        <v>2279</v>
      </c>
      <c r="H408">
        <v>500</v>
      </c>
      <c r="I408">
        <v>171</v>
      </c>
    </row>
    <row r="409" spans="1:9" x14ac:dyDescent="0.3">
      <c r="A409" t="s">
        <v>2397</v>
      </c>
      <c r="B409" t="s">
        <v>28</v>
      </c>
      <c r="C409" t="s">
        <v>2288</v>
      </c>
      <c r="D409" t="s">
        <v>2284</v>
      </c>
      <c r="E409" t="s">
        <v>2278</v>
      </c>
      <c r="F409">
        <v>2022</v>
      </c>
      <c r="G409" t="s">
        <v>2279</v>
      </c>
      <c r="H409">
        <v>700</v>
      </c>
      <c r="I409">
        <v>295</v>
      </c>
    </row>
    <row r="410" spans="1:9" x14ac:dyDescent="0.3">
      <c r="A410" t="s">
        <v>2398</v>
      </c>
      <c r="B410" t="s">
        <v>98</v>
      </c>
      <c r="C410" t="s">
        <v>19</v>
      </c>
      <c r="D410" t="s">
        <v>2281</v>
      </c>
      <c r="E410" t="s">
        <v>2287</v>
      </c>
      <c r="F410">
        <v>2022</v>
      </c>
      <c r="H410">
        <v>900</v>
      </c>
      <c r="I410">
        <v>50</v>
      </c>
    </row>
    <row r="411" spans="1:9" x14ac:dyDescent="0.3">
      <c r="A411" t="s">
        <v>2399</v>
      </c>
      <c r="B411" t="s">
        <v>57</v>
      </c>
      <c r="C411" t="s">
        <v>2280</v>
      </c>
      <c r="D411" t="s">
        <v>29</v>
      </c>
      <c r="E411" t="s">
        <v>2278</v>
      </c>
      <c r="F411">
        <v>2022</v>
      </c>
      <c r="G411" t="s">
        <v>2289</v>
      </c>
      <c r="I411">
        <v>244</v>
      </c>
    </row>
    <row r="412" spans="1:9" x14ac:dyDescent="0.3">
      <c r="A412" t="s">
        <v>2400</v>
      </c>
      <c r="B412" t="s">
        <v>57</v>
      </c>
      <c r="C412" t="s">
        <v>2276</v>
      </c>
      <c r="D412" t="s">
        <v>2281</v>
      </c>
      <c r="E412" t="s">
        <v>2287</v>
      </c>
      <c r="F412">
        <v>2021</v>
      </c>
      <c r="G412" t="s">
        <v>2283</v>
      </c>
      <c r="H412">
        <v>1500</v>
      </c>
      <c r="I412">
        <v>149</v>
      </c>
    </row>
    <row r="413" spans="1:9" x14ac:dyDescent="0.3">
      <c r="A413" t="s">
        <v>2401</v>
      </c>
      <c r="B413" t="s">
        <v>28</v>
      </c>
      <c r="C413" t="s">
        <v>19</v>
      </c>
      <c r="D413" t="s">
        <v>2281</v>
      </c>
      <c r="E413" t="s">
        <v>2278</v>
      </c>
      <c r="F413">
        <v>2021</v>
      </c>
      <c r="G413" t="s">
        <v>2289</v>
      </c>
      <c r="H413">
        <v>500</v>
      </c>
      <c r="I413">
        <v>34</v>
      </c>
    </row>
    <row r="414" spans="1:9" x14ac:dyDescent="0.3">
      <c r="A414" t="s">
        <v>2402</v>
      </c>
      <c r="B414" t="s">
        <v>57</v>
      </c>
      <c r="C414" t="s">
        <v>37</v>
      </c>
      <c r="D414" t="s">
        <v>2286</v>
      </c>
      <c r="E414" t="s">
        <v>2287</v>
      </c>
      <c r="F414">
        <v>2024</v>
      </c>
      <c r="G414" t="s">
        <v>2283</v>
      </c>
      <c r="H414">
        <v>1200</v>
      </c>
      <c r="I414">
        <v>176</v>
      </c>
    </row>
    <row r="415" spans="1:9" x14ac:dyDescent="0.3">
      <c r="A415" t="s">
        <v>2403</v>
      </c>
      <c r="B415" t="s">
        <v>98</v>
      </c>
      <c r="C415" t="s">
        <v>2288</v>
      </c>
      <c r="D415" t="s">
        <v>29</v>
      </c>
      <c r="E415" t="s">
        <v>2278</v>
      </c>
      <c r="F415">
        <v>2021</v>
      </c>
      <c r="G415" t="s">
        <v>2279</v>
      </c>
      <c r="I415">
        <v>66</v>
      </c>
    </row>
    <row r="416" spans="1:9" x14ac:dyDescent="0.3">
      <c r="A416" t="s">
        <v>2404</v>
      </c>
      <c r="B416" t="s">
        <v>57</v>
      </c>
      <c r="C416" t="s">
        <v>2276</v>
      </c>
      <c r="D416" t="s">
        <v>2281</v>
      </c>
      <c r="E416" t="s">
        <v>2287</v>
      </c>
      <c r="F416">
        <v>2022</v>
      </c>
      <c r="G416" t="s">
        <v>2289</v>
      </c>
      <c r="H416">
        <v>900</v>
      </c>
      <c r="I416">
        <v>113</v>
      </c>
    </row>
    <row r="417" spans="1:9" x14ac:dyDescent="0.3">
      <c r="A417" t="s">
        <v>2405</v>
      </c>
      <c r="B417" t="s">
        <v>98</v>
      </c>
      <c r="C417" t="s">
        <v>19</v>
      </c>
      <c r="D417" t="s">
        <v>2286</v>
      </c>
      <c r="E417" t="s">
        <v>2278</v>
      </c>
      <c r="F417">
        <v>2021</v>
      </c>
      <c r="G417" t="s">
        <v>2283</v>
      </c>
      <c r="H417">
        <v>500</v>
      </c>
      <c r="I417">
        <v>82</v>
      </c>
    </row>
    <row r="418" spans="1:9" x14ac:dyDescent="0.3">
      <c r="A418" t="s">
        <v>2406</v>
      </c>
      <c r="B418" t="s">
        <v>98</v>
      </c>
      <c r="C418" t="s">
        <v>2280</v>
      </c>
      <c r="D418" t="s">
        <v>2281</v>
      </c>
      <c r="E418" t="s">
        <v>2287</v>
      </c>
      <c r="F418">
        <v>2022</v>
      </c>
      <c r="G418" t="s">
        <v>2283</v>
      </c>
      <c r="H418">
        <v>1200</v>
      </c>
      <c r="I418">
        <v>141</v>
      </c>
    </row>
    <row r="419" spans="1:9" x14ac:dyDescent="0.3">
      <c r="A419" t="s">
        <v>2407</v>
      </c>
      <c r="B419" t="s">
        <v>73</v>
      </c>
      <c r="C419" t="s">
        <v>2288</v>
      </c>
      <c r="D419" t="s">
        <v>2281</v>
      </c>
      <c r="E419" t="s">
        <v>2287</v>
      </c>
      <c r="F419">
        <v>2024</v>
      </c>
      <c r="G419" t="s">
        <v>2289</v>
      </c>
      <c r="H419">
        <v>1500</v>
      </c>
      <c r="I419">
        <v>91</v>
      </c>
    </row>
    <row r="420" spans="1:9" x14ac:dyDescent="0.3">
      <c r="A420" t="s">
        <v>2408</v>
      </c>
      <c r="B420" t="s">
        <v>73</v>
      </c>
      <c r="C420" t="s">
        <v>19</v>
      </c>
      <c r="D420" t="s">
        <v>2277</v>
      </c>
      <c r="E420" t="s">
        <v>2282</v>
      </c>
      <c r="F420">
        <v>2024</v>
      </c>
      <c r="H420">
        <v>1500</v>
      </c>
      <c r="I420">
        <v>154</v>
      </c>
    </row>
    <row r="421" spans="1:9" x14ac:dyDescent="0.3">
      <c r="A421" t="s">
        <v>2409</v>
      </c>
      <c r="B421" t="s">
        <v>73</v>
      </c>
      <c r="C421" t="s">
        <v>2280</v>
      </c>
      <c r="D421" t="s">
        <v>2286</v>
      </c>
      <c r="E421" t="s">
        <v>2282</v>
      </c>
      <c r="F421">
        <v>2024</v>
      </c>
      <c r="G421" t="s">
        <v>2283</v>
      </c>
      <c r="H421">
        <v>1500</v>
      </c>
      <c r="I421">
        <v>56</v>
      </c>
    </row>
    <row r="422" spans="1:9" x14ac:dyDescent="0.3">
      <c r="A422" t="s">
        <v>2410</v>
      </c>
      <c r="B422" t="s">
        <v>57</v>
      </c>
      <c r="C422" t="s">
        <v>19</v>
      </c>
      <c r="D422" t="s">
        <v>2286</v>
      </c>
      <c r="E422" t="s">
        <v>2278</v>
      </c>
      <c r="F422">
        <v>2022</v>
      </c>
      <c r="G422" t="s">
        <v>2285</v>
      </c>
      <c r="H422">
        <v>1500</v>
      </c>
      <c r="I422">
        <v>296</v>
      </c>
    </row>
    <row r="423" spans="1:9" x14ac:dyDescent="0.3">
      <c r="A423" t="s">
        <v>2411</v>
      </c>
      <c r="B423" t="s">
        <v>98</v>
      </c>
      <c r="C423" t="s">
        <v>37</v>
      </c>
      <c r="D423" t="s">
        <v>29</v>
      </c>
      <c r="E423" t="s">
        <v>2287</v>
      </c>
      <c r="F423">
        <v>2023</v>
      </c>
      <c r="G423" t="s">
        <v>2279</v>
      </c>
      <c r="I423">
        <v>233</v>
      </c>
    </row>
    <row r="424" spans="1:9" x14ac:dyDescent="0.3">
      <c r="A424" t="s">
        <v>2412</v>
      </c>
      <c r="B424" t="s">
        <v>64</v>
      </c>
      <c r="C424" t="s">
        <v>37</v>
      </c>
      <c r="D424" t="s">
        <v>29</v>
      </c>
      <c r="E424" t="s">
        <v>2287</v>
      </c>
      <c r="F424">
        <v>2021</v>
      </c>
      <c r="G424" t="s">
        <v>2289</v>
      </c>
      <c r="H424">
        <v>900</v>
      </c>
      <c r="I424">
        <v>44</v>
      </c>
    </row>
    <row r="425" spans="1:9" x14ac:dyDescent="0.3">
      <c r="A425" t="s">
        <v>2413</v>
      </c>
      <c r="B425" t="s">
        <v>64</v>
      </c>
      <c r="C425" t="s">
        <v>2288</v>
      </c>
      <c r="D425" t="s">
        <v>2277</v>
      </c>
      <c r="E425" t="s">
        <v>2287</v>
      </c>
      <c r="F425">
        <v>2021</v>
      </c>
      <c r="G425" t="s">
        <v>2283</v>
      </c>
      <c r="I425">
        <v>25</v>
      </c>
    </row>
    <row r="426" spans="1:9" x14ac:dyDescent="0.3">
      <c r="A426" t="s">
        <v>2414</v>
      </c>
      <c r="B426" t="s">
        <v>73</v>
      </c>
      <c r="C426" t="s">
        <v>2288</v>
      </c>
      <c r="D426" t="s">
        <v>2277</v>
      </c>
      <c r="E426" t="s">
        <v>2287</v>
      </c>
      <c r="F426">
        <v>2023</v>
      </c>
      <c r="G426" t="s">
        <v>2285</v>
      </c>
      <c r="H426">
        <v>500</v>
      </c>
      <c r="I426">
        <v>183</v>
      </c>
    </row>
    <row r="427" spans="1:9" x14ac:dyDescent="0.3">
      <c r="A427" t="s">
        <v>2415</v>
      </c>
      <c r="B427" t="s">
        <v>98</v>
      </c>
      <c r="C427" t="s">
        <v>2288</v>
      </c>
      <c r="D427" t="s">
        <v>2286</v>
      </c>
      <c r="E427" t="s">
        <v>2282</v>
      </c>
      <c r="F427">
        <v>2022</v>
      </c>
      <c r="I427">
        <v>238</v>
      </c>
    </row>
    <row r="428" spans="1:9" x14ac:dyDescent="0.3">
      <c r="A428" t="s">
        <v>2416</v>
      </c>
      <c r="B428" t="s">
        <v>28</v>
      </c>
      <c r="C428" t="s">
        <v>2276</v>
      </c>
      <c r="D428" t="s">
        <v>2277</v>
      </c>
      <c r="E428" t="s">
        <v>2278</v>
      </c>
      <c r="F428">
        <v>2023</v>
      </c>
      <c r="G428" t="s">
        <v>2283</v>
      </c>
      <c r="H428">
        <v>1200</v>
      </c>
      <c r="I428">
        <v>242</v>
      </c>
    </row>
    <row r="429" spans="1:9" x14ac:dyDescent="0.3">
      <c r="A429" t="s">
        <v>2417</v>
      </c>
      <c r="B429" t="s">
        <v>28</v>
      </c>
      <c r="C429" t="s">
        <v>2276</v>
      </c>
      <c r="D429" t="s">
        <v>2277</v>
      </c>
      <c r="E429" t="s">
        <v>2282</v>
      </c>
      <c r="F429">
        <v>2022</v>
      </c>
      <c r="G429" t="s">
        <v>2285</v>
      </c>
      <c r="I429">
        <v>233</v>
      </c>
    </row>
    <row r="430" spans="1:9" x14ac:dyDescent="0.3">
      <c r="A430" t="s">
        <v>2418</v>
      </c>
      <c r="B430" t="s">
        <v>73</v>
      </c>
      <c r="C430" t="s">
        <v>37</v>
      </c>
      <c r="D430" t="s">
        <v>2277</v>
      </c>
      <c r="E430" t="s">
        <v>2282</v>
      </c>
      <c r="F430">
        <v>2024</v>
      </c>
      <c r="G430" t="s">
        <v>2283</v>
      </c>
      <c r="H430">
        <v>900</v>
      </c>
      <c r="I430">
        <v>139</v>
      </c>
    </row>
    <row r="431" spans="1:9" x14ac:dyDescent="0.3">
      <c r="A431" t="s">
        <v>2419</v>
      </c>
      <c r="B431" t="s">
        <v>73</v>
      </c>
      <c r="C431" t="s">
        <v>19</v>
      </c>
      <c r="D431" t="s">
        <v>2277</v>
      </c>
      <c r="E431" t="s">
        <v>2282</v>
      </c>
      <c r="F431">
        <v>2022</v>
      </c>
      <c r="G431" t="s">
        <v>2285</v>
      </c>
      <c r="I431">
        <v>64</v>
      </c>
    </row>
    <row r="432" spans="1:9" x14ac:dyDescent="0.3">
      <c r="A432" t="s">
        <v>2420</v>
      </c>
      <c r="B432" t="s">
        <v>64</v>
      </c>
      <c r="C432" t="s">
        <v>2280</v>
      </c>
      <c r="D432" t="s">
        <v>2286</v>
      </c>
      <c r="E432" t="s">
        <v>2278</v>
      </c>
      <c r="F432">
        <v>2021</v>
      </c>
      <c r="G432" t="s">
        <v>2289</v>
      </c>
      <c r="H432">
        <v>700</v>
      </c>
      <c r="I432">
        <v>235</v>
      </c>
    </row>
    <row r="433" spans="1:9" x14ac:dyDescent="0.3">
      <c r="A433" t="s">
        <v>2421</v>
      </c>
      <c r="B433" t="s">
        <v>28</v>
      </c>
      <c r="C433" t="s">
        <v>2288</v>
      </c>
      <c r="D433" t="s">
        <v>2277</v>
      </c>
      <c r="E433" t="s">
        <v>2282</v>
      </c>
      <c r="F433">
        <v>2022</v>
      </c>
      <c r="H433">
        <v>700</v>
      </c>
      <c r="I433">
        <v>188</v>
      </c>
    </row>
    <row r="434" spans="1:9" x14ac:dyDescent="0.3">
      <c r="A434" t="s">
        <v>2422</v>
      </c>
      <c r="B434" t="s">
        <v>73</v>
      </c>
      <c r="C434" t="s">
        <v>2288</v>
      </c>
      <c r="D434" t="s">
        <v>2277</v>
      </c>
      <c r="E434" t="s">
        <v>2278</v>
      </c>
      <c r="F434">
        <v>2021</v>
      </c>
      <c r="G434" t="s">
        <v>2283</v>
      </c>
      <c r="H434">
        <v>1200</v>
      </c>
      <c r="I434">
        <v>192</v>
      </c>
    </row>
    <row r="435" spans="1:9" x14ac:dyDescent="0.3">
      <c r="A435" t="s">
        <v>2423</v>
      </c>
      <c r="B435" t="s">
        <v>57</v>
      </c>
      <c r="C435" t="s">
        <v>2280</v>
      </c>
      <c r="D435" t="s">
        <v>2286</v>
      </c>
      <c r="E435" t="s">
        <v>2278</v>
      </c>
      <c r="F435">
        <v>2023</v>
      </c>
      <c r="G435" t="s">
        <v>2285</v>
      </c>
      <c r="H435">
        <v>700</v>
      </c>
      <c r="I435">
        <v>288</v>
      </c>
    </row>
    <row r="436" spans="1:9" x14ac:dyDescent="0.3">
      <c r="A436" t="s">
        <v>2424</v>
      </c>
      <c r="B436" t="s">
        <v>73</v>
      </c>
      <c r="C436" t="s">
        <v>37</v>
      </c>
      <c r="D436" t="s">
        <v>2284</v>
      </c>
      <c r="E436" t="s">
        <v>2287</v>
      </c>
      <c r="F436">
        <v>2021</v>
      </c>
      <c r="G436" t="s">
        <v>2279</v>
      </c>
      <c r="H436">
        <v>1500</v>
      </c>
      <c r="I436">
        <v>290</v>
      </c>
    </row>
    <row r="437" spans="1:9" x14ac:dyDescent="0.3">
      <c r="A437" t="s">
        <v>2425</v>
      </c>
      <c r="B437" t="s">
        <v>73</v>
      </c>
      <c r="C437" t="s">
        <v>2288</v>
      </c>
      <c r="D437" t="s">
        <v>2286</v>
      </c>
      <c r="E437" t="s">
        <v>2278</v>
      </c>
      <c r="F437">
        <v>2024</v>
      </c>
      <c r="G437" t="s">
        <v>2279</v>
      </c>
      <c r="H437">
        <v>500</v>
      </c>
      <c r="I437">
        <v>120</v>
      </c>
    </row>
    <row r="438" spans="1:9" x14ac:dyDescent="0.3">
      <c r="A438" t="s">
        <v>2426</v>
      </c>
      <c r="B438" t="s">
        <v>98</v>
      </c>
      <c r="C438" t="s">
        <v>2280</v>
      </c>
      <c r="D438" t="s">
        <v>2284</v>
      </c>
      <c r="E438" t="s">
        <v>2287</v>
      </c>
      <c r="F438">
        <v>2024</v>
      </c>
      <c r="G438" t="s">
        <v>2283</v>
      </c>
      <c r="H438">
        <v>900</v>
      </c>
      <c r="I438">
        <v>107</v>
      </c>
    </row>
    <row r="439" spans="1:9" x14ac:dyDescent="0.3">
      <c r="A439" t="s">
        <v>2427</v>
      </c>
      <c r="B439" t="s">
        <v>28</v>
      </c>
      <c r="C439" t="s">
        <v>37</v>
      </c>
      <c r="D439" t="s">
        <v>2284</v>
      </c>
      <c r="E439" t="s">
        <v>2278</v>
      </c>
      <c r="F439">
        <v>2023</v>
      </c>
      <c r="G439" t="s">
        <v>2279</v>
      </c>
      <c r="H439">
        <v>900</v>
      </c>
      <c r="I439">
        <v>121</v>
      </c>
    </row>
    <row r="440" spans="1:9" x14ac:dyDescent="0.3">
      <c r="A440" t="s">
        <v>2428</v>
      </c>
      <c r="B440" t="s">
        <v>57</v>
      </c>
      <c r="C440" t="s">
        <v>37</v>
      </c>
      <c r="D440" t="s">
        <v>2281</v>
      </c>
      <c r="E440" t="s">
        <v>2278</v>
      </c>
      <c r="F440">
        <v>2023</v>
      </c>
      <c r="G440" t="s">
        <v>2279</v>
      </c>
      <c r="H440">
        <v>500</v>
      </c>
      <c r="I440">
        <v>54</v>
      </c>
    </row>
    <row r="441" spans="1:9" x14ac:dyDescent="0.3">
      <c r="A441" t="s">
        <v>2429</v>
      </c>
      <c r="B441" t="s">
        <v>64</v>
      </c>
      <c r="C441" t="s">
        <v>37</v>
      </c>
      <c r="D441" t="s">
        <v>2286</v>
      </c>
      <c r="E441" t="s">
        <v>2287</v>
      </c>
      <c r="F441">
        <v>2021</v>
      </c>
      <c r="G441" t="s">
        <v>2283</v>
      </c>
      <c r="I441">
        <v>194</v>
      </c>
    </row>
    <row r="442" spans="1:9" x14ac:dyDescent="0.3">
      <c r="A442" t="s">
        <v>2430</v>
      </c>
      <c r="B442" t="s">
        <v>57</v>
      </c>
      <c r="C442" t="s">
        <v>2280</v>
      </c>
      <c r="D442" t="s">
        <v>2284</v>
      </c>
      <c r="E442" t="s">
        <v>2282</v>
      </c>
      <c r="F442">
        <v>2022</v>
      </c>
      <c r="G442" t="s">
        <v>2289</v>
      </c>
      <c r="H442">
        <v>500</v>
      </c>
      <c r="I442">
        <v>215</v>
      </c>
    </row>
    <row r="443" spans="1:9" x14ac:dyDescent="0.3">
      <c r="A443" t="s">
        <v>2431</v>
      </c>
      <c r="B443" t="s">
        <v>28</v>
      </c>
      <c r="C443" t="s">
        <v>37</v>
      </c>
      <c r="D443" t="s">
        <v>2284</v>
      </c>
      <c r="E443" t="s">
        <v>2278</v>
      </c>
      <c r="F443">
        <v>2022</v>
      </c>
      <c r="G443" t="s">
        <v>2279</v>
      </c>
      <c r="H443">
        <v>900</v>
      </c>
      <c r="I443">
        <v>91</v>
      </c>
    </row>
    <row r="444" spans="1:9" x14ac:dyDescent="0.3">
      <c r="A444" t="s">
        <v>2432</v>
      </c>
      <c r="B444" t="s">
        <v>73</v>
      </c>
      <c r="C444" t="s">
        <v>2280</v>
      </c>
      <c r="D444" t="s">
        <v>2281</v>
      </c>
      <c r="E444" t="s">
        <v>2278</v>
      </c>
      <c r="F444">
        <v>2022</v>
      </c>
      <c r="G444" t="s">
        <v>2283</v>
      </c>
      <c r="H444">
        <v>500</v>
      </c>
      <c r="I444">
        <v>262</v>
      </c>
    </row>
    <row r="445" spans="1:9" x14ac:dyDescent="0.3">
      <c r="A445" t="s">
        <v>2433</v>
      </c>
      <c r="B445" t="s">
        <v>64</v>
      </c>
      <c r="C445" t="s">
        <v>2288</v>
      </c>
      <c r="D445" t="s">
        <v>2286</v>
      </c>
      <c r="E445" t="s">
        <v>2287</v>
      </c>
      <c r="F445">
        <v>2024</v>
      </c>
      <c r="G445" t="s">
        <v>2283</v>
      </c>
      <c r="I445">
        <v>270</v>
      </c>
    </row>
    <row r="446" spans="1:9" x14ac:dyDescent="0.3">
      <c r="A446" t="s">
        <v>2434</v>
      </c>
      <c r="B446" t="s">
        <v>64</v>
      </c>
      <c r="C446" t="s">
        <v>2276</v>
      </c>
      <c r="D446" t="s">
        <v>29</v>
      </c>
      <c r="E446" t="s">
        <v>2278</v>
      </c>
      <c r="F446">
        <v>2023</v>
      </c>
      <c r="G446" t="s">
        <v>2289</v>
      </c>
      <c r="H446">
        <v>500</v>
      </c>
      <c r="I446">
        <v>177</v>
      </c>
    </row>
    <row r="447" spans="1:9" x14ac:dyDescent="0.3">
      <c r="A447" t="s">
        <v>2435</v>
      </c>
      <c r="B447" t="s">
        <v>57</v>
      </c>
      <c r="C447" t="s">
        <v>2288</v>
      </c>
      <c r="D447" t="s">
        <v>2286</v>
      </c>
      <c r="E447" t="s">
        <v>2282</v>
      </c>
      <c r="F447">
        <v>2021</v>
      </c>
      <c r="G447" t="s">
        <v>2283</v>
      </c>
      <c r="H447">
        <v>1200</v>
      </c>
      <c r="I447">
        <v>200</v>
      </c>
    </row>
    <row r="448" spans="1:9" x14ac:dyDescent="0.3">
      <c r="A448" t="s">
        <v>2436</v>
      </c>
      <c r="B448" t="s">
        <v>57</v>
      </c>
      <c r="C448" t="s">
        <v>2288</v>
      </c>
      <c r="D448" t="s">
        <v>2286</v>
      </c>
      <c r="E448" t="s">
        <v>2282</v>
      </c>
      <c r="F448">
        <v>2024</v>
      </c>
      <c r="G448" t="s">
        <v>2279</v>
      </c>
      <c r="H448">
        <v>1200</v>
      </c>
      <c r="I448">
        <v>188</v>
      </c>
    </row>
    <row r="449" spans="1:9" x14ac:dyDescent="0.3">
      <c r="A449" t="s">
        <v>2437</v>
      </c>
      <c r="B449" t="s">
        <v>98</v>
      </c>
      <c r="C449" t="s">
        <v>2280</v>
      </c>
      <c r="D449" t="s">
        <v>2277</v>
      </c>
      <c r="E449" t="s">
        <v>2282</v>
      </c>
      <c r="F449">
        <v>2022</v>
      </c>
      <c r="H449">
        <v>700</v>
      </c>
      <c r="I449">
        <v>195</v>
      </c>
    </row>
    <row r="450" spans="1:9" x14ac:dyDescent="0.3">
      <c r="A450" t="s">
        <v>2438</v>
      </c>
      <c r="B450" t="s">
        <v>57</v>
      </c>
      <c r="C450" t="s">
        <v>2276</v>
      </c>
      <c r="D450" t="s">
        <v>2284</v>
      </c>
      <c r="E450" t="s">
        <v>2278</v>
      </c>
      <c r="F450">
        <v>2021</v>
      </c>
      <c r="G450" t="s">
        <v>2289</v>
      </c>
      <c r="H450">
        <v>1200</v>
      </c>
      <c r="I450">
        <v>287</v>
      </c>
    </row>
    <row r="451" spans="1:9" x14ac:dyDescent="0.3">
      <c r="A451" t="s">
        <v>2439</v>
      </c>
      <c r="B451" t="s">
        <v>64</v>
      </c>
      <c r="C451" t="s">
        <v>2276</v>
      </c>
      <c r="D451" t="s">
        <v>2277</v>
      </c>
      <c r="E451" t="s">
        <v>2278</v>
      </c>
      <c r="F451">
        <v>2024</v>
      </c>
      <c r="I451">
        <v>124</v>
      </c>
    </row>
    <row r="452" spans="1:9" x14ac:dyDescent="0.3">
      <c r="A452" t="s">
        <v>2440</v>
      </c>
      <c r="B452" t="s">
        <v>28</v>
      </c>
      <c r="C452" t="s">
        <v>2276</v>
      </c>
      <c r="D452" t="s">
        <v>2281</v>
      </c>
      <c r="E452" t="s">
        <v>2282</v>
      </c>
      <c r="F452">
        <v>2021</v>
      </c>
      <c r="G452" t="s">
        <v>2283</v>
      </c>
      <c r="H452">
        <v>500</v>
      </c>
      <c r="I452">
        <v>23</v>
      </c>
    </row>
    <row r="453" spans="1:9" x14ac:dyDescent="0.3">
      <c r="A453" t="s">
        <v>2441</v>
      </c>
      <c r="B453" t="s">
        <v>98</v>
      </c>
      <c r="C453" t="s">
        <v>37</v>
      </c>
      <c r="D453" t="s">
        <v>2286</v>
      </c>
      <c r="E453" t="s">
        <v>2287</v>
      </c>
      <c r="F453">
        <v>2024</v>
      </c>
      <c r="G453" t="s">
        <v>2285</v>
      </c>
      <c r="H453">
        <v>900</v>
      </c>
      <c r="I453">
        <v>196</v>
      </c>
    </row>
    <row r="454" spans="1:9" x14ac:dyDescent="0.3">
      <c r="A454" t="s">
        <v>2442</v>
      </c>
      <c r="B454" t="s">
        <v>73</v>
      </c>
      <c r="C454" t="s">
        <v>19</v>
      </c>
      <c r="D454" t="s">
        <v>2277</v>
      </c>
      <c r="E454" t="s">
        <v>2278</v>
      </c>
      <c r="F454">
        <v>2021</v>
      </c>
      <c r="H454">
        <v>1200</v>
      </c>
      <c r="I454">
        <v>153</v>
      </c>
    </row>
    <row r="455" spans="1:9" x14ac:dyDescent="0.3">
      <c r="A455" t="s">
        <v>2443</v>
      </c>
      <c r="B455" t="s">
        <v>57</v>
      </c>
      <c r="C455" t="s">
        <v>37</v>
      </c>
      <c r="D455" t="s">
        <v>2281</v>
      </c>
      <c r="E455" t="s">
        <v>2282</v>
      </c>
      <c r="F455">
        <v>2021</v>
      </c>
      <c r="G455" t="s">
        <v>2279</v>
      </c>
      <c r="H455">
        <v>1500</v>
      </c>
      <c r="I455">
        <v>267</v>
      </c>
    </row>
    <row r="456" spans="1:9" x14ac:dyDescent="0.3">
      <c r="A456" t="s">
        <v>2444</v>
      </c>
      <c r="B456" t="s">
        <v>73</v>
      </c>
      <c r="C456" t="s">
        <v>37</v>
      </c>
      <c r="D456" t="s">
        <v>2277</v>
      </c>
      <c r="E456" t="s">
        <v>2282</v>
      </c>
      <c r="F456">
        <v>2024</v>
      </c>
      <c r="G456" t="s">
        <v>2285</v>
      </c>
      <c r="H456">
        <v>700</v>
      </c>
      <c r="I456">
        <v>46</v>
      </c>
    </row>
    <row r="457" spans="1:9" x14ac:dyDescent="0.3">
      <c r="A457" t="s">
        <v>2445</v>
      </c>
      <c r="B457" t="s">
        <v>28</v>
      </c>
      <c r="C457" t="s">
        <v>19</v>
      </c>
      <c r="D457" t="s">
        <v>2281</v>
      </c>
      <c r="E457" t="s">
        <v>2278</v>
      </c>
      <c r="F457">
        <v>2024</v>
      </c>
      <c r="G457" t="s">
        <v>2279</v>
      </c>
      <c r="H457">
        <v>1500</v>
      </c>
      <c r="I457">
        <v>246</v>
      </c>
    </row>
    <row r="458" spans="1:9" x14ac:dyDescent="0.3">
      <c r="A458" t="s">
        <v>2446</v>
      </c>
      <c r="B458" t="s">
        <v>73</v>
      </c>
      <c r="C458" t="s">
        <v>2276</v>
      </c>
      <c r="D458" t="s">
        <v>2281</v>
      </c>
      <c r="E458" t="s">
        <v>2282</v>
      </c>
      <c r="F458">
        <v>2023</v>
      </c>
      <c r="G458" t="s">
        <v>2279</v>
      </c>
      <c r="H458">
        <v>1200</v>
      </c>
      <c r="I458">
        <v>127</v>
      </c>
    </row>
    <row r="459" spans="1:9" x14ac:dyDescent="0.3">
      <c r="A459" t="s">
        <v>2447</v>
      </c>
      <c r="B459" t="s">
        <v>64</v>
      </c>
      <c r="C459" t="s">
        <v>37</v>
      </c>
      <c r="D459" t="s">
        <v>2281</v>
      </c>
      <c r="E459" t="s">
        <v>2287</v>
      </c>
      <c r="F459">
        <v>2024</v>
      </c>
      <c r="G459" t="s">
        <v>2283</v>
      </c>
      <c r="I459">
        <v>186</v>
      </c>
    </row>
    <row r="460" spans="1:9" x14ac:dyDescent="0.3">
      <c r="A460" t="s">
        <v>2448</v>
      </c>
      <c r="B460" t="s">
        <v>28</v>
      </c>
      <c r="C460" t="s">
        <v>19</v>
      </c>
      <c r="D460" t="s">
        <v>29</v>
      </c>
      <c r="E460" t="s">
        <v>2278</v>
      </c>
      <c r="F460">
        <v>2021</v>
      </c>
      <c r="H460">
        <v>900</v>
      </c>
      <c r="I460">
        <v>237</v>
      </c>
    </row>
    <row r="461" spans="1:9" x14ac:dyDescent="0.3">
      <c r="A461" t="s">
        <v>2449</v>
      </c>
      <c r="B461" t="s">
        <v>57</v>
      </c>
      <c r="C461" t="s">
        <v>2288</v>
      </c>
      <c r="D461" t="s">
        <v>29</v>
      </c>
      <c r="E461" t="s">
        <v>2278</v>
      </c>
      <c r="F461">
        <v>2023</v>
      </c>
      <c r="G461" t="s">
        <v>2289</v>
      </c>
      <c r="H461">
        <v>1200</v>
      </c>
      <c r="I461">
        <v>233</v>
      </c>
    </row>
    <row r="462" spans="1:9" x14ac:dyDescent="0.3">
      <c r="A462" t="s">
        <v>2450</v>
      </c>
      <c r="B462" t="s">
        <v>98</v>
      </c>
      <c r="C462" t="s">
        <v>2280</v>
      </c>
      <c r="D462" t="s">
        <v>2277</v>
      </c>
      <c r="E462" t="s">
        <v>2287</v>
      </c>
      <c r="F462">
        <v>2023</v>
      </c>
      <c r="H462">
        <v>700</v>
      </c>
      <c r="I462">
        <v>74</v>
      </c>
    </row>
    <row r="463" spans="1:9" x14ac:dyDescent="0.3">
      <c r="A463" t="s">
        <v>2451</v>
      </c>
      <c r="B463" t="s">
        <v>28</v>
      </c>
      <c r="C463" t="s">
        <v>2288</v>
      </c>
      <c r="D463" t="s">
        <v>2277</v>
      </c>
      <c r="E463" t="s">
        <v>2278</v>
      </c>
      <c r="F463">
        <v>2022</v>
      </c>
      <c r="G463" t="s">
        <v>2285</v>
      </c>
      <c r="H463">
        <v>700</v>
      </c>
      <c r="I463">
        <v>120</v>
      </c>
    </row>
    <row r="464" spans="1:9" x14ac:dyDescent="0.3">
      <c r="A464" t="s">
        <v>2452</v>
      </c>
      <c r="B464" t="s">
        <v>64</v>
      </c>
      <c r="C464" t="s">
        <v>19</v>
      </c>
      <c r="D464" t="s">
        <v>2281</v>
      </c>
      <c r="E464" t="s">
        <v>2287</v>
      </c>
      <c r="F464">
        <v>2024</v>
      </c>
      <c r="G464" t="s">
        <v>2285</v>
      </c>
      <c r="H464">
        <v>1200</v>
      </c>
      <c r="I464">
        <v>75</v>
      </c>
    </row>
    <row r="465" spans="1:9" x14ac:dyDescent="0.3">
      <c r="A465" t="s">
        <v>2453</v>
      </c>
      <c r="B465" t="s">
        <v>57</v>
      </c>
      <c r="C465" t="s">
        <v>19</v>
      </c>
      <c r="D465" t="s">
        <v>2284</v>
      </c>
      <c r="E465" t="s">
        <v>2278</v>
      </c>
      <c r="F465">
        <v>2023</v>
      </c>
      <c r="G465" t="s">
        <v>2289</v>
      </c>
      <c r="H465">
        <v>900</v>
      </c>
      <c r="I465">
        <v>26</v>
      </c>
    </row>
    <row r="466" spans="1:9" x14ac:dyDescent="0.3">
      <c r="A466" t="s">
        <v>2454</v>
      </c>
      <c r="B466" t="s">
        <v>28</v>
      </c>
      <c r="C466" t="s">
        <v>2276</v>
      </c>
      <c r="D466" t="s">
        <v>29</v>
      </c>
      <c r="E466" t="s">
        <v>2282</v>
      </c>
      <c r="F466">
        <v>2022</v>
      </c>
      <c r="G466" t="s">
        <v>2283</v>
      </c>
      <c r="H466">
        <v>500</v>
      </c>
      <c r="I466">
        <v>109</v>
      </c>
    </row>
    <row r="467" spans="1:9" x14ac:dyDescent="0.3">
      <c r="A467" t="s">
        <v>2455</v>
      </c>
      <c r="B467" t="s">
        <v>64</v>
      </c>
      <c r="C467" t="s">
        <v>2276</v>
      </c>
      <c r="D467" t="s">
        <v>2281</v>
      </c>
      <c r="E467" t="s">
        <v>2287</v>
      </c>
      <c r="F467">
        <v>2023</v>
      </c>
      <c r="I467">
        <v>73</v>
      </c>
    </row>
    <row r="468" spans="1:9" x14ac:dyDescent="0.3">
      <c r="A468" t="s">
        <v>2456</v>
      </c>
      <c r="B468" t="s">
        <v>57</v>
      </c>
      <c r="C468" t="s">
        <v>2276</v>
      </c>
      <c r="D468" t="s">
        <v>2277</v>
      </c>
      <c r="E468" t="s">
        <v>2287</v>
      </c>
      <c r="F468">
        <v>2023</v>
      </c>
      <c r="H468">
        <v>1200</v>
      </c>
      <c r="I468">
        <v>198</v>
      </c>
    </row>
    <row r="469" spans="1:9" x14ac:dyDescent="0.3">
      <c r="A469" t="s">
        <v>2457</v>
      </c>
      <c r="B469" t="s">
        <v>98</v>
      </c>
      <c r="C469" t="s">
        <v>2280</v>
      </c>
      <c r="D469" t="s">
        <v>29</v>
      </c>
      <c r="E469" t="s">
        <v>2278</v>
      </c>
      <c r="F469">
        <v>2021</v>
      </c>
      <c r="G469" t="s">
        <v>2289</v>
      </c>
      <c r="H469">
        <v>700</v>
      </c>
      <c r="I469">
        <v>114</v>
      </c>
    </row>
    <row r="470" spans="1:9" x14ac:dyDescent="0.3">
      <c r="A470" t="s">
        <v>2458</v>
      </c>
      <c r="B470" t="s">
        <v>28</v>
      </c>
      <c r="C470" t="s">
        <v>2276</v>
      </c>
      <c r="D470" t="s">
        <v>2281</v>
      </c>
      <c r="E470" t="s">
        <v>2282</v>
      </c>
      <c r="F470">
        <v>2023</v>
      </c>
      <c r="H470">
        <v>500</v>
      </c>
      <c r="I470">
        <v>37</v>
      </c>
    </row>
    <row r="471" spans="1:9" x14ac:dyDescent="0.3">
      <c r="A471" t="s">
        <v>2459</v>
      </c>
      <c r="B471" t="s">
        <v>98</v>
      </c>
      <c r="C471" t="s">
        <v>37</v>
      </c>
      <c r="D471" t="s">
        <v>2286</v>
      </c>
      <c r="E471" t="s">
        <v>2287</v>
      </c>
      <c r="F471">
        <v>2024</v>
      </c>
      <c r="G471" t="s">
        <v>2279</v>
      </c>
      <c r="H471">
        <v>500</v>
      </c>
      <c r="I471">
        <v>214</v>
      </c>
    </row>
    <row r="472" spans="1:9" x14ac:dyDescent="0.3">
      <c r="A472" t="s">
        <v>2460</v>
      </c>
      <c r="B472" t="s">
        <v>28</v>
      </c>
      <c r="C472" t="s">
        <v>2276</v>
      </c>
      <c r="D472" t="s">
        <v>2277</v>
      </c>
      <c r="E472" t="s">
        <v>2287</v>
      </c>
      <c r="F472">
        <v>2022</v>
      </c>
      <c r="G472" t="s">
        <v>2289</v>
      </c>
      <c r="H472">
        <v>900</v>
      </c>
      <c r="I472">
        <v>276</v>
      </c>
    </row>
    <row r="473" spans="1:9" x14ac:dyDescent="0.3">
      <c r="A473" t="s">
        <v>2461</v>
      </c>
      <c r="B473" t="s">
        <v>64</v>
      </c>
      <c r="C473" t="s">
        <v>2280</v>
      </c>
      <c r="D473" t="s">
        <v>29</v>
      </c>
      <c r="E473" t="s">
        <v>2287</v>
      </c>
      <c r="F473">
        <v>2021</v>
      </c>
      <c r="G473" t="s">
        <v>2289</v>
      </c>
      <c r="H473">
        <v>900</v>
      </c>
      <c r="I473">
        <v>299</v>
      </c>
    </row>
    <row r="474" spans="1:9" x14ac:dyDescent="0.3">
      <c r="A474" t="s">
        <v>2462</v>
      </c>
      <c r="B474" t="s">
        <v>28</v>
      </c>
      <c r="C474" t="s">
        <v>2276</v>
      </c>
      <c r="D474" t="s">
        <v>2277</v>
      </c>
      <c r="E474" t="s">
        <v>2287</v>
      </c>
      <c r="F474">
        <v>2023</v>
      </c>
      <c r="G474" t="s">
        <v>2283</v>
      </c>
      <c r="H474">
        <v>900</v>
      </c>
      <c r="I474">
        <v>91</v>
      </c>
    </row>
    <row r="475" spans="1:9" x14ac:dyDescent="0.3">
      <c r="A475" t="s">
        <v>2463</v>
      </c>
      <c r="B475" t="s">
        <v>28</v>
      </c>
      <c r="C475" t="s">
        <v>2288</v>
      </c>
      <c r="D475" t="s">
        <v>2284</v>
      </c>
      <c r="E475" t="s">
        <v>2282</v>
      </c>
      <c r="F475">
        <v>2024</v>
      </c>
      <c r="G475" t="s">
        <v>2285</v>
      </c>
      <c r="H475">
        <v>700</v>
      </c>
      <c r="I475">
        <v>247</v>
      </c>
    </row>
    <row r="476" spans="1:9" x14ac:dyDescent="0.3">
      <c r="A476" t="s">
        <v>2464</v>
      </c>
      <c r="B476" t="s">
        <v>64</v>
      </c>
      <c r="C476" t="s">
        <v>2280</v>
      </c>
      <c r="D476" t="s">
        <v>2284</v>
      </c>
      <c r="E476" t="s">
        <v>2278</v>
      </c>
      <c r="F476">
        <v>2022</v>
      </c>
      <c r="G476" t="s">
        <v>2285</v>
      </c>
      <c r="I476">
        <v>142</v>
      </c>
    </row>
    <row r="477" spans="1:9" x14ac:dyDescent="0.3">
      <c r="A477" t="s">
        <v>2465</v>
      </c>
      <c r="B477" t="s">
        <v>98</v>
      </c>
      <c r="C477" t="s">
        <v>2288</v>
      </c>
      <c r="D477" t="s">
        <v>2277</v>
      </c>
      <c r="E477" t="s">
        <v>2287</v>
      </c>
      <c r="F477">
        <v>2024</v>
      </c>
      <c r="G477" t="s">
        <v>2285</v>
      </c>
      <c r="H477">
        <v>700</v>
      </c>
      <c r="I477">
        <v>249</v>
      </c>
    </row>
    <row r="478" spans="1:9" x14ac:dyDescent="0.3">
      <c r="A478" t="s">
        <v>2466</v>
      </c>
      <c r="B478" t="s">
        <v>98</v>
      </c>
      <c r="C478" t="s">
        <v>2280</v>
      </c>
      <c r="D478" t="s">
        <v>2284</v>
      </c>
      <c r="E478" t="s">
        <v>2278</v>
      </c>
      <c r="F478">
        <v>2024</v>
      </c>
      <c r="G478" t="s">
        <v>2279</v>
      </c>
      <c r="H478">
        <v>1200</v>
      </c>
      <c r="I478">
        <v>87</v>
      </c>
    </row>
    <row r="479" spans="1:9" x14ac:dyDescent="0.3">
      <c r="A479" t="s">
        <v>2467</v>
      </c>
      <c r="B479" t="s">
        <v>73</v>
      </c>
      <c r="C479" t="s">
        <v>2288</v>
      </c>
      <c r="D479" t="s">
        <v>2277</v>
      </c>
      <c r="E479" t="s">
        <v>2287</v>
      </c>
      <c r="F479">
        <v>2022</v>
      </c>
      <c r="G479" t="s">
        <v>2289</v>
      </c>
      <c r="H479">
        <v>900</v>
      </c>
      <c r="I479">
        <v>244</v>
      </c>
    </row>
    <row r="480" spans="1:9" x14ac:dyDescent="0.3">
      <c r="A480" t="s">
        <v>2468</v>
      </c>
      <c r="B480" t="s">
        <v>28</v>
      </c>
      <c r="C480" t="s">
        <v>2280</v>
      </c>
      <c r="D480" t="s">
        <v>29</v>
      </c>
      <c r="E480" t="s">
        <v>2278</v>
      </c>
      <c r="F480">
        <v>2023</v>
      </c>
      <c r="H480">
        <v>1500</v>
      </c>
      <c r="I480">
        <v>37</v>
      </c>
    </row>
    <row r="481" spans="1:9" x14ac:dyDescent="0.3">
      <c r="A481" t="s">
        <v>2469</v>
      </c>
      <c r="B481" t="s">
        <v>28</v>
      </c>
      <c r="C481" t="s">
        <v>2280</v>
      </c>
      <c r="D481" t="s">
        <v>2284</v>
      </c>
      <c r="E481" t="s">
        <v>2278</v>
      </c>
      <c r="F481">
        <v>2021</v>
      </c>
      <c r="G481" t="s">
        <v>2285</v>
      </c>
      <c r="H481">
        <v>900</v>
      </c>
      <c r="I481">
        <v>137</v>
      </c>
    </row>
    <row r="482" spans="1:9" x14ac:dyDescent="0.3">
      <c r="A482" t="s">
        <v>2470</v>
      </c>
      <c r="B482" t="s">
        <v>28</v>
      </c>
      <c r="C482" t="s">
        <v>2288</v>
      </c>
      <c r="D482" t="s">
        <v>29</v>
      </c>
      <c r="E482" t="s">
        <v>2278</v>
      </c>
      <c r="F482">
        <v>2024</v>
      </c>
      <c r="G482" t="s">
        <v>2279</v>
      </c>
      <c r="H482">
        <v>900</v>
      </c>
      <c r="I482">
        <v>242</v>
      </c>
    </row>
    <row r="483" spans="1:9" x14ac:dyDescent="0.3">
      <c r="A483" t="s">
        <v>2471</v>
      </c>
      <c r="B483" t="s">
        <v>57</v>
      </c>
      <c r="C483" t="s">
        <v>19</v>
      </c>
      <c r="D483" t="s">
        <v>2286</v>
      </c>
      <c r="E483" t="s">
        <v>2282</v>
      </c>
      <c r="F483">
        <v>2023</v>
      </c>
      <c r="H483">
        <v>1200</v>
      </c>
      <c r="I483">
        <v>38</v>
      </c>
    </row>
    <row r="484" spans="1:9" x14ac:dyDescent="0.3">
      <c r="A484" t="s">
        <v>2472</v>
      </c>
      <c r="B484" t="s">
        <v>98</v>
      </c>
      <c r="C484" t="s">
        <v>2276</v>
      </c>
      <c r="D484" t="s">
        <v>2281</v>
      </c>
      <c r="E484" t="s">
        <v>2278</v>
      </c>
      <c r="F484">
        <v>2022</v>
      </c>
      <c r="G484" t="s">
        <v>2289</v>
      </c>
      <c r="H484">
        <v>700</v>
      </c>
      <c r="I484">
        <v>209</v>
      </c>
    </row>
    <row r="485" spans="1:9" x14ac:dyDescent="0.3">
      <c r="A485" t="s">
        <v>2473</v>
      </c>
      <c r="B485" t="s">
        <v>28</v>
      </c>
      <c r="C485" t="s">
        <v>2280</v>
      </c>
      <c r="D485" t="s">
        <v>2281</v>
      </c>
      <c r="E485" t="s">
        <v>2278</v>
      </c>
      <c r="F485">
        <v>2022</v>
      </c>
      <c r="G485" t="s">
        <v>2279</v>
      </c>
      <c r="H485">
        <v>1500</v>
      </c>
      <c r="I485">
        <v>211</v>
      </c>
    </row>
    <row r="486" spans="1:9" x14ac:dyDescent="0.3">
      <c r="A486" t="s">
        <v>2474</v>
      </c>
      <c r="B486" t="s">
        <v>98</v>
      </c>
      <c r="C486" t="s">
        <v>19</v>
      </c>
      <c r="D486" t="s">
        <v>29</v>
      </c>
      <c r="E486" t="s">
        <v>2282</v>
      </c>
      <c r="F486">
        <v>2022</v>
      </c>
      <c r="G486" t="s">
        <v>2285</v>
      </c>
      <c r="H486">
        <v>700</v>
      </c>
      <c r="I486">
        <v>118</v>
      </c>
    </row>
    <row r="487" spans="1:9" x14ac:dyDescent="0.3">
      <c r="A487" t="s">
        <v>2475</v>
      </c>
      <c r="B487" t="s">
        <v>73</v>
      </c>
      <c r="C487" t="s">
        <v>2288</v>
      </c>
      <c r="D487" t="s">
        <v>2277</v>
      </c>
      <c r="E487" t="s">
        <v>2282</v>
      </c>
      <c r="F487">
        <v>2023</v>
      </c>
      <c r="G487" t="s">
        <v>2285</v>
      </c>
      <c r="H487">
        <v>1200</v>
      </c>
      <c r="I487">
        <v>225</v>
      </c>
    </row>
    <row r="488" spans="1:9" x14ac:dyDescent="0.3">
      <c r="A488" t="s">
        <v>2476</v>
      </c>
      <c r="B488" t="s">
        <v>98</v>
      </c>
      <c r="C488" t="s">
        <v>2276</v>
      </c>
      <c r="D488" t="s">
        <v>29</v>
      </c>
      <c r="E488" t="s">
        <v>2278</v>
      </c>
      <c r="F488">
        <v>2022</v>
      </c>
      <c r="G488" t="s">
        <v>2285</v>
      </c>
      <c r="H488">
        <v>1500</v>
      </c>
      <c r="I488">
        <v>74</v>
      </c>
    </row>
    <row r="489" spans="1:9" x14ac:dyDescent="0.3">
      <c r="A489" t="s">
        <v>2477</v>
      </c>
      <c r="B489" t="s">
        <v>28</v>
      </c>
      <c r="C489" t="s">
        <v>37</v>
      </c>
      <c r="D489" t="s">
        <v>2284</v>
      </c>
      <c r="E489" t="s">
        <v>2282</v>
      </c>
      <c r="F489">
        <v>2021</v>
      </c>
      <c r="G489" t="s">
        <v>2289</v>
      </c>
      <c r="I489">
        <v>116</v>
      </c>
    </row>
    <row r="490" spans="1:9" x14ac:dyDescent="0.3">
      <c r="A490" t="s">
        <v>2478</v>
      </c>
      <c r="B490" t="s">
        <v>57</v>
      </c>
      <c r="C490" t="s">
        <v>2288</v>
      </c>
      <c r="D490" t="s">
        <v>29</v>
      </c>
      <c r="E490" t="s">
        <v>2287</v>
      </c>
      <c r="F490">
        <v>2022</v>
      </c>
      <c r="G490" t="s">
        <v>2285</v>
      </c>
      <c r="H490">
        <v>1500</v>
      </c>
      <c r="I490">
        <v>106</v>
      </c>
    </row>
    <row r="491" spans="1:9" x14ac:dyDescent="0.3">
      <c r="A491" t="s">
        <v>2479</v>
      </c>
      <c r="B491" t="s">
        <v>73</v>
      </c>
      <c r="C491" t="s">
        <v>2280</v>
      </c>
      <c r="D491" t="s">
        <v>29</v>
      </c>
      <c r="E491" t="s">
        <v>2278</v>
      </c>
      <c r="F491">
        <v>2024</v>
      </c>
      <c r="I491">
        <v>76</v>
      </c>
    </row>
    <row r="492" spans="1:9" x14ac:dyDescent="0.3">
      <c r="A492" t="s">
        <v>2480</v>
      </c>
      <c r="B492" t="s">
        <v>28</v>
      </c>
      <c r="C492" t="s">
        <v>37</v>
      </c>
      <c r="D492" t="s">
        <v>2286</v>
      </c>
      <c r="E492" t="s">
        <v>2287</v>
      </c>
      <c r="F492">
        <v>2021</v>
      </c>
      <c r="G492" t="s">
        <v>2283</v>
      </c>
      <c r="H492">
        <v>900</v>
      </c>
      <c r="I492">
        <v>279</v>
      </c>
    </row>
    <row r="493" spans="1:9" x14ac:dyDescent="0.3">
      <c r="A493" t="s">
        <v>2481</v>
      </c>
      <c r="B493" t="s">
        <v>73</v>
      </c>
      <c r="C493" t="s">
        <v>2276</v>
      </c>
      <c r="D493" t="s">
        <v>29</v>
      </c>
      <c r="E493" t="s">
        <v>2278</v>
      </c>
      <c r="F493">
        <v>2023</v>
      </c>
      <c r="G493" t="s">
        <v>2289</v>
      </c>
      <c r="H493">
        <v>500</v>
      </c>
      <c r="I493">
        <v>166</v>
      </c>
    </row>
    <row r="494" spans="1:9" x14ac:dyDescent="0.3">
      <c r="A494" t="s">
        <v>2482</v>
      </c>
      <c r="B494" t="s">
        <v>28</v>
      </c>
      <c r="C494" t="s">
        <v>19</v>
      </c>
      <c r="D494" t="s">
        <v>2284</v>
      </c>
      <c r="E494" t="s">
        <v>2287</v>
      </c>
      <c r="F494">
        <v>2022</v>
      </c>
      <c r="H494">
        <v>1200</v>
      </c>
      <c r="I494">
        <v>20</v>
      </c>
    </row>
    <row r="495" spans="1:9" x14ac:dyDescent="0.3">
      <c r="A495" t="s">
        <v>2483</v>
      </c>
      <c r="B495" t="s">
        <v>64</v>
      </c>
      <c r="C495" t="s">
        <v>37</v>
      </c>
      <c r="D495" t="s">
        <v>29</v>
      </c>
      <c r="E495" t="s">
        <v>2282</v>
      </c>
      <c r="F495">
        <v>2023</v>
      </c>
      <c r="G495" t="s">
        <v>2289</v>
      </c>
      <c r="H495">
        <v>1200</v>
      </c>
      <c r="I495">
        <v>94</v>
      </c>
    </row>
    <row r="496" spans="1:9" x14ac:dyDescent="0.3">
      <c r="A496" t="s">
        <v>2484</v>
      </c>
      <c r="B496" t="s">
        <v>57</v>
      </c>
      <c r="C496" t="s">
        <v>19</v>
      </c>
      <c r="D496" t="s">
        <v>29</v>
      </c>
      <c r="E496" t="s">
        <v>2282</v>
      </c>
      <c r="F496">
        <v>2022</v>
      </c>
      <c r="G496" t="s">
        <v>2289</v>
      </c>
      <c r="H496">
        <v>1500</v>
      </c>
      <c r="I496">
        <v>59</v>
      </c>
    </row>
    <row r="497" spans="1:9" x14ac:dyDescent="0.3">
      <c r="A497" t="s">
        <v>2485</v>
      </c>
      <c r="B497" t="s">
        <v>98</v>
      </c>
      <c r="C497" t="s">
        <v>2276</v>
      </c>
      <c r="D497" t="s">
        <v>2281</v>
      </c>
      <c r="E497" t="s">
        <v>2287</v>
      </c>
      <c r="F497">
        <v>2023</v>
      </c>
      <c r="G497" t="s">
        <v>2289</v>
      </c>
      <c r="H497">
        <v>700</v>
      </c>
      <c r="I497">
        <v>172</v>
      </c>
    </row>
    <row r="498" spans="1:9" x14ac:dyDescent="0.3">
      <c r="A498" t="s">
        <v>2486</v>
      </c>
      <c r="B498" t="s">
        <v>57</v>
      </c>
      <c r="C498" t="s">
        <v>2280</v>
      </c>
      <c r="D498" t="s">
        <v>29</v>
      </c>
      <c r="E498" t="s">
        <v>2278</v>
      </c>
      <c r="F498">
        <v>2023</v>
      </c>
      <c r="G498" t="s">
        <v>2283</v>
      </c>
      <c r="H498">
        <v>1500</v>
      </c>
      <c r="I498">
        <v>87</v>
      </c>
    </row>
    <row r="499" spans="1:9" x14ac:dyDescent="0.3">
      <c r="A499" t="s">
        <v>2487</v>
      </c>
      <c r="B499" t="s">
        <v>64</v>
      </c>
      <c r="C499" t="s">
        <v>2288</v>
      </c>
      <c r="D499" t="s">
        <v>2286</v>
      </c>
      <c r="E499" t="s">
        <v>2287</v>
      </c>
      <c r="F499">
        <v>2022</v>
      </c>
      <c r="G499" t="s">
        <v>2285</v>
      </c>
      <c r="H499">
        <v>1500</v>
      </c>
      <c r="I499">
        <v>123</v>
      </c>
    </row>
    <row r="500" spans="1:9" x14ac:dyDescent="0.3">
      <c r="A500" t="s">
        <v>2488</v>
      </c>
      <c r="B500" t="s">
        <v>73</v>
      </c>
      <c r="C500" t="s">
        <v>37</v>
      </c>
      <c r="D500" t="s">
        <v>2286</v>
      </c>
      <c r="E500" t="s">
        <v>2282</v>
      </c>
      <c r="F500">
        <v>2024</v>
      </c>
      <c r="G500" t="s">
        <v>2285</v>
      </c>
      <c r="H500">
        <v>1500</v>
      </c>
      <c r="I500">
        <v>73</v>
      </c>
    </row>
    <row r="501" spans="1:9" x14ac:dyDescent="0.3">
      <c r="A501" t="s">
        <v>2489</v>
      </c>
      <c r="B501" t="s">
        <v>98</v>
      </c>
      <c r="C501" t="s">
        <v>2276</v>
      </c>
      <c r="D501" t="s">
        <v>2277</v>
      </c>
      <c r="E501" t="s">
        <v>2287</v>
      </c>
      <c r="F501">
        <v>2022</v>
      </c>
      <c r="G501" t="s">
        <v>2283</v>
      </c>
      <c r="H501">
        <v>500</v>
      </c>
      <c r="I501">
        <v>101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40BB-CED2-4D36-AAEF-A638DB1E0A82}">
  <dimension ref="A2:E2"/>
  <sheetViews>
    <sheetView tabSelected="1" topLeftCell="C2" zoomScale="103" workbookViewId="0">
      <selection activeCell="E2" sqref="E2"/>
    </sheetView>
  </sheetViews>
  <sheetFormatPr defaultRowHeight="14.4" x14ac:dyDescent="0.3"/>
  <cols>
    <col min="1" max="1" width="49.88671875" bestFit="1" customWidth="1"/>
    <col min="2" max="2" width="49.21875" bestFit="1" customWidth="1"/>
    <col min="3" max="3" width="49" bestFit="1" customWidth="1"/>
    <col min="4" max="4" width="50.109375" bestFit="1" customWidth="1"/>
    <col min="5" max="5" width="51.5546875" customWidth="1"/>
  </cols>
  <sheetData>
    <row r="2" spans="1:5" x14ac:dyDescent="0.3">
      <c r="A2" s="11" t="s">
        <v>3004</v>
      </c>
      <c r="B2" s="11" t="s">
        <v>3005</v>
      </c>
      <c r="C2" s="11" t="s">
        <v>3006</v>
      </c>
      <c r="D2" s="11" t="s">
        <v>3007</v>
      </c>
      <c r="E2" t="s">
        <v>3008</v>
      </c>
    </row>
  </sheetData>
  <hyperlinks>
    <hyperlink ref="A2" r:id="rId1" xr:uid="{8BDF7A7D-BAB7-49CA-8DA8-1F0B353C4B51}"/>
    <hyperlink ref="B2" r:id="rId2" xr:uid="{8CA86C36-E1EA-4EA8-A920-9F1AB1A61E15}"/>
    <hyperlink ref="C2" r:id="rId3" xr:uid="{7D1BB329-3481-475E-849C-853C84FF1A86}"/>
    <hyperlink ref="D2" r:id="rId4" xr:uid="{A50C2A2D-8768-435F-8CA7-11087F2A613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1"/>
  <sheetViews>
    <sheetView workbookViewId="0">
      <selection sqref="A1:I301"/>
    </sheetView>
  </sheetViews>
  <sheetFormatPr defaultRowHeight="14.4" x14ac:dyDescent="0.3"/>
  <cols>
    <col min="1" max="1" width="13.77734375" customWidth="1"/>
    <col min="4" max="4" width="9" customWidth="1"/>
    <col min="6" max="6" width="13.109375" customWidth="1"/>
    <col min="7" max="7" width="13.6640625" customWidth="1"/>
    <col min="8" max="8" width="12.44140625" customWidth="1"/>
    <col min="9" max="9" width="19.77734375" customWidth="1"/>
  </cols>
  <sheetData>
    <row r="1" spans="1:9" x14ac:dyDescent="0.3">
      <c r="A1" s="9" t="s">
        <v>2490</v>
      </c>
      <c r="B1" s="9" t="s">
        <v>2491</v>
      </c>
      <c r="C1" s="9" t="s">
        <v>2492</v>
      </c>
      <c r="D1" s="9" t="s">
        <v>2271</v>
      </c>
      <c r="E1" s="9" t="s">
        <v>10</v>
      </c>
      <c r="F1" s="9" t="s">
        <v>2493</v>
      </c>
      <c r="G1" s="9" t="s">
        <v>2494</v>
      </c>
      <c r="H1" s="9" t="s">
        <v>2495</v>
      </c>
      <c r="I1" s="9" t="s">
        <v>2496</v>
      </c>
    </row>
    <row r="2" spans="1:9" x14ac:dyDescent="0.3">
      <c r="A2" t="s">
        <v>2497</v>
      </c>
      <c r="B2" t="s">
        <v>2498</v>
      </c>
      <c r="D2" t="s">
        <v>30</v>
      </c>
      <c r="E2" t="s">
        <v>38</v>
      </c>
      <c r="F2" t="s">
        <v>2499</v>
      </c>
      <c r="G2">
        <v>3</v>
      </c>
      <c r="H2">
        <v>17455.53</v>
      </c>
      <c r="I2" t="s">
        <v>2500</v>
      </c>
    </row>
    <row r="3" spans="1:9" x14ac:dyDescent="0.3">
      <c r="A3" t="s">
        <v>2501</v>
      </c>
      <c r="B3" t="s">
        <v>2502</v>
      </c>
      <c r="C3">
        <v>42</v>
      </c>
      <c r="D3" t="s">
        <v>30</v>
      </c>
      <c r="E3" t="s">
        <v>38</v>
      </c>
      <c r="F3" t="s">
        <v>2503</v>
      </c>
      <c r="G3">
        <v>3</v>
      </c>
      <c r="I3" t="s">
        <v>1280</v>
      </c>
    </row>
    <row r="4" spans="1:9" x14ac:dyDescent="0.3">
      <c r="A4" t="s">
        <v>2504</v>
      </c>
      <c r="B4" t="s">
        <v>2505</v>
      </c>
      <c r="D4" t="s">
        <v>2506</v>
      </c>
      <c r="E4" t="s">
        <v>58</v>
      </c>
      <c r="F4" t="s">
        <v>2507</v>
      </c>
      <c r="G4">
        <v>3</v>
      </c>
      <c r="H4">
        <v>13461.74</v>
      </c>
      <c r="I4" t="s">
        <v>2508</v>
      </c>
    </row>
    <row r="5" spans="1:9" x14ac:dyDescent="0.3">
      <c r="A5" t="s">
        <v>2509</v>
      </c>
      <c r="B5" t="s">
        <v>2498</v>
      </c>
      <c r="C5">
        <v>52</v>
      </c>
      <c r="D5" t="s">
        <v>30</v>
      </c>
      <c r="E5" t="s">
        <v>31</v>
      </c>
      <c r="F5" t="s">
        <v>2507</v>
      </c>
      <c r="G5">
        <v>11</v>
      </c>
      <c r="I5" t="s">
        <v>2510</v>
      </c>
    </row>
    <row r="6" spans="1:9" x14ac:dyDescent="0.3">
      <c r="A6" t="s">
        <v>2511</v>
      </c>
      <c r="B6" t="s">
        <v>2512</v>
      </c>
      <c r="C6">
        <v>20</v>
      </c>
      <c r="D6" t="s">
        <v>2506</v>
      </c>
      <c r="E6" t="s">
        <v>58</v>
      </c>
      <c r="F6" t="s">
        <v>2499</v>
      </c>
      <c r="G6">
        <v>2</v>
      </c>
      <c r="I6" t="s">
        <v>2513</v>
      </c>
    </row>
    <row r="7" spans="1:9" x14ac:dyDescent="0.3">
      <c r="A7" t="s">
        <v>2514</v>
      </c>
      <c r="B7" t="s">
        <v>2515</v>
      </c>
      <c r="D7" t="s">
        <v>2506</v>
      </c>
      <c r="E7" t="s">
        <v>58</v>
      </c>
      <c r="F7" t="s">
        <v>2503</v>
      </c>
      <c r="G7">
        <v>16</v>
      </c>
      <c r="H7">
        <v>15754.18</v>
      </c>
      <c r="I7" t="s">
        <v>2516</v>
      </c>
    </row>
    <row r="8" spans="1:9" x14ac:dyDescent="0.3">
      <c r="A8" t="s">
        <v>2517</v>
      </c>
      <c r="B8" t="s">
        <v>2502</v>
      </c>
      <c r="D8" t="s">
        <v>30</v>
      </c>
      <c r="E8" t="s">
        <v>38</v>
      </c>
      <c r="F8" t="s">
        <v>2507</v>
      </c>
      <c r="G8">
        <v>6</v>
      </c>
    </row>
    <row r="9" spans="1:9" x14ac:dyDescent="0.3">
      <c r="A9" t="s">
        <v>2518</v>
      </c>
      <c r="B9" t="s">
        <v>2519</v>
      </c>
      <c r="C9">
        <v>31</v>
      </c>
      <c r="D9" t="s">
        <v>30</v>
      </c>
      <c r="E9" t="s">
        <v>21</v>
      </c>
      <c r="F9" t="s">
        <v>2499</v>
      </c>
      <c r="G9">
        <v>8</v>
      </c>
      <c r="H9">
        <v>2143.2800000000002</v>
      </c>
      <c r="I9" t="s">
        <v>698</v>
      </c>
    </row>
    <row r="10" spans="1:9" x14ac:dyDescent="0.3">
      <c r="A10" t="s">
        <v>2520</v>
      </c>
      <c r="B10" t="s">
        <v>2515</v>
      </c>
      <c r="C10">
        <v>53</v>
      </c>
      <c r="D10" t="s">
        <v>30</v>
      </c>
      <c r="E10" t="s">
        <v>21</v>
      </c>
      <c r="F10" t="s">
        <v>2507</v>
      </c>
      <c r="G10">
        <v>19</v>
      </c>
      <c r="H10">
        <v>14578.52</v>
      </c>
    </row>
    <row r="11" spans="1:9" x14ac:dyDescent="0.3">
      <c r="A11" t="s">
        <v>2521</v>
      </c>
      <c r="B11" t="s">
        <v>2512</v>
      </c>
      <c r="D11" t="s">
        <v>2506</v>
      </c>
      <c r="E11" t="s">
        <v>38</v>
      </c>
      <c r="F11" t="s">
        <v>2503</v>
      </c>
      <c r="G11">
        <v>5</v>
      </c>
      <c r="H11">
        <v>13114.86</v>
      </c>
      <c r="I11" t="s">
        <v>2522</v>
      </c>
    </row>
    <row r="12" spans="1:9" x14ac:dyDescent="0.3">
      <c r="A12" t="s">
        <v>2523</v>
      </c>
      <c r="B12" t="s">
        <v>2502</v>
      </c>
      <c r="C12">
        <v>49</v>
      </c>
      <c r="D12" t="s">
        <v>2506</v>
      </c>
      <c r="E12" t="s">
        <v>58</v>
      </c>
      <c r="F12" t="s">
        <v>2507</v>
      </c>
      <c r="G12">
        <v>13</v>
      </c>
      <c r="H12">
        <v>4780.7</v>
      </c>
      <c r="I12" t="s">
        <v>2524</v>
      </c>
    </row>
    <row r="13" spans="1:9" x14ac:dyDescent="0.3">
      <c r="A13" t="s">
        <v>2525</v>
      </c>
      <c r="B13" t="s">
        <v>2512</v>
      </c>
      <c r="C13">
        <v>27</v>
      </c>
      <c r="D13" t="s">
        <v>2506</v>
      </c>
      <c r="E13" t="s">
        <v>21</v>
      </c>
      <c r="F13" t="s">
        <v>2499</v>
      </c>
      <c r="G13">
        <v>7</v>
      </c>
      <c r="H13">
        <v>11630.7</v>
      </c>
      <c r="I13" t="s">
        <v>2526</v>
      </c>
    </row>
    <row r="14" spans="1:9" x14ac:dyDescent="0.3">
      <c r="A14" t="s">
        <v>2527</v>
      </c>
      <c r="B14" t="s">
        <v>2528</v>
      </c>
      <c r="D14" t="s">
        <v>2506</v>
      </c>
      <c r="E14" t="s">
        <v>38</v>
      </c>
      <c r="F14" t="s">
        <v>2499</v>
      </c>
      <c r="G14">
        <v>19</v>
      </c>
      <c r="H14">
        <v>14103.14</v>
      </c>
      <c r="I14" t="s">
        <v>2529</v>
      </c>
    </row>
    <row r="15" spans="1:9" x14ac:dyDescent="0.3">
      <c r="A15" t="s">
        <v>2530</v>
      </c>
      <c r="B15" t="s">
        <v>2502</v>
      </c>
      <c r="C15">
        <v>55</v>
      </c>
      <c r="D15" t="s">
        <v>2506</v>
      </c>
      <c r="E15" t="s">
        <v>58</v>
      </c>
      <c r="F15" t="s">
        <v>2503</v>
      </c>
      <c r="G15">
        <v>7</v>
      </c>
    </row>
    <row r="16" spans="1:9" x14ac:dyDescent="0.3">
      <c r="A16" t="s">
        <v>2531</v>
      </c>
      <c r="B16" t="s">
        <v>2498</v>
      </c>
      <c r="D16" t="s">
        <v>2506</v>
      </c>
      <c r="E16" t="s">
        <v>31</v>
      </c>
      <c r="F16" t="s">
        <v>2503</v>
      </c>
      <c r="G16">
        <v>8</v>
      </c>
      <c r="H16">
        <v>13837.68</v>
      </c>
      <c r="I16" t="s">
        <v>2532</v>
      </c>
    </row>
    <row r="17" spans="1:9" x14ac:dyDescent="0.3">
      <c r="A17" t="s">
        <v>2533</v>
      </c>
      <c r="B17" t="s">
        <v>2519</v>
      </c>
      <c r="D17" t="s">
        <v>2506</v>
      </c>
      <c r="E17" t="s">
        <v>58</v>
      </c>
      <c r="F17" t="s">
        <v>2507</v>
      </c>
      <c r="G17">
        <v>11</v>
      </c>
      <c r="I17" t="s">
        <v>2534</v>
      </c>
    </row>
    <row r="18" spans="1:9" x14ac:dyDescent="0.3">
      <c r="A18" t="s">
        <v>2535</v>
      </c>
      <c r="B18" t="s">
        <v>2505</v>
      </c>
      <c r="C18">
        <v>32</v>
      </c>
      <c r="D18" t="s">
        <v>30</v>
      </c>
      <c r="E18" t="s">
        <v>31</v>
      </c>
      <c r="F18" t="s">
        <v>2499</v>
      </c>
      <c r="G18">
        <v>9</v>
      </c>
      <c r="I18" t="s">
        <v>2536</v>
      </c>
    </row>
    <row r="19" spans="1:9" x14ac:dyDescent="0.3">
      <c r="A19" t="s">
        <v>2537</v>
      </c>
      <c r="B19" t="s">
        <v>2502</v>
      </c>
      <c r="C19">
        <v>46</v>
      </c>
      <c r="D19" t="s">
        <v>2506</v>
      </c>
      <c r="E19" t="s">
        <v>38</v>
      </c>
      <c r="F19" t="s">
        <v>2503</v>
      </c>
      <c r="G19">
        <v>8</v>
      </c>
      <c r="H19">
        <v>17069.400000000001</v>
      </c>
      <c r="I19" t="s">
        <v>1865</v>
      </c>
    </row>
    <row r="20" spans="1:9" x14ac:dyDescent="0.3">
      <c r="A20" t="s">
        <v>2538</v>
      </c>
      <c r="B20" t="s">
        <v>2505</v>
      </c>
      <c r="D20" t="s">
        <v>30</v>
      </c>
      <c r="E20" t="s">
        <v>21</v>
      </c>
      <c r="F20" t="s">
        <v>2499</v>
      </c>
      <c r="G20">
        <v>20</v>
      </c>
      <c r="I20" t="s">
        <v>1848</v>
      </c>
    </row>
    <row r="21" spans="1:9" x14ac:dyDescent="0.3">
      <c r="A21" t="s">
        <v>2539</v>
      </c>
      <c r="B21" t="s">
        <v>2515</v>
      </c>
      <c r="C21">
        <v>52</v>
      </c>
      <c r="D21" t="s">
        <v>30</v>
      </c>
      <c r="E21" t="s">
        <v>31</v>
      </c>
      <c r="F21" t="s">
        <v>2503</v>
      </c>
      <c r="G21">
        <v>20</v>
      </c>
      <c r="I21" t="s">
        <v>1473</v>
      </c>
    </row>
    <row r="22" spans="1:9" x14ac:dyDescent="0.3">
      <c r="A22" t="s">
        <v>2540</v>
      </c>
      <c r="B22" t="s">
        <v>2502</v>
      </c>
      <c r="C22">
        <v>32</v>
      </c>
      <c r="D22" t="s">
        <v>30</v>
      </c>
      <c r="E22" t="s">
        <v>58</v>
      </c>
      <c r="F22" t="s">
        <v>2507</v>
      </c>
      <c r="G22">
        <v>8</v>
      </c>
      <c r="I22" t="s">
        <v>2541</v>
      </c>
    </row>
    <row r="23" spans="1:9" x14ac:dyDescent="0.3">
      <c r="A23" t="s">
        <v>2542</v>
      </c>
      <c r="B23" t="s">
        <v>2512</v>
      </c>
      <c r="D23" t="s">
        <v>2506</v>
      </c>
      <c r="E23" t="s">
        <v>58</v>
      </c>
      <c r="F23" t="s">
        <v>2503</v>
      </c>
      <c r="G23">
        <v>16</v>
      </c>
      <c r="I23" t="s">
        <v>2543</v>
      </c>
    </row>
    <row r="24" spans="1:9" x14ac:dyDescent="0.3">
      <c r="A24" t="s">
        <v>2544</v>
      </c>
      <c r="B24" t="s">
        <v>2502</v>
      </c>
      <c r="D24" t="s">
        <v>30</v>
      </c>
      <c r="E24" t="s">
        <v>31</v>
      </c>
      <c r="F24" t="s">
        <v>2507</v>
      </c>
      <c r="G24">
        <v>4</v>
      </c>
      <c r="H24">
        <v>17989.919999999998</v>
      </c>
      <c r="I24" t="s">
        <v>2545</v>
      </c>
    </row>
    <row r="25" spans="1:9" x14ac:dyDescent="0.3">
      <c r="A25" t="s">
        <v>2546</v>
      </c>
      <c r="B25" t="s">
        <v>2547</v>
      </c>
      <c r="C25">
        <v>51</v>
      </c>
      <c r="D25" t="s">
        <v>2506</v>
      </c>
      <c r="E25" t="s">
        <v>21</v>
      </c>
      <c r="F25" t="s">
        <v>2507</v>
      </c>
      <c r="G25">
        <v>20</v>
      </c>
    </row>
    <row r="26" spans="1:9" x14ac:dyDescent="0.3">
      <c r="A26" t="s">
        <v>2548</v>
      </c>
      <c r="B26" t="s">
        <v>2505</v>
      </c>
      <c r="C26">
        <v>32</v>
      </c>
      <c r="D26" t="s">
        <v>2506</v>
      </c>
      <c r="E26" t="s">
        <v>38</v>
      </c>
      <c r="F26" t="s">
        <v>2503</v>
      </c>
      <c r="G26">
        <v>15</v>
      </c>
      <c r="I26" t="s">
        <v>2549</v>
      </c>
    </row>
    <row r="27" spans="1:9" x14ac:dyDescent="0.3">
      <c r="A27" t="s">
        <v>2550</v>
      </c>
      <c r="B27" t="s">
        <v>2528</v>
      </c>
      <c r="C27">
        <v>49</v>
      </c>
      <c r="D27" t="s">
        <v>2506</v>
      </c>
      <c r="E27" t="s">
        <v>38</v>
      </c>
      <c r="F27" t="s">
        <v>2503</v>
      </c>
      <c r="G27">
        <v>19</v>
      </c>
      <c r="H27">
        <v>2393.87</v>
      </c>
    </row>
    <row r="28" spans="1:9" x14ac:dyDescent="0.3">
      <c r="A28" t="s">
        <v>2551</v>
      </c>
      <c r="B28" t="s">
        <v>2515</v>
      </c>
      <c r="D28" t="s">
        <v>2506</v>
      </c>
      <c r="E28" t="s">
        <v>38</v>
      </c>
      <c r="F28" t="s">
        <v>2503</v>
      </c>
      <c r="G28">
        <v>11</v>
      </c>
      <c r="I28" t="s">
        <v>2552</v>
      </c>
    </row>
    <row r="29" spans="1:9" x14ac:dyDescent="0.3">
      <c r="A29" t="s">
        <v>2553</v>
      </c>
      <c r="B29" t="s">
        <v>2498</v>
      </c>
      <c r="C29">
        <v>39</v>
      </c>
      <c r="D29" t="s">
        <v>30</v>
      </c>
      <c r="E29" t="s">
        <v>58</v>
      </c>
      <c r="F29" t="s">
        <v>2499</v>
      </c>
      <c r="G29">
        <v>4</v>
      </c>
      <c r="H29">
        <v>12122.59</v>
      </c>
      <c r="I29" t="s">
        <v>2554</v>
      </c>
    </row>
    <row r="30" spans="1:9" x14ac:dyDescent="0.3">
      <c r="A30" t="s">
        <v>2555</v>
      </c>
      <c r="B30" t="s">
        <v>2502</v>
      </c>
      <c r="D30" t="s">
        <v>2506</v>
      </c>
      <c r="E30" t="s">
        <v>38</v>
      </c>
      <c r="F30" t="s">
        <v>2507</v>
      </c>
      <c r="G30">
        <v>1</v>
      </c>
      <c r="H30">
        <v>5998.28</v>
      </c>
      <c r="I30" t="s">
        <v>2556</v>
      </c>
    </row>
    <row r="31" spans="1:9" x14ac:dyDescent="0.3">
      <c r="A31" t="s">
        <v>2557</v>
      </c>
      <c r="B31" t="s">
        <v>2515</v>
      </c>
      <c r="D31" t="s">
        <v>2506</v>
      </c>
      <c r="E31" t="s">
        <v>38</v>
      </c>
      <c r="F31" t="s">
        <v>2507</v>
      </c>
      <c r="G31">
        <v>19</v>
      </c>
      <c r="H31">
        <v>15567.61</v>
      </c>
      <c r="I31" t="s">
        <v>2558</v>
      </c>
    </row>
    <row r="32" spans="1:9" x14ac:dyDescent="0.3">
      <c r="A32" t="s">
        <v>2559</v>
      </c>
      <c r="B32" t="s">
        <v>2547</v>
      </c>
      <c r="D32" t="s">
        <v>30</v>
      </c>
      <c r="E32" t="s">
        <v>38</v>
      </c>
      <c r="F32" t="s">
        <v>2503</v>
      </c>
      <c r="G32">
        <v>13</v>
      </c>
      <c r="I32" t="s">
        <v>2560</v>
      </c>
    </row>
    <row r="33" spans="1:9" x14ac:dyDescent="0.3">
      <c r="A33" t="s">
        <v>2561</v>
      </c>
      <c r="B33" t="s">
        <v>2519</v>
      </c>
      <c r="D33" t="s">
        <v>2506</v>
      </c>
      <c r="E33" t="s">
        <v>21</v>
      </c>
      <c r="F33" t="s">
        <v>2499</v>
      </c>
      <c r="G33">
        <v>14</v>
      </c>
      <c r="I33" t="s">
        <v>2562</v>
      </c>
    </row>
    <row r="34" spans="1:9" x14ac:dyDescent="0.3">
      <c r="A34" t="s">
        <v>2563</v>
      </c>
      <c r="B34" t="s">
        <v>2564</v>
      </c>
      <c r="C34">
        <v>46</v>
      </c>
      <c r="D34" t="s">
        <v>30</v>
      </c>
      <c r="E34" t="s">
        <v>38</v>
      </c>
      <c r="F34" t="s">
        <v>2499</v>
      </c>
      <c r="G34">
        <v>12</v>
      </c>
      <c r="I34" t="s">
        <v>2565</v>
      </c>
    </row>
    <row r="35" spans="1:9" x14ac:dyDescent="0.3">
      <c r="A35" t="s">
        <v>2566</v>
      </c>
      <c r="B35" t="s">
        <v>2547</v>
      </c>
      <c r="D35" t="s">
        <v>2506</v>
      </c>
      <c r="E35" t="s">
        <v>21</v>
      </c>
      <c r="F35" t="s">
        <v>2507</v>
      </c>
      <c r="G35">
        <v>3</v>
      </c>
      <c r="H35">
        <v>19068.54</v>
      </c>
      <c r="I35" t="s">
        <v>2567</v>
      </c>
    </row>
    <row r="36" spans="1:9" x14ac:dyDescent="0.3">
      <c r="A36" t="s">
        <v>2568</v>
      </c>
      <c r="B36" t="s">
        <v>2515</v>
      </c>
      <c r="C36">
        <v>20</v>
      </c>
      <c r="D36" t="s">
        <v>30</v>
      </c>
      <c r="E36" t="s">
        <v>31</v>
      </c>
      <c r="F36" t="s">
        <v>2503</v>
      </c>
      <c r="G36">
        <v>15</v>
      </c>
      <c r="I36" t="s">
        <v>2569</v>
      </c>
    </row>
    <row r="37" spans="1:9" x14ac:dyDescent="0.3">
      <c r="A37" t="s">
        <v>2570</v>
      </c>
      <c r="B37" t="s">
        <v>2515</v>
      </c>
      <c r="C37">
        <v>32</v>
      </c>
      <c r="D37" t="s">
        <v>30</v>
      </c>
      <c r="E37" t="s">
        <v>38</v>
      </c>
      <c r="F37" t="s">
        <v>2507</v>
      </c>
      <c r="G37">
        <v>12</v>
      </c>
      <c r="I37" t="s">
        <v>2571</v>
      </c>
    </row>
    <row r="38" spans="1:9" x14ac:dyDescent="0.3">
      <c r="A38" t="s">
        <v>2572</v>
      </c>
      <c r="B38" t="s">
        <v>2512</v>
      </c>
      <c r="D38" t="s">
        <v>30</v>
      </c>
      <c r="E38" t="s">
        <v>58</v>
      </c>
      <c r="F38" t="s">
        <v>2503</v>
      </c>
      <c r="G38">
        <v>5</v>
      </c>
      <c r="H38">
        <v>16339.38</v>
      </c>
      <c r="I38" t="s">
        <v>2573</v>
      </c>
    </row>
    <row r="39" spans="1:9" x14ac:dyDescent="0.3">
      <c r="A39" t="s">
        <v>2574</v>
      </c>
      <c r="B39" t="s">
        <v>2512</v>
      </c>
      <c r="C39">
        <v>31</v>
      </c>
      <c r="D39" t="s">
        <v>2506</v>
      </c>
      <c r="E39" t="s">
        <v>58</v>
      </c>
      <c r="F39" t="s">
        <v>2507</v>
      </c>
      <c r="G39">
        <v>9</v>
      </c>
      <c r="H39">
        <v>8908.8799999999992</v>
      </c>
      <c r="I39" t="s">
        <v>2575</v>
      </c>
    </row>
    <row r="40" spans="1:9" x14ac:dyDescent="0.3">
      <c r="A40" t="s">
        <v>2576</v>
      </c>
      <c r="B40" t="s">
        <v>2498</v>
      </c>
      <c r="C40">
        <v>21</v>
      </c>
      <c r="D40" t="s">
        <v>30</v>
      </c>
      <c r="E40" t="s">
        <v>58</v>
      </c>
      <c r="F40" t="s">
        <v>2503</v>
      </c>
      <c r="G40">
        <v>20</v>
      </c>
      <c r="H40">
        <v>3909.91</v>
      </c>
      <c r="I40" t="s">
        <v>2577</v>
      </c>
    </row>
    <row r="41" spans="1:9" x14ac:dyDescent="0.3">
      <c r="A41" t="s">
        <v>2578</v>
      </c>
      <c r="B41" t="s">
        <v>2564</v>
      </c>
      <c r="D41" t="s">
        <v>2506</v>
      </c>
      <c r="E41" t="s">
        <v>38</v>
      </c>
      <c r="F41" t="s">
        <v>2503</v>
      </c>
      <c r="G41">
        <v>18</v>
      </c>
      <c r="I41" t="s">
        <v>2579</v>
      </c>
    </row>
    <row r="42" spans="1:9" x14ac:dyDescent="0.3">
      <c r="A42" t="s">
        <v>2580</v>
      </c>
      <c r="B42" t="s">
        <v>2564</v>
      </c>
      <c r="C42">
        <v>45</v>
      </c>
      <c r="D42" t="s">
        <v>2506</v>
      </c>
      <c r="E42" t="s">
        <v>38</v>
      </c>
      <c r="F42" t="s">
        <v>2499</v>
      </c>
      <c r="G42">
        <v>19</v>
      </c>
      <c r="I42" t="s">
        <v>2581</v>
      </c>
    </row>
    <row r="43" spans="1:9" x14ac:dyDescent="0.3">
      <c r="A43" t="s">
        <v>2582</v>
      </c>
      <c r="B43" t="s">
        <v>2512</v>
      </c>
      <c r="D43" t="s">
        <v>30</v>
      </c>
      <c r="E43" t="s">
        <v>58</v>
      </c>
      <c r="F43" t="s">
        <v>2503</v>
      </c>
      <c r="G43">
        <v>13</v>
      </c>
    </row>
    <row r="44" spans="1:9" x14ac:dyDescent="0.3">
      <c r="A44" t="s">
        <v>2583</v>
      </c>
      <c r="B44" t="s">
        <v>2498</v>
      </c>
      <c r="C44">
        <v>24</v>
      </c>
      <c r="D44" t="s">
        <v>30</v>
      </c>
      <c r="E44" t="s">
        <v>38</v>
      </c>
      <c r="F44" t="s">
        <v>2499</v>
      </c>
      <c r="G44">
        <v>13</v>
      </c>
      <c r="H44">
        <v>2249.41</v>
      </c>
      <c r="I44" t="s">
        <v>2584</v>
      </c>
    </row>
    <row r="45" spans="1:9" x14ac:dyDescent="0.3">
      <c r="A45" t="s">
        <v>2585</v>
      </c>
      <c r="B45" t="s">
        <v>2505</v>
      </c>
      <c r="C45">
        <v>23</v>
      </c>
      <c r="D45" t="s">
        <v>2506</v>
      </c>
      <c r="E45" t="s">
        <v>31</v>
      </c>
      <c r="F45" t="s">
        <v>2507</v>
      </c>
      <c r="G45">
        <v>2</v>
      </c>
      <c r="H45">
        <v>2040.98</v>
      </c>
    </row>
    <row r="46" spans="1:9" x14ac:dyDescent="0.3">
      <c r="A46" t="s">
        <v>2586</v>
      </c>
      <c r="B46" t="s">
        <v>2498</v>
      </c>
      <c r="D46" t="s">
        <v>2506</v>
      </c>
      <c r="E46" t="s">
        <v>38</v>
      </c>
      <c r="F46" t="s">
        <v>2503</v>
      </c>
      <c r="G46">
        <v>14</v>
      </c>
      <c r="I46" t="s">
        <v>2587</v>
      </c>
    </row>
    <row r="47" spans="1:9" x14ac:dyDescent="0.3">
      <c r="A47" t="s">
        <v>2588</v>
      </c>
      <c r="B47" t="s">
        <v>2515</v>
      </c>
      <c r="D47" t="s">
        <v>30</v>
      </c>
      <c r="E47" t="s">
        <v>21</v>
      </c>
      <c r="F47" t="s">
        <v>2503</v>
      </c>
      <c r="G47">
        <v>9</v>
      </c>
      <c r="H47">
        <v>7292.08</v>
      </c>
      <c r="I47" t="s">
        <v>2552</v>
      </c>
    </row>
    <row r="48" spans="1:9" x14ac:dyDescent="0.3">
      <c r="A48" t="s">
        <v>2589</v>
      </c>
      <c r="B48" t="s">
        <v>2512</v>
      </c>
      <c r="D48" t="s">
        <v>2506</v>
      </c>
      <c r="E48" t="s">
        <v>38</v>
      </c>
      <c r="F48" t="s">
        <v>2499</v>
      </c>
      <c r="G48">
        <v>7</v>
      </c>
      <c r="H48">
        <v>3674.61</v>
      </c>
      <c r="I48" t="s">
        <v>2590</v>
      </c>
    </row>
    <row r="49" spans="1:9" x14ac:dyDescent="0.3">
      <c r="A49" t="s">
        <v>2591</v>
      </c>
      <c r="B49" t="s">
        <v>2547</v>
      </c>
      <c r="D49" t="s">
        <v>2506</v>
      </c>
      <c r="E49" t="s">
        <v>38</v>
      </c>
      <c r="F49" t="s">
        <v>2507</v>
      </c>
      <c r="G49">
        <v>12</v>
      </c>
      <c r="H49">
        <v>6051.72</v>
      </c>
      <c r="I49" t="s">
        <v>2592</v>
      </c>
    </row>
    <row r="50" spans="1:9" x14ac:dyDescent="0.3">
      <c r="A50" t="s">
        <v>2593</v>
      </c>
      <c r="B50" t="s">
        <v>2515</v>
      </c>
      <c r="D50" t="s">
        <v>2506</v>
      </c>
      <c r="E50" t="s">
        <v>58</v>
      </c>
      <c r="F50" t="s">
        <v>2499</v>
      </c>
      <c r="G50">
        <v>15</v>
      </c>
      <c r="H50">
        <v>5630.43</v>
      </c>
      <c r="I50" t="s">
        <v>2594</v>
      </c>
    </row>
    <row r="51" spans="1:9" x14ac:dyDescent="0.3">
      <c r="A51" t="s">
        <v>2595</v>
      </c>
      <c r="B51" t="s">
        <v>2498</v>
      </c>
      <c r="D51" t="s">
        <v>2506</v>
      </c>
      <c r="E51" t="s">
        <v>38</v>
      </c>
      <c r="F51" t="s">
        <v>2507</v>
      </c>
      <c r="G51">
        <v>17</v>
      </c>
      <c r="H51">
        <v>4453.3999999999996</v>
      </c>
      <c r="I51" t="s">
        <v>2596</v>
      </c>
    </row>
    <row r="52" spans="1:9" x14ac:dyDescent="0.3">
      <c r="A52" t="s">
        <v>2597</v>
      </c>
      <c r="B52" t="s">
        <v>2564</v>
      </c>
      <c r="D52" t="s">
        <v>2506</v>
      </c>
      <c r="E52" t="s">
        <v>58</v>
      </c>
      <c r="F52" t="s">
        <v>2499</v>
      </c>
      <c r="G52">
        <v>7</v>
      </c>
      <c r="H52">
        <v>16012.94</v>
      </c>
      <c r="I52" t="s">
        <v>2598</v>
      </c>
    </row>
    <row r="53" spans="1:9" x14ac:dyDescent="0.3">
      <c r="A53" t="s">
        <v>2599</v>
      </c>
      <c r="B53" t="s">
        <v>2547</v>
      </c>
      <c r="D53" t="s">
        <v>30</v>
      </c>
      <c r="E53" t="s">
        <v>38</v>
      </c>
      <c r="F53" t="s">
        <v>2507</v>
      </c>
      <c r="G53">
        <v>2</v>
      </c>
      <c r="I53" t="s">
        <v>134</v>
      </c>
    </row>
    <row r="54" spans="1:9" x14ac:dyDescent="0.3">
      <c r="A54" t="s">
        <v>2600</v>
      </c>
      <c r="B54" t="s">
        <v>2498</v>
      </c>
      <c r="D54" t="s">
        <v>2506</v>
      </c>
      <c r="E54" t="s">
        <v>58</v>
      </c>
      <c r="F54" t="s">
        <v>2503</v>
      </c>
      <c r="G54">
        <v>14</v>
      </c>
      <c r="I54" t="s">
        <v>1826</v>
      </c>
    </row>
    <row r="55" spans="1:9" x14ac:dyDescent="0.3">
      <c r="A55" t="s">
        <v>2601</v>
      </c>
      <c r="B55" t="s">
        <v>2519</v>
      </c>
      <c r="C55">
        <v>47</v>
      </c>
      <c r="D55" t="s">
        <v>2506</v>
      </c>
      <c r="E55" t="s">
        <v>31</v>
      </c>
      <c r="F55" t="s">
        <v>2499</v>
      </c>
      <c r="G55">
        <v>5</v>
      </c>
      <c r="I55" t="s">
        <v>2602</v>
      </c>
    </row>
    <row r="56" spans="1:9" x14ac:dyDescent="0.3">
      <c r="A56" t="s">
        <v>2603</v>
      </c>
      <c r="B56" t="s">
        <v>2515</v>
      </c>
      <c r="D56" t="s">
        <v>30</v>
      </c>
      <c r="E56" t="s">
        <v>38</v>
      </c>
      <c r="F56" t="s">
        <v>2499</v>
      </c>
      <c r="G56">
        <v>10</v>
      </c>
      <c r="H56">
        <v>18311.810000000001</v>
      </c>
      <c r="I56" t="s">
        <v>2556</v>
      </c>
    </row>
    <row r="57" spans="1:9" x14ac:dyDescent="0.3">
      <c r="A57" t="s">
        <v>2604</v>
      </c>
      <c r="B57" t="s">
        <v>2528</v>
      </c>
      <c r="D57" t="s">
        <v>30</v>
      </c>
      <c r="E57" t="s">
        <v>58</v>
      </c>
      <c r="F57" t="s">
        <v>2499</v>
      </c>
      <c r="G57">
        <v>8</v>
      </c>
      <c r="I57" t="s">
        <v>2605</v>
      </c>
    </row>
    <row r="58" spans="1:9" x14ac:dyDescent="0.3">
      <c r="A58" t="s">
        <v>2606</v>
      </c>
      <c r="B58" t="s">
        <v>2607</v>
      </c>
      <c r="D58" t="s">
        <v>2506</v>
      </c>
      <c r="E58" t="s">
        <v>21</v>
      </c>
      <c r="F58" t="s">
        <v>2503</v>
      </c>
      <c r="G58">
        <v>7</v>
      </c>
      <c r="H58">
        <v>14588.36</v>
      </c>
      <c r="I58" t="s">
        <v>2608</v>
      </c>
    </row>
    <row r="59" spans="1:9" x14ac:dyDescent="0.3">
      <c r="A59" t="s">
        <v>2609</v>
      </c>
      <c r="B59" t="s">
        <v>2547</v>
      </c>
      <c r="D59" t="s">
        <v>30</v>
      </c>
      <c r="E59" t="s">
        <v>21</v>
      </c>
      <c r="F59" t="s">
        <v>2503</v>
      </c>
      <c r="G59">
        <v>17</v>
      </c>
      <c r="I59" t="s">
        <v>631</v>
      </c>
    </row>
    <row r="60" spans="1:9" x14ac:dyDescent="0.3">
      <c r="A60" t="s">
        <v>2610</v>
      </c>
      <c r="B60" t="s">
        <v>2528</v>
      </c>
      <c r="D60" t="s">
        <v>2506</v>
      </c>
      <c r="E60" t="s">
        <v>31</v>
      </c>
      <c r="F60" t="s">
        <v>2507</v>
      </c>
      <c r="G60">
        <v>20</v>
      </c>
      <c r="H60">
        <v>9110.44</v>
      </c>
      <c r="I60" t="s">
        <v>2611</v>
      </c>
    </row>
    <row r="61" spans="1:9" x14ac:dyDescent="0.3">
      <c r="A61" t="s">
        <v>2612</v>
      </c>
      <c r="B61" t="s">
        <v>2498</v>
      </c>
      <c r="C61">
        <v>31</v>
      </c>
      <c r="D61" t="s">
        <v>2506</v>
      </c>
      <c r="E61" t="s">
        <v>58</v>
      </c>
      <c r="F61" t="s">
        <v>2503</v>
      </c>
      <c r="G61">
        <v>15</v>
      </c>
      <c r="H61">
        <v>17750.27</v>
      </c>
      <c r="I61" t="s">
        <v>2187</v>
      </c>
    </row>
    <row r="62" spans="1:9" x14ac:dyDescent="0.3">
      <c r="A62" t="s">
        <v>2613</v>
      </c>
      <c r="B62" t="s">
        <v>2515</v>
      </c>
      <c r="D62" t="s">
        <v>2506</v>
      </c>
      <c r="E62" t="s">
        <v>31</v>
      </c>
      <c r="F62" t="s">
        <v>2507</v>
      </c>
      <c r="G62">
        <v>13</v>
      </c>
      <c r="I62" t="s">
        <v>2614</v>
      </c>
    </row>
    <row r="63" spans="1:9" x14ac:dyDescent="0.3">
      <c r="A63" t="s">
        <v>2615</v>
      </c>
      <c r="B63" t="s">
        <v>2547</v>
      </c>
      <c r="C63">
        <v>28</v>
      </c>
      <c r="D63" t="s">
        <v>30</v>
      </c>
      <c r="E63" t="s">
        <v>58</v>
      </c>
      <c r="F63" t="s">
        <v>2507</v>
      </c>
      <c r="G63">
        <v>7</v>
      </c>
      <c r="H63">
        <v>13113.38</v>
      </c>
      <c r="I63" t="s">
        <v>2616</v>
      </c>
    </row>
    <row r="64" spans="1:9" x14ac:dyDescent="0.3">
      <c r="A64" t="s">
        <v>2617</v>
      </c>
      <c r="B64" t="s">
        <v>2547</v>
      </c>
      <c r="C64">
        <v>21</v>
      </c>
      <c r="D64" t="s">
        <v>2506</v>
      </c>
      <c r="E64" t="s">
        <v>38</v>
      </c>
      <c r="F64" t="s">
        <v>2507</v>
      </c>
      <c r="G64">
        <v>20</v>
      </c>
      <c r="H64">
        <v>8619.07</v>
      </c>
      <c r="I64" t="s">
        <v>1459</v>
      </c>
    </row>
    <row r="65" spans="1:9" x14ac:dyDescent="0.3">
      <c r="A65" t="s">
        <v>2618</v>
      </c>
      <c r="B65" t="s">
        <v>2502</v>
      </c>
      <c r="C65">
        <v>30</v>
      </c>
      <c r="D65" t="s">
        <v>2506</v>
      </c>
      <c r="E65" t="s">
        <v>38</v>
      </c>
      <c r="F65" t="s">
        <v>2503</v>
      </c>
      <c r="G65">
        <v>17</v>
      </c>
      <c r="H65">
        <v>15375.7</v>
      </c>
      <c r="I65" t="s">
        <v>2619</v>
      </c>
    </row>
    <row r="66" spans="1:9" x14ac:dyDescent="0.3">
      <c r="A66" t="s">
        <v>2620</v>
      </c>
      <c r="B66" t="s">
        <v>2528</v>
      </c>
      <c r="C66">
        <v>43</v>
      </c>
      <c r="D66" t="s">
        <v>30</v>
      </c>
      <c r="E66" t="s">
        <v>58</v>
      </c>
      <c r="F66" t="s">
        <v>2503</v>
      </c>
      <c r="G66">
        <v>9</v>
      </c>
      <c r="H66">
        <v>12055.07</v>
      </c>
      <c r="I66" t="s">
        <v>1791</v>
      </c>
    </row>
    <row r="67" spans="1:9" x14ac:dyDescent="0.3">
      <c r="A67" t="s">
        <v>2621</v>
      </c>
      <c r="B67" t="s">
        <v>2528</v>
      </c>
      <c r="D67" t="s">
        <v>2506</v>
      </c>
      <c r="E67" t="s">
        <v>21</v>
      </c>
      <c r="F67" t="s">
        <v>2503</v>
      </c>
      <c r="G67">
        <v>5</v>
      </c>
      <c r="I67" t="s">
        <v>2622</v>
      </c>
    </row>
    <row r="68" spans="1:9" x14ac:dyDescent="0.3">
      <c r="A68" t="s">
        <v>2623</v>
      </c>
      <c r="B68" t="s">
        <v>2505</v>
      </c>
      <c r="D68" t="s">
        <v>2506</v>
      </c>
      <c r="E68" t="s">
        <v>21</v>
      </c>
      <c r="F68" t="s">
        <v>2499</v>
      </c>
      <c r="G68">
        <v>5</v>
      </c>
      <c r="I68" t="s">
        <v>2624</v>
      </c>
    </row>
    <row r="69" spans="1:9" x14ac:dyDescent="0.3">
      <c r="A69" t="s">
        <v>2625</v>
      </c>
      <c r="B69" t="s">
        <v>2512</v>
      </c>
      <c r="C69">
        <v>52</v>
      </c>
      <c r="D69" t="s">
        <v>2506</v>
      </c>
      <c r="E69" t="s">
        <v>58</v>
      </c>
      <c r="F69" t="s">
        <v>2499</v>
      </c>
      <c r="G69">
        <v>5</v>
      </c>
      <c r="H69">
        <v>2054.9299999999998</v>
      </c>
      <c r="I69" t="s">
        <v>2626</v>
      </c>
    </row>
    <row r="70" spans="1:9" x14ac:dyDescent="0.3">
      <c r="A70" t="s">
        <v>2627</v>
      </c>
      <c r="B70" t="s">
        <v>2512</v>
      </c>
      <c r="C70">
        <v>22</v>
      </c>
      <c r="D70" t="s">
        <v>30</v>
      </c>
      <c r="E70" t="s">
        <v>58</v>
      </c>
      <c r="F70" t="s">
        <v>2499</v>
      </c>
      <c r="G70">
        <v>11</v>
      </c>
      <c r="H70">
        <v>7770.59</v>
      </c>
      <c r="I70" t="s">
        <v>1321</v>
      </c>
    </row>
    <row r="71" spans="1:9" x14ac:dyDescent="0.3">
      <c r="A71" t="s">
        <v>2628</v>
      </c>
      <c r="B71" t="s">
        <v>2547</v>
      </c>
      <c r="C71">
        <v>18</v>
      </c>
      <c r="D71" t="s">
        <v>2506</v>
      </c>
      <c r="E71" t="s">
        <v>58</v>
      </c>
      <c r="F71" t="s">
        <v>2499</v>
      </c>
      <c r="G71">
        <v>1</v>
      </c>
      <c r="H71">
        <v>6235.17</v>
      </c>
      <c r="I71" t="s">
        <v>2629</v>
      </c>
    </row>
    <row r="72" spans="1:9" x14ac:dyDescent="0.3">
      <c r="A72" t="s">
        <v>2630</v>
      </c>
      <c r="B72" t="s">
        <v>2498</v>
      </c>
      <c r="D72" t="s">
        <v>30</v>
      </c>
      <c r="E72" t="s">
        <v>58</v>
      </c>
      <c r="F72" t="s">
        <v>2499</v>
      </c>
      <c r="G72">
        <v>16</v>
      </c>
      <c r="H72">
        <v>10264.36</v>
      </c>
      <c r="I72" t="s">
        <v>2631</v>
      </c>
    </row>
    <row r="73" spans="1:9" x14ac:dyDescent="0.3">
      <c r="A73" t="s">
        <v>2632</v>
      </c>
      <c r="B73" t="s">
        <v>2519</v>
      </c>
      <c r="C73">
        <v>55</v>
      </c>
      <c r="D73" t="s">
        <v>30</v>
      </c>
      <c r="E73" t="s">
        <v>31</v>
      </c>
      <c r="F73" t="s">
        <v>2499</v>
      </c>
      <c r="G73">
        <v>9</v>
      </c>
      <c r="I73" t="s">
        <v>311</v>
      </c>
    </row>
    <row r="74" spans="1:9" x14ac:dyDescent="0.3">
      <c r="A74" t="s">
        <v>2633</v>
      </c>
      <c r="B74" t="s">
        <v>2547</v>
      </c>
      <c r="D74" t="s">
        <v>2506</v>
      </c>
      <c r="E74" t="s">
        <v>21</v>
      </c>
      <c r="F74" t="s">
        <v>2503</v>
      </c>
      <c r="G74">
        <v>18</v>
      </c>
      <c r="I74" t="s">
        <v>2634</v>
      </c>
    </row>
    <row r="75" spans="1:9" x14ac:dyDescent="0.3">
      <c r="A75" t="s">
        <v>2635</v>
      </c>
      <c r="B75" t="s">
        <v>2607</v>
      </c>
      <c r="D75" t="s">
        <v>2506</v>
      </c>
      <c r="E75" t="s">
        <v>38</v>
      </c>
      <c r="F75" t="s">
        <v>2499</v>
      </c>
      <c r="G75">
        <v>7</v>
      </c>
      <c r="H75">
        <v>14158.24</v>
      </c>
      <c r="I75" t="s">
        <v>2636</v>
      </c>
    </row>
    <row r="76" spans="1:9" x14ac:dyDescent="0.3">
      <c r="A76" t="s">
        <v>2637</v>
      </c>
      <c r="B76" t="s">
        <v>2564</v>
      </c>
      <c r="D76" t="s">
        <v>2506</v>
      </c>
      <c r="E76" t="s">
        <v>58</v>
      </c>
      <c r="F76" t="s">
        <v>2503</v>
      </c>
      <c r="G76">
        <v>8</v>
      </c>
      <c r="H76">
        <v>8023.4</v>
      </c>
      <c r="I76" t="s">
        <v>2638</v>
      </c>
    </row>
    <row r="77" spans="1:9" x14ac:dyDescent="0.3">
      <c r="A77" t="s">
        <v>2639</v>
      </c>
      <c r="B77" t="s">
        <v>2498</v>
      </c>
      <c r="D77" t="s">
        <v>2506</v>
      </c>
      <c r="E77" t="s">
        <v>58</v>
      </c>
      <c r="F77" t="s">
        <v>2499</v>
      </c>
      <c r="G77">
        <v>12</v>
      </c>
      <c r="H77">
        <v>12326.91</v>
      </c>
      <c r="I77" t="s">
        <v>2640</v>
      </c>
    </row>
    <row r="78" spans="1:9" x14ac:dyDescent="0.3">
      <c r="A78" t="s">
        <v>2641</v>
      </c>
      <c r="B78" t="s">
        <v>2515</v>
      </c>
      <c r="C78">
        <v>41</v>
      </c>
      <c r="D78" t="s">
        <v>2506</v>
      </c>
      <c r="E78" t="s">
        <v>58</v>
      </c>
      <c r="F78" t="s">
        <v>2507</v>
      </c>
      <c r="G78">
        <v>19</v>
      </c>
      <c r="I78" t="s">
        <v>2642</v>
      </c>
    </row>
    <row r="79" spans="1:9" x14ac:dyDescent="0.3">
      <c r="A79" t="s">
        <v>2643</v>
      </c>
      <c r="B79" t="s">
        <v>2528</v>
      </c>
      <c r="C79">
        <v>19</v>
      </c>
      <c r="D79" t="s">
        <v>30</v>
      </c>
      <c r="E79" t="s">
        <v>38</v>
      </c>
      <c r="F79" t="s">
        <v>2499</v>
      </c>
      <c r="G79">
        <v>14</v>
      </c>
      <c r="I79" t="s">
        <v>2644</v>
      </c>
    </row>
    <row r="80" spans="1:9" x14ac:dyDescent="0.3">
      <c r="A80" t="s">
        <v>2645</v>
      </c>
      <c r="B80" t="s">
        <v>2607</v>
      </c>
      <c r="D80" t="s">
        <v>2506</v>
      </c>
      <c r="E80" t="s">
        <v>58</v>
      </c>
      <c r="F80" t="s">
        <v>2507</v>
      </c>
      <c r="G80">
        <v>15</v>
      </c>
      <c r="H80">
        <v>2648.58</v>
      </c>
      <c r="I80" t="s">
        <v>2646</v>
      </c>
    </row>
    <row r="81" spans="1:9" x14ac:dyDescent="0.3">
      <c r="A81" t="s">
        <v>2647</v>
      </c>
      <c r="B81" t="s">
        <v>2505</v>
      </c>
      <c r="C81">
        <v>32</v>
      </c>
      <c r="D81" t="s">
        <v>2506</v>
      </c>
      <c r="E81" t="s">
        <v>58</v>
      </c>
      <c r="F81" t="s">
        <v>2499</v>
      </c>
      <c r="G81">
        <v>19</v>
      </c>
      <c r="H81">
        <v>12531.8</v>
      </c>
      <c r="I81" t="s">
        <v>302</v>
      </c>
    </row>
    <row r="82" spans="1:9" x14ac:dyDescent="0.3">
      <c r="A82" t="s">
        <v>2648</v>
      </c>
      <c r="B82" t="s">
        <v>2564</v>
      </c>
      <c r="D82" t="s">
        <v>2506</v>
      </c>
      <c r="E82" t="s">
        <v>31</v>
      </c>
      <c r="F82" t="s">
        <v>2507</v>
      </c>
      <c r="G82">
        <v>1</v>
      </c>
      <c r="I82" t="s">
        <v>2649</v>
      </c>
    </row>
    <row r="83" spans="1:9" x14ac:dyDescent="0.3">
      <c r="A83" t="s">
        <v>2650</v>
      </c>
      <c r="B83" t="s">
        <v>2607</v>
      </c>
      <c r="C83">
        <v>54</v>
      </c>
      <c r="D83" t="s">
        <v>30</v>
      </c>
      <c r="E83" t="s">
        <v>38</v>
      </c>
      <c r="F83" t="s">
        <v>2507</v>
      </c>
      <c r="G83">
        <v>17</v>
      </c>
      <c r="I83" t="s">
        <v>2651</v>
      </c>
    </row>
    <row r="84" spans="1:9" x14ac:dyDescent="0.3">
      <c r="A84" t="s">
        <v>2652</v>
      </c>
      <c r="B84" t="s">
        <v>2498</v>
      </c>
      <c r="C84">
        <v>53</v>
      </c>
      <c r="D84" t="s">
        <v>2506</v>
      </c>
      <c r="E84" t="s">
        <v>58</v>
      </c>
      <c r="F84" t="s">
        <v>2499</v>
      </c>
      <c r="G84">
        <v>13</v>
      </c>
      <c r="I84" t="s">
        <v>2653</v>
      </c>
    </row>
    <row r="85" spans="1:9" x14ac:dyDescent="0.3">
      <c r="A85" t="s">
        <v>2654</v>
      </c>
      <c r="B85" t="s">
        <v>2564</v>
      </c>
      <c r="C85">
        <v>18</v>
      </c>
      <c r="D85" t="s">
        <v>2506</v>
      </c>
      <c r="E85" t="s">
        <v>58</v>
      </c>
      <c r="F85" t="s">
        <v>2503</v>
      </c>
      <c r="G85">
        <v>5</v>
      </c>
      <c r="H85">
        <v>18634.669999999998</v>
      </c>
      <c r="I85" t="s">
        <v>2655</v>
      </c>
    </row>
    <row r="86" spans="1:9" x14ac:dyDescent="0.3">
      <c r="A86" t="s">
        <v>2656</v>
      </c>
      <c r="B86" t="s">
        <v>2512</v>
      </c>
      <c r="D86" t="s">
        <v>2506</v>
      </c>
      <c r="E86" t="s">
        <v>58</v>
      </c>
      <c r="F86" t="s">
        <v>2499</v>
      </c>
      <c r="G86">
        <v>10</v>
      </c>
      <c r="H86">
        <v>2641.16</v>
      </c>
      <c r="I86" t="s">
        <v>2657</v>
      </c>
    </row>
    <row r="87" spans="1:9" x14ac:dyDescent="0.3">
      <c r="A87" t="s">
        <v>2658</v>
      </c>
      <c r="B87" t="s">
        <v>2547</v>
      </c>
      <c r="D87" t="s">
        <v>2506</v>
      </c>
      <c r="E87" t="s">
        <v>21</v>
      </c>
      <c r="F87" t="s">
        <v>2503</v>
      </c>
      <c r="G87">
        <v>3</v>
      </c>
      <c r="H87">
        <v>6977.43</v>
      </c>
    </row>
    <row r="88" spans="1:9" x14ac:dyDescent="0.3">
      <c r="A88" t="s">
        <v>2659</v>
      </c>
      <c r="B88" t="s">
        <v>2502</v>
      </c>
      <c r="C88">
        <v>30</v>
      </c>
      <c r="D88" t="s">
        <v>2506</v>
      </c>
      <c r="E88" t="s">
        <v>31</v>
      </c>
      <c r="F88" t="s">
        <v>2503</v>
      </c>
      <c r="G88">
        <v>20</v>
      </c>
      <c r="H88">
        <v>12658.45</v>
      </c>
      <c r="I88" t="s">
        <v>2660</v>
      </c>
    </row>
    <row r="89" spans="1:9" x14ac:dyDescent="0.3">
      <c r="A89" t="s">
        <v>2661</v>
      </c>
      <c r="B89" t="s">
        <v>2502</v>
      </c>
      <c r="D89" t="s">
        <v>2506</v>
      </c>
      <c r="E89" t="s">
        <v>31</v>
      </c>
      <c r="F89" t="s">
        <v>2507</v>
      </c>
      <c r="G89">
        <v>17</v>
      </c>
      <c r="H89">
        <v>4101.32</v>
      </c>
      <c r="I89" t="s">
        <v>2662</v>
      </c>
    </row>
    <row r="90" spans="1:9" x14ac:dyDescent="0.3">
      <c r="A90" t="s">
        <v>2663</v>
      </c>
      <c r="B90" t="s">
        <v>2515</v>
      </c>
      <c r="D90" t="s">
        <v>2506</v>
      </c>
      <c r="E90" t="s">
        <v>38</v>
      </c>
      <c r="F90" t="s">
        <v>2503</v>
      </c>
      <c r="G90">
        <v>4</v>
      </c>
      <c r="I90" t="s">
        <v>2664</v>
      </c>
    </row>
    <row r="91" spans="1:9" x14ac:dyDescent="0.3">
      <c r="A91" t="s">
        <v>2665</v>
      </c>
      <c r="B91" t="s">
        <v>2547</v>
      </c>
      <c r="D91" t="s">
        <v>30</v>
      </c>
      <c r="E91" t="s">
        <v>21</v>
      </c>
      <c r="F91" t="s">
        <v>2503</v>
      </c>
      <c r="G91">
        <v>8</v>
      </c>
      <c r="I91" t="s">
        <v>1780</v>
      </c>
    </row>
    <row r="92" spans="1:9" x14ac:dyDescent="0.3">
      <c r="A92" t="s">
        <v>2666</v>
      </c>
      <c r="B92" t="s">
        <v>2564</v>
      </c>
      <c r="C92">
        <v>27</v>
      </c>
      <c r="D92" t="s">
        <v>30</v>
      </c>
      <c r="E92" t="s">
        <v>21</v>
      </c>
      <c r="F92" t="s">
        <v>2503</v>
      </c>
      <c r="G92">
        <v>1</v>
      </c>
      <c r="H92">
        <v>7344.3</v>
      </c>
      <c r="I92" t="s">
        <v>2667</v>
      </c>
    </row>
    <row r="93" spans="1:9" x14ac:dyDescent="0.3">
      <c r="A93" t="s">
        <v>2668</v>
      </c>
      <c r="B93" t="s">
        <v>2512</v>
      </c>
      <c r="C93">
        <v>18</v>
      </c>
      <c r="D93" t="s">
        <v>30</v>
      </c>
      <c r="E93" t="s">
        <v>31</v>
      </c>
      <c r="F93" t="s">
        <v>2503</v>
      </c>
      <c r="G93">
        <v>10</v>
      </c>
      <c r="I93" t="s">
        <v>2669</v>
      </c>
    </row>
    <row r="94" spans="1:9" x14ac:dyDescent="0.3">
      <c r="A94" t="s">
        <v>2670</v>
      </c>
      <c r="B94" t="s">
        <v>2547</v>
      </c>
      <c r="D94" t="s">
        <v>30</v>
      </c>
      <c r="E94" t="s">
        <v>31</v>
      </c>
      <c r="F94" t="s">
        <v>2503</v>
      </c>
      <c r="G94">
        <v>13</v>
      </c>
      <c r="I94" t="s">
        <v>2671</v>
      </c>
    </row>
    <row r="95" spans="1:9" x14ac:dyDescent="0.3">
      <c r="A95" t="s">
        <v>2672</v>
      </c>
      <c r="B95" t="s">
        <v>2607</v>
      </c>
      <c r="C95">
        <v>48</v>
      </c>
      <c r="D95" t="s">
        <v>30</v>
      </c>
      <c r="E95" t="s">
        <v>31</v>
      </c>
      <c r="F95" t="s">
        <v>2499</v>
      </c>
      <c r="G95">
        <v>16</v>
      </c>
      <c r="I95" t="s">
        <v>2246</v>
      </c>
    </row>
    <row r="96" spans="1:9" x14ac:dyDescent="0.3">
      <c r="A96" t="s">
        <v>2673</v>
      </c>
      <c r="B96" t="s">
        <v>2512</v>
      </c>
      <c r="D96" t="s">
        <v>30</v>
      </c>
      <c r="E96" t="s">
        <v>21</v>
      </c>
      <c r="F96" t="s">
        <v>2507</v>
      </c>
      <c r="G96">
        <v>10</v>
      </c>
    </row>
    <row r="97" spans="1:9" x14ac:dyDescent="0.3">
      <c r="A97" t="s">
        <v>2674</v>
      </c>
      <c r="B97" t="s">
        <v>2515</v>
      </c>
      <c r="C97">
        <v>45</v>
      </c>
      <c r="D97" t="s">
        <v>30</v>
      </c>
      <c r="E97" t="s">
        <v>38</v>
      </c>
      <c r="F97" t="s">
        <v>2499</v>
      </c>
      <c r="G97">
        <v>18</v>
      </c>
      <c r="I97" t="s">
        <v>2675</v>
      </c>
    </row>
    <row r="98" spans="1:9" x14ac:dyDescent="0.3">
      <c r="A98" t="s">
        <v>2676</v>
      </c>
      <c r="B98" t="s">
        <v>2498</v>
      </c>
      <c r="D98" t="s">
        <v>30</v>
      </c>
      <c r="E98" t="s">
        <v>58</v>
      </c>
      <c r="F98" t="s">
        <v>2499</v>
      </c>
      <c r="G98">
        <v>6</v>
      </c>
      <c r="H98">
        <v>15150.82</v>
      </c>
      <c r="I98" t="s">
        <v>2677</v>
      </c>
    </row>
    <row r="99" spans="1:9" x14ac:dyDescent="0.3">
      <c r="A99" t="s">
        <v>2678</v>
      </c>
      <c r="B99" t="s">
        <v>2512</v>
      </c>
      <c r="D99" t="s">
        <v>30</v>
      </c>
      <c r="E99" t="s">
        <v>38</v>
      </c>
      <c r="F99" t="s">
        <v>2503</v>
      </c>
      <c r="G99">
        <v>13</v>
      </c>
      <c r="I99" t="s">
        <v>2532</v>
      </c>
    </row>
    <row r="100" spans="1:9" x14ac:dyDescent="0.3">
      <c r="A100" t="s">
        <v>2679</v>
      </c>
      <c r="B100" t="s">
        <v>2502</v>
      </c>
      <c r="C100">
        <v>55</v>
      </c>
      <c r="D100" t="s">
        <v>2506</v>
      </c>
      <c r="E100" t="s">
        <v>58</v>
      </c>
      <c r="F100" t="s">
        <v>2499</v>
      </c>
      <c r="G100">
        <v>18</v>
      </c>
      <c r="I100" t="s">
        <v>2680</v>
      </c>
    </row>
    <row r="101" spans="1:9" x14ac:dyDescent="0.3">
      <c r="A101" t="s">
        <v>2681</v>
      </c>
      <c r="B101" t="s">
        <v>2547</v>
      </c>
      <c r="D101" t="s">
        <v>2506</v>
      </c>
      <c r="E101" t="s">
        <v>21</v>
      </c>
      <c r="F101" t="s">
        <v>2503</v>
      </c>
      <c r="G101">
        <v>9</v>
      </c>
      <c r="I101" t="s">
        <v>2682</v>
      </c>
    </row>
    <row r="102" spans="1:9" x14ac:dyDescent="0.3">
      <c r="A102" t="s">
        <v>2683</v>
      </c>
      <c r="B102" t="s">
        <v>2502</v>
      </c>
      <c r="D102" t="s">
        <v>30</v>
      </c>
      <c r="E102" t="s">
        <v>58</v>
      </c>
      <c r="F102" t="s">
        <v>2499</v>
      </c>
      <c r="G102">
        <v>16</v>
      </c>
      <c r="I102" t="s">
        <v>2684</v>
      </c>
    </row>
    <row r="103" spans="1:9" x14ac:dyDescent="0.3">
      <c r="A103" t="s">
        <v>2685</v>
      </c>
      <c r="B103" t="s">
        <v>2502</v>
      </c>
      <c r="C103">
        <v>55</v>
      </c>
      <c r="D103" t="s">
        <v>30</v>
      </c>
      <c r="E103" t="s">
        <v>31</v>
      </c>
      <c r="F103" t="s">
        <v>2499</v>
      </c>
      <c r="G103">
        <v>2</v>
      </c>
      <c r="I103" t="s">
        <v>2686</v>
      </c>
    </row>
    <row r="104" spans="1:9" x14ac:dyDescent="0.3">
      <c r="A104" t="s">
        <v>2687</v>
      </c>
      <c r="B104" t="s">
        <v>2607</v>
      </c>
      <c r="C104">
        <v>31</v>
      </c>
      <c r="D104" t="s">
        <v>2506</v>
      </c>
      <c r="E104" t="s">
        <v>31</v>
      </c>
      <c r="F104" t="s">
        <v>2507</v>
      </c>
      <c r="G104">
        <v>6</v>
      </c>
      <c r="H104">
        <v>7561.16</v>
      </c>
      <c r="I104" t="s">
        <v>2244</v>
      </c>
    </row>
    <row r="105" spans="1:9" x14ac:dyDescent="0.3">
      <c r="A105" t="s">
        <v>2688</v>
      </c>
      <c r="B105" t="s">
        <v>2498</v>
      </c>
      <c r="D105" t="s">
        <v>2506</v>
      </c>
      <c r="E105" t="s">
        <v>58</v>
      </c>
      <c r="F105" t="s">
        <v>2503</v>
      </c>
      <c r="G105">
        <v>17</v>
      </c>
      <c r="H105">
        <v>18120.29</v>
      </c>
      <c r="I105" t="s">
        <v>2689</v>
      </c>
    </row>
    <row r="106" spans="1:9" x14ac:dyDescent="0.3">
      <c r="A106" t="s">
        <v>2690</v>
      </c>
      <c r="B106" t="s">
        <v>2498</v>
      </c>
      <c r="D106" t="s">
        <v>30</v>
      </c>
      <c r="E106" t="s">
        <v>21</v>
      </c>
      <c r="F106" t="s">
        <v>2503</v>
      </c>
      <c r="G106">
        <v>15</v>
      </c>
      <c r="H106">
        <v>15960.7</v>
      </c>
      <c r="I106" t="s">
        <v>2691</v>
      </c>
    </row>
    <row r="107" spans="1:9" x14ac:dyDescent="0.3">
      <c r="A107" t="s">
        <v>2692</v>
      </c>
      <c r="B107" t="s">
        <v>2512</v>
      </c>
      <c r="C107">
        <v>38</v>
      </c>
      <c r="D107" t="s">
        <v>30</v>
      </c>
      <c r="E107" t="s">
        <v>58</v>
      </c>
      <c r="F107" t="s">
        <v>2499</v>
      </c>
      <c r="G107">
        <v>5</v>
      </c>
      <c r="I107" t="s">
        <v>444</v>
      </c>
    </row>
    <row r="108" spans="1:9" x14ac:dyDescent="0.3">
      <c r="A108" t="s">
        <v>2693</v>
      </c>
      <c r="B108" t="s">
        <v>2519</v>
      </c>
      <c r="C108">
        <v>41</v>
      </c>
      <c r="D108" t="s">
        <v>2506</v>
      </c>
      <c r="E108" t="s">
        <v>31</v>
      </c>
      <c r="F108" t="s">
        <v>2507</v>
      </c>
      <c r="G108">
        <v>16</v>
      </c>
      <c r="I108" t="s">
        <v>2694</v>
      </c>
    </row>
    <row r="109" spans="1:9" x14ac:dyDescent="0.3">
      <c r="A109" t="s">
        <v>2695</v>
      </c>
      <c r="B109" t="s">
        <v>2505</v>
      </c>
      <c r="D109" t="s">
        <v>30</v>
      </c>
      <c r="E109" t="s">
        <v>21</v>
      </c>
      <c r="F109" t="s">
        <v>2503</v>
      </c>
      <c r="G109">
        <v>16</v>
      </c>
      <c r="H109">
        <v>10651.66</v>
      </c>
      <c r="I109" t="s">
        <v>2696</v>
      </c>
    </row>
    <row r="110" spans="1:9" x14ac:dyDescent="0.3">
      <c r="A110" t="s">
        <v>2697</v>
      </c>
      <c r="B110" t="s">
        <v>2502</v>
      </c>
      <c r="C110">
        <v>47</v>
      </c>
      <c r="D110" t="s">
        <v>2506</v>
      </c>
      <c r="E110" t="s">
        <v>58</v>
      </c>
      <c r="F110" t="s">
        <v>2503</v>
      </c>
      <c r="G110">
        <v>12</v>
      </c>
      <c r="I110" t="s">
        <v>206</v>
      </c>
    </row>
    <row r="111" spans="1:9" x14ac:dyDescent="0.3">
      <c r="A111" t="s">
        <v>2698</v>
      </c>
      <c r="B111" t="s">
        <v>2515</v>
      </c>
      <c r="D111" t="s">
        <v>2506</v>
      </c>
      <c r="E111" t="s">
        <v>38</v>
      </c>
      <c r="F111" t="s">
        <v>2499</v>
      </c>
      <c r="G111">
        <v>1</v>
      </c>
      <c r="I111" t="s">
        <v>2699</v>
      </c>
    </row>
    <row r="112" spans="1:9" x14ac:dyDescent="0.3">
      <c r="A112" t="s">
        <v>2700</v>
      </c>
      <c r="B112" t="s">
        <v>2607</v>
      </c>
      <c r="D112" t="s">
        <v>30</v>
      </c>
      <c r="E112" t="s">
        <v>58</v>
      </c>
      <c r="F112" t="s">
        <v>2503</v>
      </c>
      <c r="G112">
        <v>20</v>
      </c>
      <c r="I112" t="s">
        <v>2701</v>
      </c>
    </row>
    <row r="113" spans="1:9" x14ac:dyDescent="0.3">
      <c r="A113" t="s">
        <v>2702</v>
      </c>
      <c r="B113" t="s">
        <v>2547</v>
      </c>
      <c r="C113">
        <v>37</v>
      </c>
      <c r="D113" t="s">
        <v>30</v>
      </c>
      <c r="E113" t="s">
        <v>21</v>
      </c>
      <c r="F113" t="s">
        <v>2507</v>
      </c>
      <c r="G113">
        <v>1</v>
      </c>
      <c r="I113" t="s">
        <v>1770</v>
      </c>
    </row>
    <row r="114" spans="1:9" x14ac:dyDescent="0.3">
      <c r="A114" t="s">
        <v>2703</v>
      </c>
      <c r="B114" t="s">
        <v>2505</v>
      </c>
      <c r="D114" t="s">
        <v>2506</v>
      </c>
      <c r="E114" t="s">
        <v>38</v>
      </c>
      <c r="F114" t="s">
        <v>2503</v>
      </c>
      <c r="G114">
        <v>4</v>
      </c>
      <c r="I114" t="s">
        <v>2704</v>
      </c>
    </row>
    <row r="115" spans="1:9" x14ac:dyDescent="0.3">
      <c r="A115" t="s">
        <v>2705</v>
      </c>
      <c r="B115" t="s">
        <v>2505</v>
      </c>
      <c r="C115">
        <v>26</v>
      </c>
      <c r="D115" t="s">
        <v>30</v>
      </c>
      <c r="E115" t="s">
        <v>31</v>
      </c>
      <c r="F115" t="s">
        <v>2507</v>
      </c>
      <c r="G115">
        <v>2</v>
      </c>
      <c r="H115">
        <v>2910.73</v>
      </c>
      <c r="I115" t="s">
        <v>2706</v>
      </c>
    </row>
    <row r="116" spans="1:9" x14ac:dyDescent="0.3">
      <c r="A116" t="s">
        <v>2707</v>
      </c>
      <c r="B116" t="s">
        <v>2528</v>
      </c>
      <c r="C116">
        <v>22</v>
      </c>
      <c r="D116" t="s">
        <v>2506</v>
      </c>
      <c r="E116" t="s">
        <v>58</v>
      </c>
      <c r="F116" t="s">
        <v>2507</v>
      </c>
      <c r="G116">
        <v>7</v>
      </c>
      <c r="I116" t="s">
        <v>2708</v>
      </c>
    </row>
    <row r="117" spans="1:9" x14ac:dyDescent="0.3">
      <c r="A117" t="s">
        <v>2709</v>
      </c>
      <c r="B117" t="s">
        <v>2564</v>
      </c>
      <c r="C117">
        <v>49</v>
      </c>
      <c r="D117" t="s">
        <v>30</v>
      </c>
      <c r="E117" t="s">
        <v>31</v>
      </c>
      <c r="F117" t="s">
        <v>2499</v>
      </c>
      <c r="G117">
        <v>14</v>
      </c>
      <c r="H117">
        <v>19108.740000000002</v>
      </c>
      <c r="I117" t="s">
        <v>2710</v>
      </c>
    </row>
    <row r="118" spans="1:9" x14ac:dyDescent="0.3">
      <c r="A118" t="s">
        <v>2711</v>
      </c>
      <c r="B118" t="s">
        <v>2502</v>
      </c>
      <c r="C118">
        <v>21</v>
      </c>
      <c r="D118" t="s">
        <v>2506</v>
      </c>
      <c r="E118" t="s">
        <v>38</v>
      </c>
      <c r="F118" t="s">
        <v>2503</v>
      </c>
      <c r="G118">
        <v>7</v>
      </c>
      <c r="H118">
        <v>11222.66</v>
      </c>
      <c r="I118" t="s">
        <v>2712</v>
      </c>
    </row>
    <row r="119" spans="1:9" x14ac:dyDescent="0.3">
      <c r="A119" t="s">
        <v>2713</v>
      </c>
      <c r="B119" t="s">
        <v>2528</v>
      </c>
      <c r="C119">
        <v>33</v>
      </c>
      <c r="D119" t="s">
        <v>2506</v>
      </c>
      <c r="E119" t="s">
        <v>21</v>
      </c>
      <c r="F119" t="s">
        <v>2507</v>
      </c>
      <c r="G119">
        <v>10</v>
      </c>
      <c r="H119">
        <v>17958.16</v>
      </c>
    </row>
    <row r="120" spans="1:9" x14ac:dyDescent="0.3">
      <c r="A120" t="s">
        <v>2714</v>
      </c>
      <c r="B120" t="s">
        <v>2512</v>
      </c>
      <c r="C120">
        <v>33</v>
      </c>
      <c r="D120" t="s">
        <v>30</v>
      </c>
      <c r="E120" t="s">
        <v>58</v>
      </c>
      <c r="F120" t="s">
        <v>2499</v>
      </c>
      <c r="G120">
        <v>19</v>
      </c>
      <c r="H120">
        <v>3154.31</v>
      </c>
      <c r="I120" t="s">
        <v>2715</v>
      </c>
    </row>
    <row r="121" spans="1:9" x14ac:dyDescent="0.3">
      <c r="A121" t="s">
        <v>2716</v>
      </c>
      <c r="B121" t="s">
        <v>2498</v>
      </c>
      <c r="D121" t="s">
        <v>30</v>
      </c>
      <c r="E121" t="s">
        <v>21</v>
      </c>
      <c r="F121" t="s">
        <v>2499</v>
      </c>
      <c r="G121">
        <v>5</v>
      </c>
      <c r="H121">
        <v>6485.75</v>
      </c>
      <c r="I121" t="s">
        <v>2717</v>
      </c>
    </row>
    <row r="122" spans="1:9" x14ac:dyDescent="0.3">
      <c r="A122" t="s">
        <v>2718</v>
      </c>
      <c r="B122" t="s">
        <v>2502</v>
      </c>
      <c r="D122" t="s">
        <v>30</v>
      </c>
      <c r="E122" t="s">
        <v>58</v>
      </c>
      <c r="F122" t="s">
        <v>2503</v>
      </c>
      <c r="G122">
        <v>7</v>
      </c>
      <c r="I122" t="s">
        <v>2719</v>
      </c>
    </row>
    <row r="123" spans="1:9" x14ac:dyDescent="0.3">
      <c r="A123" t="s">
        <v>2720</v>
      </c>
      <c r="B123" t="s">
        <v>2607</v>
      </c>
      <c r="C123">
        <v>25</v>
      </c>
      <c r="D123" t="s">
        <v>30</v>
      </c>
      <c r="E123" t="s">
        <v>38</v>
      </c>
      <c r="F123" t="s">
        <v>2499</v>
      </c>
      <c r="G123">
        <v>15</v>
      </c>
      <c r="H123">
        <v>8893</v>
      </c>
      <c r="I123" t="s">
        <v>2721</v>
      </c>
    </row>
    <row r="124" spans="1:9" x14ac:dyDescent="0.3">
      <c r="A124" t="s">
        <v>2722</v>
      </c>
      <c r="B124" t="s">
        <v>2502</v>
      </c>
      <c r="D124" t="s">
        <v>2506</v>
      </c>
      <c r="E124" t="s">
        <v>58</v>
      </c>
      <c r="F124" t="s">
        <v>2503</v>
      </c>
      <c r="G124">
        <v>11</v>
      </c>
    </row>
    <row r="125" spans="1:9" x14ac:dyDescent="0.3">
      <c r="A125" t="s">
        <v>2723</v>
      </c>
      <c r="B125" t="s">
        <v>2505</v>
      </c>
      <c r="C125">
        <v>29</v>
      </c>
      <c r="D125" t="s">
        <v>2506</v>
      </c>
      <c r="E125" t="s">
        <v>31</v>
      </c>
      <c r="F125" t="s">
        <v>2499</v>
      </c>
      <c r="G125">
        <v>4</v>
      </c>
      <c r="H125">
        <v>11068.32</v>
      </c>
      <c r="I125" t="s">
        <v>2724</v>
      </c>
    </row>
    <row r="126" spans="1:9" x14ac:dyDescent="0.3">
      <c r="A126" t="s">
        <v>2725</v>
      </c>
      <c r="B126" t="s">
        <v>2515</v>
      </c>
      <c r="C126">
        <v>28</v>
      </c>
      <c r="D126" t="s">
        <v>30</v>
      </c>
      <c r="E126" t="s">
        <v>58</v>
      </c>
      <c r="F126" t="s">
        <v>2503</v>
      </c>
      <c r="G126">
        <v>2</v>
      </c>
      <c r="H126">
        <v>12602.15</v>
      </c>
      <c r="I126" t="s">
        <v>2726</v>
      </c>
    </row>
    <row r="127" spans="1:9" x14ac:dyDescent="0.3">
      <c r="A127" t="s">
        <v>2727</v>
      </c>
      <c r="B127" t="s">
        <v>2607</v>
      </c>
      <c r="D127" t="s">
        <v>2506</v>
      </c>
      <c r="E127" t="s">
        <v>21</v>
      </c>
      <c r="F127" t="s">
        <v>2503</v>
      </c>
      <c r="G127">
        <v>13</v>
      </c>
      <c r="H127">
        <v>12724.86</v>
      </c>
      <c r="I127" t="s">
        <v>2175</v>
      </c>
    </row>
    <row r="128" spans="1:9" x14ac:dyDescent="0.3">
      <c r="A128" t="s">
        <v>2728</v>
      </c>
      <c r="B128" t="s">
        <v>2564</v>
      </c>
      <c r="C128">
        <v>48</v>
      </c>
      <c r="D128" t="s">
        <v>2506</v>
      </c>
      <c r="E128" t="s">
        <v>21</v>
      </c>
      <c r="F128" t="s">
        <v>2507</v>
      </c>
      <c r="G128">
        <v>13</v>
      </c>
      <c r="H128">
        <v>4509.58</v>
      </c>
      <c r="I128" t="s">
        <v>2729</v>
      </c>
    </row>
    <row r="129" spans="1:9" x14ac:dyDescent="0.3">
      <c r="A129" t="s">
        <v>2730</v>
      </c>
      <c r="B129" t="s">
        <v>2502</v>
      </c>
      <c r="C129">
        <v>40</v>
      </c>
      <c r="D129" t="s">
        <v>2506</v>
      </c>
      <c r="E129" t="s">
        <v>21</v>
      </c>
      <c r="F129" t="s">
        <v>2499</v>
      </c>
      <c r="G129">
        <v>13</v>
      </c>
    </row>
    <row r="130" spans="1:9" x14ac:dyDescent="0.3">
      <c r="A130" t="s">
        <v>2731</v>
      </c>
      <c r="B130" t="s">
        <v>2547</v>
      </c>
      <c r="C130">
        <v>26</v>
      </c>
      <c r="D130" t="s">
        <v>2506</v>
      </c>
      <c r="E130" t="s">
        <v>21</v>
      </c>
      <c r="F130" t="s">
        <v>2503</v>
      </c>
      <c r="G130">
        <v>7</v>
      </c>
      <c r="I130" t="s">
        <v>2732</v>
      </c>
    </row>
    <row r="131" spans="1:9" x14ac:dyDescent="0.3">
      <c r="A131" t="s">
        <v>2733</v>
      </c>
      <c r="B131" t="s">
        <v>2564</v>
      </c>
      <c r="C131">
        <v>40</v>
      </c>
      <c r="D131" t="s">
        <v>2506</v>
      </c>
      <c r="E131" t="s">
        <v>31</v>
      </c>
      <c r="F131" t="s">
        <v>2503</v>
      </c>
      <c r="G131">
        <v>18</v>
      </c>
      <c r="H131">
        <v>19462.11</v>
      </c>
      <c r="I131" t="s">
        <v>186</v>
      </c>
    </row>
    <row r="132" spans="1:9" x14ac:dyDescent="0.3">
      <c r="A132" t="s">
        <v>2734</v>
      </c>
      <c r="B132" t="s">
        <v>2564</v>
      </c>
      <c r="D132" t="s">
        <v>30</v>
      </c>
      <c r="E132" t="s">
        <v>31</v>
      </c>
      <c r="F132" t="s">
        <v>2499</v>
      </c>
      <c r="G132">
        <v>17</v>
      </c>
      <c r="I132" t="s">
        <v>2735</v>
      </c>
    </row>
    <row r="133" spans="1:9" x14ac:dyDescent="0.3">
      <c r="A133" t="s">
        <v>2736</v>
      </c>
      <c r="B133" t="s">
        <v>2512</v>
      </c>
      <c r="C133">
        <v>43</v>
      </c>
      <c r="D133" t="s">
        <v>30</v>
      </c>
      <c r="E133" t="s">
        <v>38</v>
      </c>
      <c r="F133" t="s">
        <v>2499</v>
      </c>
      <c r="G133">
        <v>11</v>
      </c>
      <c r="H133">
        <v>18142.68</v>
      </c>
      <c r="I133" t="s">
        <v>2737</v>
      </c>
    </row>
    <row r="134" spans="1:9" x14ac:dyDescent="0.3">
      <c r="A134" t="s">
        <v>2738</v>
      </c>
      <c r="B134" t="s">
        <v>2498</v>
      </c>
      <c r="C134">
        <v>18</v>
      </c>
      <c r="D134" t="s">
        <v>30</v>
      </c>
      <c r="E134" t="s">
        <v>58</v>
      </c>
      <c r="F134" t="s">
        <v>2503</v>
      </c>
      <c r="G134">
        <v>15</v>
      </c>
      <c r="I134" t="s">
        <v>2739</v>
      </c>
    </row>
    <row r="135" spans="1:9" x14ac:dyDescent="0.3">
      <c r="A135" t="s">
        <v>2740</v>
      </c>
      <c r="B135" t="s">
        <v>2564</v>
      </c>
      <c r="D135" t="s">
        <v>30</v>
      </c>
      <c r="E135" t="s">
        <v>21</v>
      </c>
      <c r="F135" t="s">
        <v>2503</v>
      </c>
      <c r="G135">
        <v>16</v>
      </c>
    </row>
    <row r="136" spans="1:9" x14ac:dyDescent="0.3">
      <c r="A136" t="s">
        <v>2741</v>
      </c>
      <c r="B136" t="s">
        <v>2498</v>
      </c>
      <c r="D136" t="s">
        <v>2506</v>
      </c>
      <c r="E136" t="s">
        <v>31</v>
      </c>
      <c r="F136" t="s">
        <v>2507</v>
      </c>
      <c r="G136">
        <v>16</v>
      </c>
      <c r="H136">
        <v>19330.98</v>
      </c>
      <c r="I136" t="s">
        <v>2742</v>
      </c>
    </row>
    <row r="137" spans="1:9" x14ac:dyDescent="0.3">
      <c r="A137" t="s">
        <v>2743</v>
      </c>
      <c r="B137" t="s">
        <v>2515</v>
      </c>
      <c r="D137" t="s">
        <v>30</v>
      </c>
      <c r="E137" t="s">
        <v>21</v>
      </c>
      <c r="F137" t="s">
        <v>2507</v>
      </c>
      <c r="G137">
        <v>14</v>
      </c>
      <c r="H137">
        <v>8322.4699999999993</v>
      </c>
      <c r="I137" t="s">
        <v>2744</v>
      </c>
    </row>
    <row r="138" spans="1:9" x14ac:dyDescent="0.3">
      <c r="A138" t="s">
        <v>2745</v>
      </c>
      <c r="B138" t="s">
        <v>2547</v>
      </c>
      <c r="C138">
        <v>35</v>
      </c>
      <c r="D138" t="s">
        <v>30</v>
      </c>
      <c r="E138" t="s">
        <v>58</v>
      </c>
      <c r="F138" t="s">
        <v>2503</v>
      </c>
      <c r="G138">
        <v>7</v>
      </c>
      <c r="H138">
        <v>2495.36</v>
      </c>
      <c r="I138" t="s">
        <v>2746</v>
      </c>
    </row>
    <row r="139" spans="1:9" x14ac:dyDescent="0.3">
      <c r="A139" t="s">
        <v>2747</v>
      </c>
      <c r="B139" t="s">
        <v>2512</v>
      </c>
      <c r="C139">
        <v>43</v>
      </c>
      <c r="D139" t="s">
        <v>2506</v>
      </c>
      <c r="E139" t="s">
        <v>21</v>
      </c>
      <c r="F139" t="s">
        <v>2499</v>
      </c>
      <c r="G139">
        <v>1</v>
      </c>
      <c r="I139" t="s">
        <v>970</v>
      </c>
    </row>
    <row r="140" spans="1:9" x14ac:dyDescent="0.3">
      <c r="A140" t="s">
        <v>2748</v>
      </c>
      <c r="B140" t="s">
        <v>2505</v>
      </c>
      <c r="C140">
        <v>43</v>
      </c>
      <c r="D140" t="s">
        <v>30</v>
      </c>
      <c r="E140" t="s">
        <v>38</v>
      </c>
      <c r="F140" t="s">
        <v>2503</v>
      </c>
      <c r="G140">
        <v>5</v>
      </c>
      <c r="I140" t="s">
        <v>2749</v>
      </c>
    </row>
    <row r="141" spans="1:9" x14ac:dyDescent="0.3">
      <c r="A141" t="s">
        <v>2750</v>
      </c>
      <c r="B141" t="s">
        <v>2498</v>
      </c>
      <c r="C141">
        <v>31</v>
      </c>
      <c r="D141" t="s">
        <v>2506</v>
      </c>
      <c r="E141" t="s">
        <v>31</v>
      </c>
      <c r="F141" t="s">
        <v>2507</v>
      </c>
      <c r="G141">
        <v>14</v>
      </c>
      <c r="H141">
        <v>8814.25</v>
      </c>
      <c r="I141" t="s">
        <v>2565</v>
      </c>
    </row>
    <row r="142" spans="1:9" x14ac:dyDescent="0.3">
      <c r="A142" t="s">
        <v>2751</v>
      </c>
      <c r="B142" t="s">
        <v>2607</v>
      </c>
      <c r="C142">
        <v>47</v>
      </c>
      <c r="D142" t="s">
        <v>2506</v>
      </c>
      <c r="E142" t="s">
        <v>31</v>
      </c>
      <c r="F142" t="s">
        <v>2503</v>
      </c>
      <c r="G142">
        <v>8</v>
      </c>
      <c r="H142">
        <v>13690.34</v>
      </c>
      <c r="I142" t="s">
        <v>2752</v>
      </c>
    </row>
    <row r="143" spans="1:9" x14ac:dyDescent="0.3">
      <c r="A143" t="s">
        <v>2753</v>
      </c>
      <c r="B143" t="s">
        <v>2502</v>
      </c>
      <c r="D143" t="s">
        <v>30</v>
      </c>
      <c r="E143" t="s">
        <v>31</v>
      </c>
      <c r="F143" t="s">
        <v>2499</v>
      </c>
      <c r="G143">
        <v>5</v>
      </c>
      <c r="I143" t="s">
        <v>2545</v>
      </c>
    </row>
    <row r="144" spans="1:9" x14ac:dyDescent="0.3">
      <c r="A144" t="s">
        <v>2754</v>
      </c>
      <c r="B144" t="s">
        <v>2564</v>
      </c>
      <c r="C144">
        <v>41</v>
      </c>
      <c r="D144" t="s">
        <v>30</v>
      </c>
      <c r="E144" t="s">
        <v>58</v>
      </c>
      <c r="F144" t="s">
        <v>2499</v>
      </c>
      <c r="G144">
        <v>14</v>
      </c>
      <c r="I144" t="s">
        <v>1305</v>
      </c>
    </row>
    <row r="145" spans="1:9" x14ac:dyDescent="0.3">
      <c r="A145" t="s">
        <v>2755</v>
      </c>
      <c r="B145" t="s">
        <v>2519</v>
      </c>
      <c r="D145" t="s">
        <v>30</v>
      </c>
      <c r="E145" t="s">
        <v>58</v>
      </c>
      <c r="F145" t="s">
        <v>2507</v>
      </c>
      <c r="G145">
        <v>16</v>
      </c>
      <c r="I145" t="s">
        <v>2756</v>
      </c>
    </row>
    <row r="146" spans="1:9" x14ac:dyDescent="0.3">
      <c r="A146" t="s">
        <v>2757</v>
      </c>
      <c r="B146" t="s">
        <v>2607</v>
      </c>
      <c r="D146" t="s">
        <v>30</v>
      </c>
      <c r="E146" t="s">
        <v>58</v>
      </c>
      <c r="F146" t="s">
        <v>2503</v>
      </c>
      <c r="G146">
        <v>11</v>
      </c>
      <c r="H146">
        <v>11652.87</v>
      </c>
      <c r="I146" t="s">
        <v>2758</v>
      </c>
    </row>
    <row r="147" spans="1:9" x14ac:dyDescent="0.3">
      <c r="A147" t="s">
        <v>2759</v>
      </c>
      <c r="B147" t="s">
        <v>2502</v>
      </c>
      <c r="C147">
        <v>31</v>
      </c>
      <c r="D147" t="s">
        <v>30</v>
      </c>
      <c r="E147" t="s">
        <v>38</v>
      </c>
      <c r="F147" t="s">
        <v>2499</v>
      </c>
      <c r="G147">
        <v>5</v>
      </c>
      <c r="H147">
        <v>17936.8</v>
      </c>
      <c r="I147" t="s">
        <v>2760</v>
      </c>
    </row>
    <row r="148" spans="1:9" x14ac:dyDescent="0.3">
      <c r="A148" t="s">
        <v>2761</v>
      </c>
      <c r="B148" t="s">
        <v>2547</v>
      </c>
      <c r="D148" t="s">
        <v>30</v>
      </c>
      <c r="E148" t="s">
        <v>31</v>
      </c>
      <c r="F148" t="s">
        <v>2503</v>
      </c>
      <c r="G148">
        <v>15</v>
      </c>
      <c r="H148">
        <v>3816.93</v>
      </c>
      <c r="I148" t="s">
        <v>1344</v>
      </c>
    </row>
    <row r="149" spans="1:9" x14ac:dyDescent="0.3">
      <c r="A149" t="s">
        <v>2762</v>
      </c>
      <c r="B149" t="s">
        <v>2498</v>
      </c>
      <c r="D149" t="s">
        <v>2506</v>
      </c>
      <c r="E149" t="s">
        <v>31</v>
      </c>
      <c r="F149" t="s">
        <v>2499</v>
      </c>
      <c r="G149">
        <v>20</v>
      </c>
      <c r="H149">
        <v>19316.18</v>
      </c>
      <c r="I149" t="s">
        <v>2763</v>
      </c>
    </row>
    <row r="150" spans="1:9" x14ac:dyDescent="0.3">
      <c r="A150" t="s">
        <v>2764</v>
      </c>
      <c r="B150" t="s">
        <v>2564</v>
      </c>
      <c r="C150">
        <v>30</v>
      </c>
      <c r="D150" t="s">
        <v>2506</v>
      </c>
      <c r="E150" t="s">
        <v>21</v>
      </c>
      <c r="F150" t="s">
        <v>2507</v>
      </c>
      <c r="G150">
        <v>5</v>
      </c>
      <c r="I150" t="s">
        <v>1534</v>
      </c>
    </row>
    <row r="151" spans="1:9" x14ac:dyDescent="0.3">
      <c r="A151" t="s">
        <v>2765</v>
      </c>
      <c r="B151" t="s">
        <v>2498</v>
      </c>
      <c r="C151">
        <v>52</v>
      </c>
      <c r="D151" t="s">
        <v>2506</v>
      </c>
      <c r="E151" t="s">
        <v>31</v>
      </c>
      <c r="F151" t="s">
        <v>2507</v>
      </c>
      <c r="G151">
        <v>19</v>
      </c>
      <c r="H151">
        <v>3931.49</v>
      </c>
      <c r="I151" t="s">
        <v>608</v>
      </c>
    </row>
    <row r="152" spans="1:9" x14ac:dyDescent="0.3">
      <c r="A152" t="s">
        <v>2766</v>
      </c>
      <c r="B152" t="s">
        <v>2528</v>
      </c>
      <c r="D152" t="s">
        <v>2506</v>
      </c>
      <c r="E152" t="s">
        <v>58</v>
      </c>
      <c r="F152" t="s">
        <v>2503</v>
      </c>
      <c r="G152">
        <v>4</v>
      </c>
      <c r="H152">
        <v>3628.68</v>
      </c>
      <c r="I152" t="s">
        <v>2256</v>
      </c>
    </row>
    <row r="153" spans="1:9" x14ac:dyDescent="0.3">
      <c r="A153" t="s">
        <v>2767</v>
      </c>
      <c r="B153" t="s">
        <v>2564</v>
      </c>
      <c r="D153" t="s">
        <v>30</v>
      </c>
      <c r="E153" t="s">
        <v>31</v>
      </c>
      <c r="F153" t="s">
        <v>2499</v>
      </c>
      <c r="G153">
        <v>13</v>
      </c>
      <c r="I153" t="s">
        <v>2768</v>
      </c>
    </row>
    <row r="154" spans="1:9" x14ac:dyDescent="0.3">
      <c r="A154" t="s">
        <v>2769</v>
      </c>
      <c r="B154" t="s">
        <v>2607</v>
      </c>
      <c r="D154" t="s">
        <v>2506</v>
      </c>
      <c r="E154" t="s">
        <v>58</v>
      </c>
      <c r="F154" t="s">
        <v>2503</v>
      </c>
      <c r="G154">
        <v>4</v>
      </c>
      <c r="H154">
        <v>13626.44</v>
      </c>
      <c r="I154" t="s">
        <v>1634</v>
      </c>
    </row>
    <row r="155" spans="1:9" x14ac:dyDescent="0.3">
      <c r="A155" t="s">
        <v>2770</v>
      </c>
      <c r="B155" t="s">
        <v>2498</v>
      </c>
      <c r="D155" t="s">
        <v>2506</v>
      </c>
      <c r="E155" t="s">
        <v>31</v>
      </c>
      <c r="F155" t="s">
        <v>2507</v>
      </c>
      <c r="G155">
        <v>15</v>
      </c>
      <c r="I155" t="s">
        <v>1485</v>
      </c>
    </row>
    <row r="156" spans="1:9" x14ac:dyDescent="0.3">
      <c r="A156" t="s">
        <v>2771</v>
      </c>
      <c r="B156" t="s">
        <v>2498</v>
      </c>
      <c r="D156" t="s">
        <v>30</v>
      </c>
      <c r="E156" t="s">
        <v>38</v>
      </c>
      <c r="F156" t="s">
        <v>2503</v>
      </c>
      <c r="G156">
        <v>5</v>
      </c>
      <c r="I156" t="s">
        <v>2772</v>
      </c>
    </row>
    <row r="157" spans="1:9" x14ac:dyDescent="0.3">
      <c r="A157" t="s">
        <v>2773</v>
      </c>
      <c r="B157" t="s">
        <v>2502</v>
      </c>
      <c r="C157">
        <v>25</v>
      </c>
      <c r="D157" t="s">
        <v>30</v>
      </c>
      <c r="E157" t="s">
        <v>38</v>
      </c>
      <c r="F157" t="s">
        <v>2503</v>
      </c>
      <c r="G157">
        <v>11</v>
      </c>
    </row>
    <row r="158" spans="1:9" x14ac:dyDescent="0.3">
      <c r="A158" t="s">
        <v>2774</v>
      </c>
      <c r="B158" t="s">
        <v>2519</v>
      </c>
      <c r="D158" t="s">
        <v>2506</v>
      </c>
      <c r="E158" t="s">
        <v>31</v>
      </c>
      <c r="F158" t="s">
        <v>2507</v>
      </c>
      <c r="G158">
        <v>15</v>
      </c>
      <c r="I158" t="s">
        <v>2775</v>
      </c>
    </row>
    <row r="159" spans="1:9" x14ac:dyDescent="0.3">
      <c r="A159" t="s">
        <v>2776</v>
      </c>
      <c r="B159" t="s">
        <v>2498</v>
      </c>
      <c r="D159" t="s">
        <v>30</v>
      </c>
      <c r="E159" t="s">
        <v>58</v>
      </c>
      <c r="F159" t="s">
        <v>2507</v>
      </c>
      <c r="G159">
        <v>13</v>
      </c>
      <c r="I159" t="s">
        <v>1958</v>
      </c>
    </row>
    <row r="160" spans="1:9" x14ac:dyDescent="0.3">
      <c r="A160" t="s">
        <v>2777</v>
      </c>
      <c r="B160" t="s">
        <v>2547</v>
      </c>
      <c r="D160" t="s">
        <v>30</v>
      </c>
      <c r="E160" t="s">
        <v>21</v>
      </c>
      <c r="F160" t="s">
        <v>2499</v>
      </c>
      <c r="G160">
        <v>5</v>
      </c>
      <c r="I160" t="s">
        <v>2778</v>
      </c>
    </row>
    <row r="161" spans="1:9" x14ac:dyDescent="0.3">
      <c r="A161" t="s">
        <v>2779</v>
      </c>
      <c r="B161" t="s">
        <v>2512</v>
      </c>
      <c r="D161" t="s">
        <v>30</v>
      </c>
      <c r="E161" t="s">
        <v>21</v>
      </c>
      <c r="F161" t="s">
        <v>2499</v>
      </c>
      <c r="G161">
        <v>4</v>
      </c>
      <c r="H161">
        <v>17309.5</v>
      </c>
      <c r="I161" t="s">
        <v>2780</v>
      </c>
    </row>
    <row r="162" spans="1:9" x14ac:dyDescent="0.3">
      <c r="A162" t="s">
        <v>2781</v>
      </c>
      <c r="B162" t="s">
        <v>2505</v>
      </c>
      <c r="C162">
        <v>41</v>
      </c>
      <c r="D162" t="s">
        <v>2506</v>
      </c>
      <c r="E162" t="s">
        <v>21</v>
      </c>
      <c r="F162" t="s">
        <v>2499</v>
      </c>
      <c r="G162">
        <v>1</v>
      </c>
      <c r="I162" t="s">
        <v>2782</v>
      </c>
    </row>
    <row r="163" spans="1:9" x14ac:dyDescent="0.3">
      <c r="A163" t="s">
        <v>2783</v>
      </c>
      <c r="B163" t="s">
        <v>2547</v>
      </c>
      <c r="D163" t="s">
        <v>2506</v>
      </c>
      <c r="E163" t="s">
        <v>21</v>
      </c>
      <c r="F163" t="s">
        <v>2499</v>
      </c>
      <c r="G163">
        <v>5</v>
      </c>
      <c r="H163">
        <v>5206.76</v>
      </c>
      <c r="I163" t="s">
        <v>2784</v>
      </c>
    </row>
    <row r="164" spans="1:9" x14ac:dyDescent="0.3">
      <c r="A164" t="s">
        <v>2785</v>
      </c>
      <c r="B164" t="s">
        <v>2498</v>
      </c>
      <c r="D164" t="s">
        <v>30</v>
      </c>
      <c r="E164" t="s">
        <v>58</v>
      </c>
      <c r="F164" t="s">
        <v>2507</v>
      </c>
      <c r="G164">
        <v>19</v>
      </c>
      <c r="I164" t="s">
        <v>2786</v>
      </c>
    </row>
    <row r="165" spans="1:9" x14ac:dyDescent="0.3">
      <c r="A165" t="s">
        <v>2787</v>
      </c>
      <c r="B165" t="s">
        <v>2607</v>
      </c>
      <c r="D165" t="s">
        <v>2506</v>
      </c>
      <c r="E165" t="s">
        <v>21</v>
      </c>
      <c r="F165" t="s">
        <v>2503</v>
      </c>
      <c r="G165">
        <v>18</v>
      </c>
      <c r="H165">
        <v>14938.86</v>
      </c>
      <c r="I165" t="s">
        <v>2788</v>
      </c>
    </row>
    <row r="166" spans="1:9" x14ac:dyDescent="0.3">
      <c r="A166" t="s">
        <v>2789</v>
      </c>
      <c r="B166" t="s">
        <v>2512</v>
      </c>
      <c r="D166" t="s">
        <v>30</v>
      </c>
      <c r="E166" t="s">
        <v>38</v>
      </c>
      <c r="F166" t="s">
        <v>2499</v>
      </c>
      <c r="G166">
        <v>3</v>
      </c>
      <c r="I166" t="s">
        <v>792</v>
      </c>
    </row>
    <row r="167" spans="1:9" x14ac:dyDescent="0.3">
      <c r="A167" t="s">
        <v>2790</v>
      </c>
      <c r="B167" t="s">
        <v>2564</v>
      </c>
      <c r="D167" t="s">
        <v>2506</v>
      </c>
      <c r="E167" t="s">
        <v>38</v>
      </c>
      <c r="F167" t="s">
        <v>2503</v>
      </c>
      <c r="G167">
        <v>19</v>
      </c>
      <c r="H167">
        <v>4921.8900000000003</v>
      </c>
      <c r="I167" t="s">
        <v>2791</v>
      </c>
    </row>
    <row r="168" spans="1:9" x14ac:dyDescent="0.3">
      <c r="A168" t="s">
        <v>2792</v>
      </c>
      <c r="B168" t="s">
        <v>2515</v>
      </c>
      <c r="C168">
        <v>43</v>
      </c>
      <c r="D168" t="s">
        <v>30</v>
      </c>
      <c r="E168" t="s">
        <v>58</v>
      </c>
      <c r="F168" t="s">
        <v>2503</v>
      </c>
      <c r="G168">
        <v>16</v>
      </c>
      <c r="H168">
        <v>6986.87</v>
      </c>
      <c r="I168" t="s">
        <v>2793</v>
      </c>
    </row>
    <row r="169" spans="1:9" x14ac:dyDescent="0.3">
      <c r="A169" t="s">
        <v>2794</v>
      </c>
      <c r="B169" t="s">
        <v>2564</v>
      </c>
      <c r="D169" t="s">
        <v>2506</v>
      </c>
      <c r="E169" t="s">
        <v>38</v>
      </c>
      <c r="F169" t="s">
        <v>2499</v>
      </c>
      <c r="G169">
        <v>5</v>
      </c>
      <c r="H169">
        <v>16898.7</v>
      </c>
      <c r="I169" t="s">
        <v>2712</v>
      </c>
    </row>
    <row r="170" spans="1:9" x14ac:dyDescent="0.3">
      <c r="A170" t="s">
        <v>2795</v>
      </c>
      <c r="B170" t="s">
        <v>2512</v>
      </c>
      <c r="D170" t="s">
        <v>2506</v>
      </c>
      <c r="E170" t="s">
        <v>31</v>
      </c>
      <c r="F170" t="s">
        <v>2507</v>
      </c>
      <c r="G170">
        <v>3</v>
      </c>
      <c r="H170">
        <v>17945.41</v>
      </c>
      <c r="I170" t="s">
        <v>2796</v>
      </c>
    </row>
    <row r="171" spans="1:9" x14ac:dyDescent="0.3">
      <c r="A171" t="s">
        <v>2797</v>
      </c>
      <c r="B171" t="s">
        <v>2528</v>
      </c>
      <c r="C171">
        <v>48</v>
      </c>
      <c r="D171" t="s">
        <v>2506</v>
      </c>
      <c r="E171" t="s">
        <v>58</v>
      </c>
      <c r="F171" t="s">
        <v>2507</v>
      </c>
      <c r="G171">
        <v>10</v>
      </c>
      <c r="I171" t="s">
        <v>2798</v>
      </c>
    </row>
    <row r="172" spans="1:9" x14ac:dyDescent="0.3">
      <c r="A172" t="s">
        <v>2799</v>
      </c>
      <c r="B172" t="s">
        <v>2515</v>
      </c>
      <c r="D172" t="s">
        <v>2506</v>
      </c>
      <c r="E172" t="s">
        <v>38</v>
      </c>
      <c r="F172" t="s">
        <v>2507</v>
      </c>
      <c r="G172">
        <v>8</v>
      </c>
      <c r="I172" t="s">
        <v>2800</v>
      </c>
    </row>
    <row r="173" spans="1:9" x14ac:dyDescent="0.3">
      <c r="A173" t="s">
        <v>2801</v>
      </c>
      <c r="B173" t="s">
        <v>2498</v>
      </c>
      <c r="D173" t="s">
        <v>30</v>
      </c>
      <c r="E173" t="s">
        <v>58</v>
      </c>
      <c r="F173" t="s">
        <v>2499</v>
      </c>
      <c r="G173">
        <v>4</v>
      </c>
      <c r="I173" t="s">
        <v>2802</v>
      </c>
    </row>
    <row r="174" spans="1:9" x14ac:dyDescent="0.3">
      <c r="A174" t="s">
        <v>2803</v>
      </c>
      <c r="B174" t="s">
        <v>2515</v>
      </c>
      <c r="D174" t="s">
        <v>2506</v>
      </c>
      <c r="E174" t="s">
        <v>38</v>
      </c>
      <c r="F174" t="s">
        <v>2503</v>
      </c>
      <c r="G174">
        <v>3</v>
      </c>
      <c r="I174" t="s">
        <v>2804</v>
      </c>
    </row>
    <row r="175" spans="1:9" x14ac:dyDescent="0.3">
      <c r="A175" t="s">
        <v>2805</v>
      </c>
      <c r="B175" t="s">
        <v>2519</v>
      </c>
      <c r="D175" t="s">
        <v>2506</v>
      </c>
      <c r="E175" t="s">
        <v>38</v>
      </c>
      <c r="F175" t="s">
        <v>2503</v>
      </c>
      <c r="G175">
        <v>15</v>
      </c>
      <c r="I175" t="s">
        <v>1264</v>
      </c>
    </row>
    <row r="176" spans="1:9" x14ac:dyDescent="0.3">
      <c r="A176" t="s">
        <v>2806</v>
      </c>
      <c r="B176" t="s">
        <v>2515</v>
      </c>
      <c r="D176" t="s">
        <v>30</v>
      </c>
      <c r="E176" t="s">
        <v>21</v>
      </c>
      <c r="F176" t="s">
        <v>2503</v>
      </c>
      <c r="G176">
        <v>6</v>
      </c>
      <c r="I176" t="s">
        <v>2807</v>
      </c>
    </row>
    <row r="177" spans="1:9" x14ac:dyDescent="0.3">
      <c r="A177" t="s">
        <v>2808</v>
      </c>
      <c r="B177" t="s">
        <v>2519</v>
      </c>
      <c r="C177">
        <v>42</v>
      </c>
      <c r="D177" t="s">
        <v>30</v>
      </c>
      <c r="E177" t="s">
        <v>58</v>
      </c>
      <c r="F177" t="s">
        <v>2507</v>
      </c>
      <c r="G177">
        <v>5</v>
      </c>
      <c r="H177">
        <v>6324.89</v>
      </c>
      <c r="I177" t="s">
        <v>2809</v>
      </c>
    </row>
    <row r="178" spans="1:9" x14ac:dyDescent="0.3">
      <c r="A178" t="s">
        <v>2810</v>
      </c>
      <c r="B178" t="s">
        <v>2502</v>
      </c>
      <c r="C178">
        <v>26</v>
      </c>
      <c r="D178" t="s">
        <v>2506</v>
      </c>
      <c r="E178" t="s">
        <v>21</v>
      </c>
      <c r="F178" t="s">
        <v>2499</v>
      </c>
      <c r="G178">
        <v>6</v>
      </c>
      <c r="H178">
        <v>16140.61</v>
      </c>
    </row>
    <row r="179" spans="1:9" x14ac:dyDescent="0.3">
      <c r="A179" t="s">
        <v>2811</v>
      </c>
      <c r="B179" t="s">
        <v>2515</v>
      </c>
      <c r="D179" t="s">
        <v>30</v>
      </c>
      <c r="E179" t="s">
        <v>58</v>
      </c>
      <c r="F179" t="s">
        <v>2503</v>
      </c>
      <c r="G179">
        <v>7</v>
      </c>
      <c r="H179">
        <v>7423.4</v>
      </c>
      <c r="I179" t="s">
        <v>2812</v>
      </c>
    </row>
    <row r="180" spans="1:9" x14ac:dyDescent="0.3">
      <c r="A180" t="s">
        <v>2813</v>
      </c>
      <c r="B180" t="s">
        <v>2519</v>
      </c>
      <c r="C180">
        <v>50</v>
      </c>
      <c r="D180" t="s">
        <v>30</v>
      </c>
      <c r="E180" t="s">
        <v>31</v>
      </c>
      <c r="F180" t="s">
        <v>2499</v>
      </c>
      <c r="G180">
        <v>8</v>
      </c>
      <c r="H180">
        <v>6745.73</v>
      </c>
      <c r="I180" t="s">
        <v>2814</v>
      </c>
    </row>
    <row r="181" spans="1:9" x14ac:dyDescent="0.3">
      <c r="A181" t="s">
        <v>2815</v>
      </c>
      <c r="B181" t="s">
        <v>2502</v>
      </c>
      <c r="C181">
        <v>32</v>
      </c>
      <c r="D181" t="s">
        <v>2506</v>
      </c>
      <c r="E181" t="s">
        <v>31</v>
      </c>
      <c r="F181" t="s">
        <v>2499</v>
      </c>
      <c r="G181">
        <v>18</v>
      </c>
      <c r="I181" t="s">
        <v>2816</v>
      </c>
    </row>
    <row r="182" spans="1:9" x14ac:dyDescent="0.3">
      <c r="A182" t="s">
        <v>2817</v>
      </c>
      <c r="B182" t="s">
        <v>2505</v>
      </c>
      <c r="D182" t="s">
        <v>30</v>
      </c>
      <c r="E182" t="s">
        <v>31</v>
      </c>
      <c r="F182" t="s">
        <v>2499</v>
      </c>
      <c r="G182">
        <v>8</v>
      </c>
      <c r="H182">
        <v>8388.41</v>
      </c>
    </row>
    <row r="183" spans="1:9" x14ac:dyDescent="0.3">
      <c r="A183" t="s">
        <v>2818</v>
      </c>
      <c r="B183" t="s">
        <v>2502</v>
      </c>
      <c r="C183">
        <v>24</v>
      </c>
      <c r="D183" t="s">
        <v>30</v>
      </c>
      <c r="E183" t="s">
        <v>38</v>
      </c>
      <c r="F183" t="s">
        <v>2499</v>
      </c>
      <c r="G183">
        <v>1</v>
      </c>
      <c r="I183" t="s">
        <v>2819</v>
      </c>
    </row>
    <row r="184" spans="1:9" x14ac:dyDescent="0.3">
      <c r="A184" t="s">
        <v>2820</v>
      </c>
      <c r="B184" t="s">
        <v>2607</v>
      </c>
      <c r="C184">
        <v>24</v>
      </c>
      <c r="D184" t="s">
        <v>2506</v>
      </c>
      <c r="E184" t="s">
        <v>38</v>
      </c>
      <c r="F184" t="s">
        <v>2503</v>
      </c>
      <c r="G184">
        <v>15</v>
      </c>
      <c r="I184" t="s">
        <v>2821</v>
      </c>
    </row>
    <row r="185" spans="1:9" x14ac:dyDescent="0.3">
      <c r="A185" t="s">
        <v>2822</v>
      </c>
      <c r="B185" t="s">
        <v>2505</v>
      </c>
      <c r="C185">
        <v>51</v>
      </c>
      <c r="D185" t="s">
        <v>2506</v>
      </c>
      <c r="E185" t="s">
        <v>31</v>
      </c>
      <c r="F185" t="s">
        <v>2499</v>
      </c>
      <c r="G185">
        <v>16</v>
      </c>
      <c r="I185" t="s">
        <v>678</v>
      </c>
    </row>
    <row r="186" spans="1:9" x14ac:dyDescent="0.3">
      <c r="A186" t="s">
        <v>2823</v>
      </c>
      <c r="B186" t="s">
        <v>2502</v>
      </c>
      <c r="C186">
        <v>47</v>
      </c>
      <c r="D186" t="s">
        <v>2506</v>
      </c>
      <c r="E186" t="s">
        <v>31</v>
      </c>
      <c r="F186" t="s">
        <v>2503</v>
      </c>
      <c r="G186">
        <v>17</v>
      </c>
    </row>
    <row r="187" spans="1:9" x14ac:dyDescent="0.3">
      <c r="A187" t="s">
        <v>2824</v>
      </c>
      <c r="B187" t="s">
        <v>2547</v>
      </c>
      <c r="C187">
        <v>36</v>
      </c>
      <c r="D187" t="s">
        <v>30</v>
      </c>
      <c r="E187" t="s">
        <v>38</v>
      </c>
      <c r="F187" t="s">
        <v>2503</v>
      </c>
      <c r="G187">
        <v>20</v>
      </c>
      <c r="I187" t="s">
        <v>2825</v>
      </c>
    </row>
    <row r="188" spans="1:9" x14ac:dyDescent="0.3">
      <c r="A188" t="s">
        <v>2826</v>
      </c>
      <c r="B188" t="s">
        <v>2515</v>
      </c>
      <c r="D188" t="s">
        <v>2506</v>
      </c>
      <c r="E188" t="s">
        <v>38</v>
      </c>
      <c r="F188" t="s">
        <v>2499</v>
      </c>
      <c r="G188">
        <v>4</v>
      </c>
    </row>
    <row r="189" spans="1:9" x14ac:dyDescent="0.3">
      <c r="A189" t="s">
        <v>2827</v>
      </c>
      <c r="B189" t="s">
        <v>2515</v>
      </c>
      <c r="C189">
        <v>46</v>
      </c>
      <c r="D189" t="s">
        <v>30</v>
      </c>
      <c r="E189" t="s">
        <v>31</v>
      </c>
      <c r="F189" t="s">
        <v>2503</v>
      </c>
      <c r="G189">
        <v>16</v>
      </c>
      <c r="I189" t="s">
        <v>2828</v>
      </c>
    </row>
    <row r="190" spans="1:9" x14ac:dyDescent="0.3">
      <c r="A190" t="s">
        <v>2829</v>
      </c>
      <c r="B190" t="s">
        <v>2528</v>
      </c>
      <c r="D190" t="s">
        <v>2506</v>
      </c>
      <c r="E190" t="s">
        <v>58</v>
      </c>
      <c r="F190" t="s">
        <v>2507</v>
      </c>
      <c r="G190">
        <v>13</v>
      </c>
      <c r="H190">
        <v>8876.52</v>
      </c>
      <c r="I190" t="s">
        <v>2830</v>
      </c>
    </row>
    <row r="191" spans="1:9" x14ac:dyDescent="0.3">
      <c r="A191" t="s">
        <v>2831</v>
      </c>
      <c r="B191" t="s">
        <v>2505</v>
      </c>
      <c r="D191" t="s">
        <v>30</v>
      </c>
      <c r="E191" t="s">
        <v>31</v>
      </c>
      <c r="F191" t="s">
        <v>2507</v>
      </c>
      <c r="G191">
        <v>10</v>
      </c>
      <c r="I191" t="s">
        <v>2832</v>
      </c>
    </row>
    <row r="192" spans="1:9" x14ac:dyDescent="0.3">
      <c r="A192" t="s">
        <v>2833</v>
      </c>
      <c r="B192" t="s">
        <v>2502</v>
      </c>
      <c r="D192" t="s">
        <v>2506</v>
      </c>
      <c r="E192" t="s">
        <v>58</v>
      </c>
      <c r="F192" t="s">
        <v>2507</v>
      </c>
      <c r="G192">
        <v>4</v>
      </c>
      <c r="I192" t="s">
        <v>799</v>
      </c>
    </row>
    <row r="193" spans="1:9" x14ac:dyDescent="0.3">
      <c r="A193" t="s">
        <v>2834</v>
      </c>
      <c r="B193" t="s">
        <v>2519</v>
      </c>
      <c r="D193" t="s">
        <v>2506</v>
      </c>
      <c r="E193" t="s">
        <v>38</v>
      </c>
      <c r="F193" t="s">
        <v>2499</v>
      </c>
      <c r="G193">
        <v>14</v>
      </c>
      <c r="I193" t="s">
        <v>424</v>
      </c>
    </row>
    <row r="194" spans="1:9" x14ac:dyDescent="0.3">
      <c r="A194" t="s">
        <v>2835</v>
      </c>
      <c r="B194" t="s">
        <v>2607</v>
      </c>
      <c r="C194">
        <v>45</v>
      </c>
      <c r="D194" t="s">
        <v>2506</v>
      </c>
      <c r="E194" t="s">
        <v>58</v>
      </c>
      <c r="F194" t="s">
        <v>2499</v>
      </c>
      <c r="G194">
        <v>7</v>
      </c>
      <c r="I194" t="s">
        <v>818</v>
      </c>
    </row>
    <row r="195" spans="1:9" x14ac:dyDescent="0.3">
      <c r="A195" t="s">
        <v>2836</v>
      </c>
      <c r="B195" t="s">
        <v>2502</v>
      </c>
      <c r="C195">
        <v>30</v>
      </c>
      <c r="D195" t="s">
        <v>30</v>
      </c>
      <c r="E195" t="s">
        <v>21</v>
      </c>
      <c r="F195" t="s">
        <v>2503</v>
      </c>
      <c r="G195">
        <v>14</v>
      </c>
      <c r="H195">
        <v>9345.8700000000008</v>
      </c>
      <c r="I195" t="s">
        <v>2103</v>
      </c>
    </row>
    <row r="196" spans="1:9" x14ac:dyDescent="0.3">
      <c r="A196" t="s">
        <v>2837</v>
      </c>
      <c r="B196" t="s">
        <v>2519</v>
      </c>
      <c r="C196">
        <v>47</v>
      </c>
      <c r="D196" t="s">
        <v>2506</v>
      </c>
      <c r="E196" t="s">
        <v>38</v>
      </c>
      <c r="F196" t="s">
        <v>2499</v>
      </c>
      <c r="G196">
        <v>2</v>
      </c>
      <c r="H196">
        <v>16967.63</v>
      </c>
      <c r="I196" t="s">
        <v>2706</v>
      </c>
    </row>
    <row r="197" spans="1:9" x14ac:dyDescent="0.3">
      <c r="A197" t="s">
        <v>2838</v>
      </c>
      <c r="B197" t="s">
        <v>2498</v>
      </c>
      <c r="C197">
        <v>40</v>
      </c>
      <c r="D197" t="s">
        <v>2506</v>
      </c>
      <c r="E197" t="s">
        <v>31</v>
      </c>
      <c r="F197" t="s">
        <v>2507</v>
      </c>
      <c r="G197">
        <v>6</v>
      </c>
      <c r="I197" t="s">
        <v>2814</v>
      </c>
    </row>
    <row r="198" spans="1:9" x14ac:dyDescent="0.3">
      <c r="A198" t="s">
        <v>2839</v>
      </c>
      <c r="B198" t="s">
        <v>2564</v>
      </c>
      <c r="C198">
        <v>42</v>
      </c>
      <c r="D198" t="s">
        <v>30</v>
      </c>
      <c r="E198" t="s">
        <v>21</v>
      </c>
      <c r="F198" t="s">
        <v>2507</v>
      </c>
      <c r="G198">
        <v>17</v>
      </c>
      <c r="I198" t="s">
        <v>2840</v>
      </c>
    </row>
    <row r="199" spans="1:9" x14ac:dyDescent="0.3">
      <c r="A199" t="s">
        <v>2841</v>
      </c>
      <c r="B199" t="s">
        <v>2528</v>
      </c>
      <c r="D199" t="s">
        <v>30</v>
      </c>
      <c r="E199" t="s">
        <v>31</v>
      </c>
      <c r="F199" t="s">
        <v>2507</v>
      </c>
      <c r="G199">
        <v>7</v>
      </c>
      <c r="H199">
        <v>9312.81</v>
      </c>
      <c r="I199" t="s">
        <v>2842</v>
      </c>
    </row>
    <row r="200" spans="1:9" x14ac:dyDescent="0.3">
      <c r="A200" t="s">
        <v>2843</v>
      </c>
      <c r="B200" t="s">
        <v>2519</v>
      </c>
      <c r="D200" t="s">
        <v>2506</v>
      </c>
      <c r="E200" t="s">
        <v>21</v>
      </c>
      <c r="F200" t="s">
        <v>2503</v>
      </c>
      <c r="G200">
        <v>15</v>
      </c>
      <c r="I200" t="s">
        <v>2844</v>
      </c>
    </row>
    <row r="201" spans="1:9" x14ac:dyDescent="0.3">
      <c r="A201" t="s">
        <v>2845</v>
      </c>
      <c r="B201" t="s">
        <v>2607</v>
      </c>
      <c r="D201" t="s">
        <v>2506</v>
      </c>
      <c r="E201" t="s">
        <v>38</v>
      </c>
      <c r="F201" t="s">
        <v>2503</v>
      </c>
      <c r="G201">
        <v>1</v>
      </c>
      <c r="I201" t="s">
        <v>1585</v>
      </c>
    </row>
    <row r="202" spans="1:9" x14ac:dyDescent="0.3">
      <c r="A202" t="s">
        <v>2846</v>
      </c>
      <c r="B202" t="s">
        <v>2519</v>
      </c>
      <c r="C202">
        <v>49</v>
      </c>
      <c r="D202" t="s">
        <v>30</v>
      </c>
      <c r="E202" t="s">
        <v>38</v>
      </c>
      <c r="F202" t="s">
        <v>2499</v>
      </c>
      <c r="G202">
        <v>16</v>
      </c>
      <c r="I202" t="s">
        <v>2847</v>
      </c>
    </row>
    <row r="203" spans="1:9" x14ac:dyDescent="0.3">
      <c r="A203" t="s">
        <v>2848</v>
      </c>
      <c r="B203" t="s">
        <v>2519</v>
      </c>
      <c r="D203" t="s">
        <v>30</v>
      </c>
      <c r="E203" t="s">
        <v>58</v>
      </c>
      <c r="F203" t="s">
        <v>2499</v>
      </c>
      <c r="G203">
        <v>15</v>
      </c>
      <c r="I203" t="s">
        <v>2842</v>
      </c>
    </row>
    <row r="204" spans="1:9" x14ac:dyDescent="0.3">
      <c r="A204" t="s">
        <v>2849</v>
      </c>
      <c r="B204" t="s">
        <v>2505</v>
      </c>
      <c r="C204">
        <v>21</v>
      </c>
      <c r="D204" t="s">
        <v>2506</v>
      </c>
      <c r="E204" t="s">
        <v>38</v>
      </c>
      <c r="F204" t="s">
        <v>2499</v>
      </c>
      <c r="G204">
        <v>8</v>
      </c>
      <c r="I204" t="s">
        <v>2850</v>
      </c>
    </row>
    <row r="205" spans="1:9" x14ac:dyDescent="0.3">
      <c r="A205" t="s">
        <v>2851</v>
      </c>
      <c r="B205" t="s">
        <v>2564</v>
      </c>
      <c r="C205">
        <v>31</v>
      </c>
      <c r="D205" t="s">
        <v>2506</v>
      </c>
      <c r="E205" t="s">
        <v>31</v>
      </c>
      <c r="F205" t="s">
        <v>2507</v>
      </c>
      <c r="G205">
        <v>11</v>
      </c>
      <c r="I205" t="s">
        <v>313</v>
      </c>
    </row>
    <row r="206" spans="1:9" x14ac:dyDescent="0.3">
      <c r="A206" t="s">
        <v>2852</v>
      </c>
      <c r="B206" t="s">
        <v>2547</v>
      </c>
      <c r="D206" t="s">
        <v>2506</v>
      </c>
      <c r="E206" t="s">
        <v>31</v>
      </c>
      <c r="F206" t="s">
        <v>2507</v>
      </c>
      <c r="G206">
        <v>10</v>
      </c>
      <c r="H206">
        <v>9080.0499999999993</v>
      </c>
      <c r="I206" t="s">
        <v>2853</v>
      </c>
    </row>
    <row r="207" spans="1:9" x14ac:dyDescent="0.3">
      <c r="A207" t="s">
        <v>2854</v>
      </c>
      <c r="B207" t="s">
        <v>2528</v>
      </c>
      <c r="C207">
        <v>34</v>
      </c>
      <c r="D207" t="s">
        <v>30</v>
      </c>
      <c r="E207" t="s">
        <v>21</v>
      </c>
      <c r="F207" t="s">
        <v>2499</v>
      </c>
      <c r="G207">
        <v>11</v>
      </c>
      <c r="I207" t="s">
        <v>2569</v>
      </c>
    </row>
    <row r="208" spans="1:9" x14ac:dyDescent="0.3">
      <c r="A208" t="s">
        <v>2855</v>
      </c>
      <c r="B208" t="s">
        <v>2547</v>
      </c>
      <c r="D208" t="s">
        <v>30</v>
      </c>
      <c r="E208" t="s">
        <v>38</v>
      </c>
      <c r="F208" t="s">
        <v>2507</v>
      </c>
      <c r="G208">
        <v>5</v>
      </c>
      <c r="I208" t="s">
        <v>2856</v>
      </c>
    </row>
    <row r="209" spans="1:9" x14ac:dyDescent="0.3">
      <c r="A209" t="s">
        <v>2857</v>
      </c>
      <c r="B209" t="s">
        <v>2502</v>
      </c>
      <c r="D209" t="s">
        <v>2506</v>
      </c>
      <c r="E209" t="s">
        <v>31</v>
      </c>
      <c r="F209" t="s">
        <v>2499</v>
      </c>
      <c r="G209">
        <v>12</v>
      </c>
      <c r="H209">
        <v>16774.45</v>
      </c>
      <c r="I209" t="s">
        <v>2858</v>
      </c>
    </row>
    <row r="210" spans="1:9" x14ac:dyDescent="0.3">
      <c r="A210" t="s">
        <v>2859</v>
      </c>
      <c r="B210" t="s">
        <v>2505</v>
      </c>
      <c r="C210">
        <v>30</v>
      </c>
      <c r="D210" t="s">
        <v>2506</v>
      </c>
      <c r="E210" t="s">
        <v>31</v>
      </c>
      <c r="F210" t="s">
        <v>2503</v>
      </c>
      <c r="G210">
        <v>10</v>
      </c>
      <c r="H210">
        <v>12786.13</v>
      </c>
      <c r="I210" t="s">
        <v>2860</v>
      </c>
    </row>
    <row r="211" spans="1:9" x14ac:dyDescent="0.3">
      <c r="A211" t="s">
        <v>2861</v>
      </c>
      <c r="B211" t="s">
        <v>2564</v>
      </c>
      <c r="D211" t="s">
        <v>30</v>
      </c>
      <c r="E211" t="s">
        <v>31</v>
      </c>
      <c r="F211" t="s">
        <v>2507</v>
      </c>
      <c r="G211">
        <v>10</v>
      </c>
      <c r="H211">
        <v>11890.77</v>
      </c>
      <c r="I211" t="s">
        <v>2862</v>
      </c>
    </row>
    <row r="212" spans="1:9" x14ac:dyDescent="0.3">
      <c r="A212" t="s">
        <v>2863</v>
      </c>
      <c r="B212" t="s">
        <v>2528</v>
      </c>
      <c r="D212" t="s">
        <v>30</v>
      </c>
      <c r="E212" t="s">
        <v>58</v>
      </c>
      <c r="F212" t="s">
        <v>2503</v>
      </c>
      <c r="G212">
        <v>16</v>
      </c>
      <c r="H212">
        <v>3797.56</v>
      </c>
      <c r="I212" t="s">
        <v>2864</v>
      </c>
    </row>
    <row r="213" spans="1:9" x14ac:dyDescent="0.3">
      <c r="A213" t="s">
        <v>2865</v>
      </c>
      <c r="B213" t="s">
        <v>2528</v>
      </c>
      <c r="D213" t="s">
        <v>30</v>
      </c>
      <c r="E213" t="s">
        <v>31</v>
      </c>
      <c r="F213" t="s">
        <v>2499</v>
      </c>
      <c r="G213">
        <v>20</v>
      </c>
      <c r="H213">
        <v>11562.83</v>
      </c>
      <c r="I213" t="s">
        <v>2866</v>
      </c>
    </row>
    <row r="214" spans="1:9" x14ac:dyDescent="0.3">
      <c r="A214" t="s">
        <v>2867</v>
      </c>
      <c r="B214" t="s">
        <v>2519</v>
      </c>
      <c r="D214" t="s">
        <v>2506</v>
      </c>
      <c r="E214" t="s">
        <v>58</v>
      </c>
      <c r="F214" t="s">
        <v>2499</v>
      </c>
      <c r="G214">
        <v>10</v>
      </c>
      <c r="H214">
        <v>17205.900000000001</v>
      </c>
      <c r="I214" t="s">
        <v>2868</v>
      </c>
    </row>
    <row r="215" spans="1:9" x14ac:dyDescent="0.3">
      <c r="A215" t="s">
        <v>2869</v>
      </c>
      <c r="B215" t="s">
        <v>2498</v>
      </c>
      <c r="D215" t="s">
        <v>30</v>
      </c>
      <c r="E215" t="s">
        <v>58</v>
      </c>
      <c r="F215" t="s">
        <v>2503</v>
      </c>
      <c r="G215">
        <v>7</v>
      </c>
      <c r="H215">
        <v>19015.490000000002</v>
      </c>
      <c r="I215" t="s">
        <v>2870</v>
      </c>
    </row>
    <row r="216" spans="1:9" x14ac:dyDescent="0.3">
      <c r="A216" t="s">
        <v>2871</v>
      </c>
      <c r="B216" t="s">
        <v>2547</v>
      </c>
      <c r="C216">
        <v>18</v>
      </c>
      <c r="D216" t="s">
        <v>30</v>
      </c>
      <c r="E216" t="s">
        <v>38</v>
      </c>
      <c r="F216" t="s">
        <v>2503</v>
      </c>
      <c r="G216">
        <v>6</v>
      </c>
      <c r="H216">
        <v>18151.77</v>
      </c>
    </row>
    <row r="217" spans="1:9" x14ac:dyDescent="0.3">
      <c r="A217" t="s">
        <v>2872</v>
      </c>
      <c r="B217" t="s">
        <v>2498</v>
      </c>
      <c r="D217" t="s">
        <v>30</v>
      </c>
      <c r="E217" t="s">
        <v>38</v>
      </c>
      <c r="F217" t="s">
        <v>2507</v>
      </c>
      <c r="G217">
        <v>3</v>
      </c>
      <c r="H217">
        <v>5973.75</v>
      </c>
      <c r="I217" t="s">
        <v>2873</v>
      </c>
    </row>
    <row r="218" spans="1:9" x14ac:dyDescent="0.3">
      <c r="A218" t="s">
        <v>2874</v>
      </c>
      <c r="B218" t="s">
        <v>2512</v>
      </c>
      <c r="D218" t="s">
        <v>30</v>
      </c>
      <c r="E218" t="s">
        <v>38</v>
      </c>
      <c r="F218" t="s">
        <v>2507</v>
      </c>
      <c r="G218">
        <v>11</v>
      </c>
      <c r="I218" t="s">
        <v>2875</v>
      </c>
    </row>
    <row r="219" spans="1:9" x14ac:dyDescent="0.3">
      <c r="A219" t="s">
        <v>2876</v>
      </c>
      <c r="B219" t="s">
        <v>2528</v>
      </c>
      <c r="D219" t="s">
        <v>30</v>
      </c>
      <c r="E219" t="s">
        <v>21</v>
      </c>
      <c r="F219" t="s">
        <v>2499</v>
      </c>
      <c r="G219">
        <v>3</v>
      </c>
    </row>
    <row r="220" spans="1:9" x14ac:dyDescent="0.3">
      <c r="A220" t="s">
        <v>2877</v>
      </c>
      <c r="B220" t="s">
        <v>2547</v>
      </c>
      <c r="C220">
        <v>24</v>
      </c>
      <c r="D220" t="s">
        <v>30</v>
      </c>
      <c r="E220" t="s">
        <v>58</v>
      </c>
      <c r="F220" t="s">
        <v>2507</v>
      </c>
      <c r="G220">
        <v>19</v>
      </c>
      <c r="H220">
        <v>15218.36</v>
      </c>
      <c r="I220" t="s">
        <v>2097</v>
      </c>
    </row>
    <row r="221" spans="1:9" x14ac:dyDescent="0.3">
      <c r="A221" t="s">
        <v>2878</v>
      </c>
      <c r="B221" t="s">
        <v>2512</v>
      </c>
      <c r="C221">
        <v>42</v>
      </c>
      <c r="D221" t="s">
        <v>30</v>
      </c>
      <c r="E221" t="s">
        <v>58</v>
      </c>
      <c r="F221" t="s">
        <v>2499</v>
      </c>
      <c r="G221">
        <v>10</v>
      </c>
      <c r="I221" t="s">
        <v>449</v>
      </c>
    </row>
    <row r="222" spans="1:9" x14ac:dyDescent="0.3">
      <c r="A222" t="s">
        <v>2879</v>
      </c>
      <c r="B222" t="s">
        <v>2528</v>
      </c>
      <c r="D222" t="s">
        <v>30</v>
      </c>
      <c r="E222" t="s">
        <v>31</v>
      </c>
      <c r="F222" t="s">
        <v>2503</v>
      </c>
      <c r="G222">
        <v>7</v>
      </c>
      <c r="H222">
        <v>11272.39</v>
      </c>
      <c r="I222" t="s">
        <v>2880</v>
      </c>
    </row>
    <row r="223" spans="1:9" x14ac:dyDescent="0.3">
      <c r="A223" t="s">
        <v>2881</v>
      </c>
      <c r="B223" t="s">
        <v>2498</v>
      </c>
      <c r="D223" t="s">
        <v>2506</v>
      </c>
      <c r="E223" t="s">
        <v>58</v>
      </c>
      <c r="F223" t="s">
        <v>2499</v>
      </c>
      <c r="G223">
        <v>1</v>
      </c>
      <c r="I223" t="s">
        <v>2882</v>
      </c>
    </row>
    <row r="224" spans="1:9" x14ac:dyDescent="0.3">
      <c r="A224" t="s">
        <v>2883</v>
      </c>
      <c r="B224" t="s">
        <v>2607</v>
      </c>
      <c r="D224" t="s">
        <v>2506</v>
      </c>
      <c r="E224" t="s">
        <v>58</v>
      </c>
      <c r="F224" t="s">
        <v>2507</v>
      </c>
      <c r="G224">
        <v>10</v>
      </c>
      <c r="I224" t="s">
        <v>1157</v>
      </c>
    </row>
    <row r="225" spans="1:9" x14ac:dyDescent="0.3">
      <c r="A225" t="s">
        <v>2884</v>
      </c>
      <c r="B225" t="s">
        <v>2547</v>
      </c>
      <c r="D225" t="s">
        <v>2506</v>
      </c>
      <c r="E225" t="s">
        <v>21</v>
      </c>
      <c r="F225" t="s">
        <v>2503</v>
      </c>
      <c r="G225">
        <v>5</v>
      </c>
    </row>
    <row r="226" spans="1:9" x14ac:dyDescent="0.3">
      <c r="A226" t="s">
        <v>2885</v>
      </c>
      <c r="B226" t="s">
        <v>2564</v>
      </c>
      <c r="D226" t="s">
        <v>30</v>
      </c>
      <c r="E226" t="s">
        <v>58</v>
      </c>
      <c r="F226" t="s">
        <v>2499</v>
      </c>
      <c r="G226">
        <v>2</v>
      </c>
      <c r="I226" t="s">
        <v>2886</v>
      </c>
    </row>
    <row r="227" spans="1:9" x14ac:dyDescent="0.3">
      <c r="A227" t="s">
        <v>2887</v>
      </c>
      <c r="B227" t="s">
        <v>2498</v>
      </c>
      <c r="C227">
        <v>49</v>
      </c>
      <c r="D227" t="s">
        <v>2506</v>
      </c>
      <c r="E227" t="s">
        <v>58</v>
      </c>
      <c r="F227" t="s">
        <v>2503</v>
      </c>
      <c r="G227">
        <v>9</v>
      </c>
      <c r="I227" t="s">
        <v>2888</v>
      </c>
    </row>
    <row r="228" spans="1:9" x14ac:dyDescent="0.3">
      <c r="A228" t="s">
        <v>2889</v>
      </c>
      <c r="B228" t="s">
        <v>2547</v>
      </c>
      <c r="D228" t="s">
        <v>30</v>
      </c>
      <c r="E228" t="s">
        <v>31</v>
      </c>
      <c r="F228" t="s">
        <v>2507</v>
      </c>
      <c r="G228">
        <v>10</v>
      </c>
      <c r="H228">
        <v>7602.35</v>
      </c>
      <c r="I228" t="s">
        <v>1896</v>
      </c>
    </row>
    <row r="229" spans="1:9" x14ac:dyDescent="0.3">
      <c r="A229" t="s">
        <v>2890</v>
      </c>
      <c r="B229" t="s">
        <v>2607</v>
      </c>
      <c r="C229">
        <v>27</v>
      </c>
      <c r="D229" t="s">
        <v>30</v>
      </c>
      <c r="E229" t="s">
        <v>31</v>
      </c>
      <c r="F229" t="s">
        <v>2507</v>
      </c>
      <c r="G229">
        <v>2</v>
      </c>
      <c r="I229" t="s">
        <v>2516</v>
      </c>
    </row>
    <row r="230" spans="1:9" x14ac:dyDescent="0.3">
      <c r="A230" t="s">
        <v>2891</v>
      </c>
      <c r="B230" t="s">
        <v>2564</v>
      </c>
      <c r="C230">
        <v>21</v>
      </c>
      <c r="D230" t="s">
        <v>30</v>
      </c>
      <c r="E230" t="s">
        <v>31</v>
      </c>
      <c r="F230" t="s">
        <v>2507</v>
      </c>
      <c r="G230">
        <v>6</v>
      </c>
      <c r="I230" t="s">
        <v>1767</v>
      </c>
    </row>
    <row r="231" spans="1:9" x14ac:dyDescent="0.3">
      <c r="A231" t="s">
        <v>2892</v>
      </c>
      <c r="B231" t="s">
        <v>2547</v>
      </c>
      <c r="D231" t="s">
        <v>30</v>
      </c>
      <c r="E231" t="s">
        <v>31</v>
      </c>
      <c r="F231" t="s">
        <v>2507</v>
      </c>
      <c r="G231">
        <v>13</v>
      </c>
    </row>
    <row r="232" spans="1:9" x14ac:dyDescent="0.3">
      <c r="A232" t="s">
        <v>2893</v>
      </c>
      <c r="B232" t="s">
        <v>2564</v>
      </c>
      <c r="D232" t="s">
        <v>30</v>
      </c>
      <c r="E232" t="s">
        <v>38</v>
      </c>
      <c r="F232" t="s">
        <v>2507</v>
      </c>
      <c r="G232">
        <v>8</v>
      </c>
      <c r="H232">
        <v>17499.419999999998</v>
      </c>
      <c r="I232" t="s">
        <v>874</v>
      </c>
    </row>
    <row r="233" spans="1:9" x14ac:dyDescent="0.3">
      <c r="A233" t="s">
        <v>2894</v>
      </c>
      <c r="B233" t="s">
        <v>2512</v>
      </c>
      <c r="C233">
        <v>47</v>
      </c>
      <c r="D233" t="s">
        <v>2506</v>
      </c>
      <c r="E233" t="s">
        <v>38</v>
      </c>
      <c r="F233" t="s">
        <v>2503</v>
      </c>
      <c r="G233">
        <v>4</v>
      </c>
      <c r="I233" t="s">
        <v>792</v>
      </c>
    </row>
    <row r="234" spans="1:9" x14ac:dyDescent="0.3">
      <c r="A234" t="s">
        <v>2895</v>
      </c>
      <c r="B234" t="s">
        <v>2564</v>
      </c>
      <c r="D234" t="s">
        <v>30</v>
      </c>
      <c r="E234" t="s">
        <v>31</v>
      </c>
      <c r="F234" t="s">
        <v>2507</v>
      </c>
      <c r="G234">
        <v>4</v>
      </c>
      <c r="I234" t="s">
        <v>2896</v>
      </c>
    </row>
    <row r="235" spans="1:9" x14ac:dyDescent="0.3">
      <c r="A235" t="s">
        <v>2897</v>
      </c>
      <c r="B235" t="s">
        <v>2528</v>
      </c>
      <c r="D235" t="s">
        <v>2506</v>
      </c>
      <c r="E235" t="s">
        <v>21</v>
      </c>
      <c r="F235" t="s">
        <v>2499</v>
      </c>
      <c r="G235">
        <v>5</v>
      </c>
      <c r="I235" t="s">
        <v>2898</v>
      </c>
    </row>
    <row r="236" spans="1:9" x14ac:dyDescent="0.3">
      <c r="A236" t="s">
        <v>2899</v>
      </c>
      <c r="B236" t="s">
        <v>2547</v>
      </c>
      <c r="C236">
        <v>49</v>
      </c>
      <c r="D236" t="s">
        <v>30</v>
      </c>
      <c r="E236" t="s">
        <v>21</v>
      </c>
      <c r="F236" t="s">
        <v>2507</v>
      </c>
      <c r="G236">
        <v>4</v>
      </c>
      <c r="H236">
        <v>16593.11</v>
      </c>
      <c r="I236" t="s">
        <v>2900</v>
      </c>
    </row>
    <row r="237" spans="1:9" x14ac:dyDescent="0.3">
      <c r="A237" t="s">
        <v>2901</v>
      </c>
      <c r="B237" t="s">
        <v>2607</v>
      </c>
      <c r="C237">
        <v>39</v>
      </c>
      <c r="D237" t="s">
        <v>2506</v>
      </c>
      <c r="E237" t="s">
        <v>58</v>
      </c>
      <c r="F237" t="s">
        <v>2503</v>
      </c>
      <c r="G237">
        <v>3</v>
      </c>
      <c r="H237">
        <v>9349.02</v>
      </c>
      <c r="I237" t="s">
        <v>2902</v>
      </c>
    </row>
    <row r="238" spans="1:9" x14ac:dyDescent="0.3">
      <c r="A238" t="s">
        <v>2903</v>
      </c>
      <c r="B238" t="s">
        <v>2519</v>
      </c>
      <c r="D238" t="s">
        <v>2506</v>
      </c>
      <c r="E238" t="s">
        <v>38</v>
      </c>
      <c r="F238" t="s">
        <v>2503</v>
      </c>
      <c r="G238">
        <v>20</v>
      </c>
      <c r="H238">
        <v>17490.71</v>
      </c>
      <c r="I238" t="s">
        <v>2904</v>
      </c>
    </row>
    <row r="239" spans="1:9" x14ac:dyDescent="0.3">
      <c r="A239" t="s">
        <v>2905</v>
      </c>
      <c r="B239" t="s">
        <v>2505</v>
      </c>
      <c r="D239" t="s">
        <v>30</v>
      </c>
      <c r="E239" t="s">
        <v>21</v>
      </c>
      <c r="F239" t="s">
        <v>2503</v>
      </c>
      <c r="G239">
        <v>14</v>
      </c>
      <c r="H239">
        <v>18749.97</v>
      </c>
    </row>
    <row r="240" spans="1:9" x14ac:dyDescent="0.3">
      <c r="A240" t="s">
        <v>2906</v>
      </c>
      <c r="B240" t="s">
        <v>2505</v>
      </c>
      <c r="C240">
        <v>31</v>
      </c>
      <c r="D240" t="s">
        <v>30</v>
      </c>
      <c r="E240" t="s">
        <v>58</v>
      </c>
      <c r="F240" t="s">
        <v>2499</v>
      </c>
      <c r="G240">
        <v>5</v>
      </c>
    </row>
    <row r="241" spans="1:9" x14ac:dyDescent="0.3">
      <c r="A241" t="s">
        <v>2907</v>
      </c>
      <c r="B241" t="s">
        <v>2607</v>
      </c>
      <c r="D241" t="s">
        <v>2506</v>
      </c>
      <c r="E241" t="s">
        <v>31</v>
      </c>
      <c r="F241" t="s">
        <v>2503</v>
      </c>
      <c r="G241">
        <v>16</v>
      </c>
      <c r="H241">
        <v>4565.97</v>
      </c>
      <c r="I241" t="s">
        <v>711</v>
      </c>
    </row>
    <row r="242" spans="1:9" x14ac:dyDescent="0.3">
      <c r="A242" t="s">
        <v>2908</v>
      </c>
      <c r="B242" t="s">
        <v>2607</v>
      </c>
      <c r="D242" t="s">
        <v>30</v>
      </c>
      <c r="E242" t="s">
        <v>31</v>
      </c>
      <c r="F242" t="s">
        <v>2503</v>
      </c>
      <c r="G242">
        <v>13</v>
      </c>
      <c r="H242">
        <v>17998.45</v>
      </c>
      <c r="I242" t="s">
        <v>2909</v>
      </c>
    </row>
    <row r="243" spans="1:9" x14ac:dyDescent="0.3">
      <c r="A243" t="s">
        <v>2910</v>
      </c>
      <c r="B243" t="s">
        <v>2519</v>
      </c>
      <c r="C243">
        <v>51</v>
      </c>
      <c r="D243" t="s">
        <v>2506</v>
      </c>
      <c r="E243" t="s">
        <v>38</v>
      </c>
      <c r="F243" t="s">
        <v>2503</v>
      </c>
      <c r="G243">
        <v>3</v>
      </c>
      <c r="I243" t="s">
        <v>2911</v>
      </c>
    </row>
    <row r="244" spans="1:9" x14ac:dyDescent="0.3">
      <c r="A244" t="s">
        <v>2912</v>
      </c>
      <c r="B244" t="s">
        <v>2502</v>
      </c>
      <c r="C244">
        <v>44</v>
      </c>
      <c r="D244" t="s">
        <v>30</v>
      </c>
      <c r="E244" t="s">
        <v>58</v>
      </c>
      <c r="F244" t="s">
        <v>2503</v>
      </c>
      <c r="G244">
        <v>15</v>
      </c>
    </row>
    <row r="245" spans="1:9" x14ac:dyDescent="0.3">
      <c r="A245" t="s">
        <v>2913</v>
      </c>
      <c r="B245" t="s">
        <v>2498</v>
      </c>
      <c r="D245" t="s">
        <v>2506</v>
      </c>
      <c r="E245" t="s">
        <v>21</v>
      </c>
      <c r="F245" t="s">
        <v>2503</v>
      </c>
      <c r="G245">
        <v>12</v>
      </c>
    </row>
    <row r="246" spans="1:9" x14ac:dyDescent="0.3">
      <c r="A246" t="s">
        <v>2914</v>
      </c>
      <c r="B246" t="s">
        <v>2515</v>
      </c>
      <c r="C246">
        <v>24</v>
      </c>
      <c r="D246" t="s">
        <v>2506</v>
      </c>
      <c r="E246" t="s">
        <v>31</v>
      </c>
      <c r="F246" t="s">
        <v>2499</v>
      </c>
      <c r="G246">
        <v>5</v>
      </c>
      <c r="I246" t="s">
        <v>1982</v>
      </c>
    </row>
    <row r="247" spans="1:9" x14ac:dyDescent="0.3">
      <c r="A247" t="s">
        <v>2915</v>
      </c>
      <c r="B247" t="s">
        <v>2528</v>
      </c>
      <c r="D247" t="s">
        <v>2506</v>
      </c>
      <c r="E247" t="s">
        <v>58</v>
      </c>
      <c r="F247" t="s">
        <v>2507</v>
      </c>
      <c r="G247">
        <v>15</v>
      </c>
      <c r="I247" t="s">
        <v>2916</v>
      </c>
    </row>
    <row r="248" spans="1:9" x14ac:dyDescent="0.3">
      <c r="A248" t="s">
        <v>2917</v>
      </c>
      <c r="B248" t="s">
        <v>2564</v>
      </c>
      <c r="D248" t="s">
        <v>30</v>
      </c>
      <c r="E248" t="s">
        <v>21</v>
      </c>
      <c r="F248" t="s">
        <v>2507</v>
      </c>
      <c r="G248">
        <v>1</v>
      </c>
      <c r="H248">
        <v>6539.76</v>
      </c>
      <c r="I248" t="s">
        <v>2918</v>
      </c>
    </row>
    <row r="249" spans="1:9" x14ac:dyDescent="0.3">
      <c r="A249" t="s">
        <v>2919</v>
      </c>
      <c r="B249" t="s">
        <v>2564</v>
      </c>
      <c r="D249" t="s">
        <v>30</v>
      </c>
      <c r="E249" t="s">
        <v>21</v>
      </c>
      <c r="F249" t="s">
        <v>2503</v>
      </c>
      <c r="G249">
        <v>10</v>
      </c>
      <c r="I249" t="s">
        <v>945</v>
      </c>
    </row>
    <row r="250" spans="1:9" x14ac:dyDescent="0.3">
      <c r="A250" t="s">
        <v>2920</v>
      </c>
      <c r="B250" t="s">
        <v>2498</v>
      </c>
      <c r="D250" t="s">
        <v>30</v>
      </c>
      <c r="E250" t="s">
        <v>38</v>
      </c>
      <c r="F250" t="s">
        <v>2507</v>
      </c>
      <c r="G250">
        <v>7</v>
      </c>
      <c r="I250" t="s">
        <v>2921</v>
      </c>
    </row>
    <row r="251" spans="1:9" x14ac:dyDescent="0.3">
      <c r="A251" t="s">
        <v>2922</v>
      </c>
      <c r="B251" t="s">
        <v>2498</v>
      </c>
      <c r="D251" t="s">
        <v>2506</v>
      </c>
      <c r="E251" t="s">
        <v>21</v>
      </c>
      <c r="F251" t="s">
        <v>2499</v>
      </c>
      <c r="G251">
        <v>17</v>
      </c>
      <c r="H251">
        <v>3933.71</v>
      </c>
      <c r="I251" t="s">
        <v>2923</v>
      </c>
    </row>
    <row r="252" spans="1:9" x14ac:dyDescent="0.3">
      <c r="A252" t="s">
        <v>2924</v>
      </c>
      <c r="B252" t="s">
        <v>2505</v>
      </c>
      <c r="C252">
        <v>43</v>
      </c>
      <c r="D252" t="s">
        <v>30</v>
      </c>
      <c r="E252" t="s">
        <v>38</v>
      </c>
      <c r="F252" t="s">
        <v>2507</v>
      </c>
      <c r="G252">
        <v>10</v>
      </c>
    </row>
    <row r="253" spans="1:9" x14ac:dyDescent="0.3">
      <c r="A253" t="s">
        <v>2925</v>
      </c>
      <c r="B253" t="s">
        <v>2528</v>
      </c>
      <c r="D253" t="s">
        <v>30</v>
      </c>
      <c r="E253" t="s">
        <v>58</v>
      </c>
      <c r="F253" t="s">
        <v>2507</v>
      </c>
      <c r="G253">
        <v>17</v>
      </c>
      <c r="I253" t="s">
        <v>2926</v>
      </c>
    </row>
    <row r="254" spans="1:9" x14ac:dyDescent="0.3">
      <c r="A254" t="s">
        <v>2927</v>
      </c>
      <c r="B254" t="s">
        <v>2515</v>
      </c>
      <c r="C254">
        <v>45</v>
      </c>
      <c r="D254" t="s">
        <v>30</v>
      </c>
      <c r="E254" t="s">
        <v>21</v>
      </c>
      <c r="F254" t="s">
        <v>2507</v>
      </c>
      <c r="G254">
        <v>13</v>
      </c>
      <c r="H254">
        <v>12950.91</v>
      </c>
      <c r="I254" t="s">
        <v>2928</v>
      </c>
    </row>
    <row r="255" spans="1:9" x14ac:dyDescent="0.3">
      <c r="A255" t="s">
        <v>2929</v>
      </c>
      <c r="B255" t="s">
        <v>2519</v>
      </c>
      <c r="C255">
        <v>30</v>
      </c>
      <c r="D255" t="s">
        <v>30</v>
      </c>
      <c r="E255" t="s">
        <v>31</v>
      </c>
      <c r="F255" t="s">
        <v>2499</v>
      </c>
      <c r="G255">
        <v>11</v>
      </c>
      <c r="I255" t="s">
        <v>1892</v>
      </c>
    </row>
    <row r="256" spans="1:9" x14ac:dyDescent="0.3">
      <c r="A256" t="s">
        <v>2930</v>
      </c>
      <c r="B256" t="s">
        <v>2547</v>
      </c>
      <c r="C256">
        <v>40</v>
      </c>
      <c r="D256" t="s">
        <v>30</v>
      </c>
      <c r="E256" t="s">
        <v>58</v>
      </c>
      <c r="F256" t="s">
        <v>2507</v>
      </c>
      <c r="G256">
        <v>3</v>
      </c>
      <c r="H256">
        <v>10345.27</v>
      </c>
    </row>
    <row r="257" spans="1:9" x14ac:dyDescent="0.3">
      <c r="A257" t="s">
        <v>2931</v>
      </c>
      <c r="B257" t="s">
        <v>2498</v>
      </c>
      <c r="C257">
        <v>18</v>
      </c>
      <c r="D257" t="s">
        <v>2506</v>
      </c>
      <c r="E257" t="s">
        <v>21</v>
      </c>
      <c r="F257" t="s">
        <v>2503</v>
      </c>
      <c r="G257">
        <v>5</v>
      </c>
      <c r="H257">
        <v>8584.7900000000009</v>
      </c>
      <c r="I257" t="s">
        <v>2932</v>
      </c>
    </row>
    <row r="258" spans="1:9" x14ac:dyDescent="0.3">
      <c r="A258" t="s">
        <v>2933</v>
      </c>
      <c r="B258" t="s">
        <v>2519</v>
      </c>
      <c r="C258">
        <v>54</v>
      </c>
      <c r="D258" t="s">
        <v>2506</v>
      </c>
      <c r="E258" t="s">
        <v>21</v>
      </c>
      <c r="F258" t="s">
        <v>2499</v>
      </c>
      <c r="G258">
        <v>16</v>
      </c>
      <c r="H258">
        <v>9655.0300000000007</v>
      </c>
      <c r="I258" t="s">
        <v>2934</v>
      </c>
    </row>
    <row r="259" spans="1:9" x14ac:dyDescent="0.3">
      <c r="A259" t="s">
        <v>2935</v>
      </c>
      <c r="B259" t="s">
        <v>2547</v>
      </c>
      <c r="D259" t="s">
        <v>2506</v>
      </c>
      <c r="E259" t="s">
        <v>58</v>
      </c>
      <c r="F259" t="s">
        <v>2499</v>
      </c>
      <c r="G259">
        <v>5</v>
      </c>
      <c r="H259">
        <v>14073.5</v>
      </c>
    </row>
    <row r="260" spans="1:9" x14ac:dyDescent="0.3">
      <c r="A260" t="s">
        <v>2936</v>
      </c>
      <c r="B260" t="s">
        <v>2607</v>
      </c>
      <c r="C260">
        <v>52</v>
      </c>
      <c r="D260" t="s">
        <v>2506</v>
      </c>
      <c r="E260" t="s">
        <v>58</v>
      </c>
      <c r="F260" t="s">
        <v>2503</v>
      </c>
      <c r="G260">
        <v>11</v>
      </c>
      <c r="I260" t="s">
        <v>2937</v>
      </c>
    </row>
    <row r="261" spans="1:9" x14ac:dyDescent="0.3">
      <c r="A261" t="s">
        <v>2938</v>
      </c>
      <c r="B261" t="s">
        <v>2505</v>
      </c>
      <c r="C261">
        <v>39</v>
      </c>
      <c r="D261" t="s">
        <v>2506</v>
      </c>
      <c r="E261" t="s">
        <v>21</v>
      </c>
      <c r="F261" t="s">
        <v>2499</v>
      </c>
      <c r="G261">
        <v>6</v>
      </c>
      <c r="H261">
        <v>15593.46</v>
      </c>
    </row>
    <row r="262" spans="1:9" x14ac:dyDescent="0.3">
      <c r="A262" t="s">
        <v>2939</v>
      </c>
      <c r="B262" t="s">
        <v>2564</v>
      </c>
      <c r="D262" t="s">
        <v>30</v>
      </c>
      <c r="E262" t="s">
        <v>38</v>
      </c>
      <c r="F262" t="s">
        <v>2507</v>
      </c>
      <c r="G262">
        <v>15</v>
      </c>
      <c r="H262">
        <v>4051.64</v>
      </c>
      <c r="I262" t="s">
        <v>2940</v>
      </c>
    </row>
    <row r="263" spans="1:9" x14ac:dyDescent="0.3">
      <c r="A263" t="s">
        <v>2941</v>
      </c>
      <c r="B263" t="s">
        <v>2607</v>
      </c>
      <c r="C263">
        <v>39</v>
      </c>
      <c r="D263" t="s">
        <v>30</v>
      </c>
      <c r="E263" t="s">
        <v>31</v>
      </c>
      <c r="F263" t="s">
        <v>2499</v>
      </c>
      <c r="G263">
        <v>17</v>
      </c>
      <c r="H263">
        <v>14262.89</v>
      </c>
      <c r="I263" t="s">
        <v>2942</v>
      </c>
    </row>
    <row r="264" spans="1:9" x14ac:dyDescent="0.3">
      <c r="A264" t="s">
        <v>2943</v>
      </c>
      <c r="B264" t="s">
        <v>2505</v>
      </c>
      <c r="C264">
        <v>26</v>
      </c>
      <c r="D264" t="s">
        <v>2506</v>
      </c>
      <c r="E264" t="s">
        <v>58</v>
      </c>
      <c r="F264" t="s">
        <v>2503</v>
      </c>
      <c r="G264">
        <v>11</v>
      </c>
      <c r="I264" t="s">
        <v>2944</v>
      </c>
    </row>
    <row r="265" spans="1:9" x14ac:dyDescent="0.3">
      <c r="A265" t="s">
        <v>2945</v>
      </c>
      <c r="B265" t="s">
        <v>2564</v>
      </c>
      <c r="C265">
        <v>45</v>
      </c>
      <c r="D265" t="s">
        <v>30</v>
      </c>
      <c r="E265" t="s">
        <v>21</v>
      </c>
      <c r="F265" t="s">
        <v>2507</v>
      </c>
      <c r="G265">
        <v>10</v>
      </c>
      <c r="I265" t="s">
        <v>571</v>
      </c>
    </row>
    <row r="266" spans="1:9" x14ac:dyDescent="0.3">
      <c r="A266" t="s">
        <v>2946</v>
      </c>
      <c r="B266" t="s">
        <v>2515</v>
      </c>
      <c r="C266">
        <v>39</v>
      </c>
      <c r="D266" t="s">
        <v>2506</v>
      </c>
      <c r="E266" t="s">
        <v>21</v>
      </c>
      <c r="F266" t="s">
        <v>2503</v>
      </c>
      <c r="G266">
        <v>16</v>
      </c>
      <c r="I266" t="s">
        <v>606</v>
      </c>
    </row>
    <row r="267" spans="1:9" x14ac:dyDescent="0.3">
      <c r="A267" t="s">
        <v>2947</v>
      </c>
      <c r="B267" t="s">
        <v>2505</v>
      </c>
      <c r="C267">
        <v>39</v>
      </c>
      <c r="D267" t="s">
        <v>2506</v>
      </c>
      <c r="E267" t="s">
        <v>58</v>
      </c>
      <c r="F267" t="s">
        <v>2499</v>
      </c>
      <c r="G267">
        <v>13</v>
      </c>
      <c r="H267">
        <v>19334.14</v>
      </c>
      <c r="I267" t="s">
        <v>1707</v>
      </c>
    </row>
    <row r="268" spans="1:9" x14ac:dyDescent="0.3">
      <c r="A268" t="s">
        <v>2948</v>
      </c>
      <c r="B268" t="s">
        <v>2502</v>
      </c>
      <c r="C268">
        <v>38</v>
      </c>
      <c r="D268" t="s">
        <v>2506</v>
      </c>
      <c r="E268" t="s">
        <v>38</v>
      </c>
      <c r="F268" t="s">
        <v>2503</v>
      </c>
      <c r="G268">
        <v>10</v>
      </c>
      <c r="H268">
        <v>7135</v>
      </c>
      <c r="I268" t="s">
        <v>255</v>
      </c>
    </row>
    <row r="269" spans="1:9" x14ac:dyDescent="0.3">
      <c r="A269" t="s">
        <v>2949</v>
      </c>
      <c r="B269" t="s">
        <v>2498</v>
      </c>
      <c r="C269">
        <v>29</v>
      </c>
      <c r="D269" t="s">
        <v>30</v>
      </c>
      <c r="E269" t="s">
        <v>38</v>
      </c>
      <c r="F269" t="s">
        <v>2499</v>
      </c>
      <c r="G269">
        <v>14</v>
      </c>
      <c r="I269" t="s">
        <v>2950</v>
      </c>
    </row>
    <row r="270" spans="1:9" x14ac:dyDescent="0.3">
      <c r="A270" t="s">
        <v>2951</v>
      </c>
      <c r="B270" t="s">
        <v>2519</v>
      </c>
      <c r="D270" t="s">
        <v>2506</v>
      </c>
      <c r="E270" t="s">
        <v>58</v>
      </c>
      <c r="F270" t="s">
        <v>2499</v>
      </c>
      <c r="G270">
        <v>10</v>
      </c>
      <c r="I270" t="s">
        <v>456</v>
      </c>
    </row>
    <row r="271" spans="1:9" x14ac:dyDescent="0.3">
      <c r="A271" t="s">
        <v>2952</v>
      </c>
      <c r="B271" t="s">
        <v>2564</v>
      </c>
      <c r="D271" t="s">
        <v>2506</v>
      </c>
      <c r="E271" t="s">
        <v>31</v>
      </c>
      <c r="F271" t="s">
        <v>2507</v>
      </c>
      <c r="G271">
        <v>20</v>
      </c>
      <c r="I271" t="s">
        <v>2095</v>
      </c>
    </row>
    <row r="272" spans="1:9" x14ac:dyDescent="0.3">
      <c r="A272" t="s">
        <v>2953</v>
      </c>
      <c r="B272" t="s">
        <v>2519</v>
      </c>
      <c r="D272" t="s">
        <v>2506</v>
      </c>
      <c r="E272" t="s">
        <v>38</v>
      </c>
      <c r="F272" t="s">
        <v>2499</v>
      </c>
      <c r="G272">
        <v>8</v>
      </c>
      <c r="H272">
        <v>19812.68</v>
      </c>
      <c r="I272" t="s">
        <v>587</v>
      </c>
    </row>
    <row r="273" spans="1:9" x14ac:dyDescent="0.3">
      <c r="A273" t="s">
        <v>2954</v>
      </c>
      <c r="B273" t="s">
        <v>2515</v>
      </c>
      <c r="D273" t="s">
        <v>2506</v>
      </c>
      <c r="E273" t="s">
        <v>58</v>
      </c>
      <c r="F273" t="s">
        <v>2507</v>
      </c>
      <c r="G273">
        <v>7</v>
      </c>
      <c r="H273">
        <v>9247.61</v>
      </c>
      <c r="I273" t="s">
        <v>2955</v>
      </c>
    </row>
    <row r="274" spans="1:9" x14ac:dyDescent="0.3">
      <c r="A274" t="s">
        <v>2956</v>
      </c>
      <c r="B274" t="s">
        <v>2498</v>
      </c>
      <c r="D274" t="s">
        <v>2506</v>
      </c>
      <c r="E274" t="s">
        <v>38</v>
      </c>
      <c r="F274" t="s">
        <v>2507</v>
      </c>
      <c r="G274">
        <v>15</v>
      </c>
      <c r="H274">
        <v>18285.32</v>
      </c>
      <c r="I274" t="s">
        <v>285</v>
      </c>
    </row>
    <row r="275" spans="1:9" x14ac:dyDescent="0.3">
      <c r="A275" t="s">
        <v>2957</v>
      </c>
      <c r="B275" t="s">
        <v>2505</v>
      </c>
      <c r="D275" t="s">
        <v>2506</v>
      </c>
      <c r="E275" t="s">
        <v>31</v>
      </c>
      <c r="F275" t="s">
        <v>2503</v>
      </c>
      <c r="G275">
        <v>1</v>
      </c>
      <c r="H275">
        <v>8202.81</v>
      </c>
      <c r="I275" t="s">
        <v>2944</v>
      </c>
    </row>
    <row r="276" spans="1:9" x14ac:dyDescent="0.3">
      <c r="A276" t="s">
        <v>2958</v>
      </c>
      <c r="B276" t="s">
        <v>2607</v>
      </c>
      <c r="D276" t="s">
        <v>2506</v>
      </c>
      <c r="E276" t="s">
        <v>21</v>
      </c>
      <c r="F276" t="s">
        <v>2507</v>
      </c>
      <c r="G276">
        <v>15</v>
      </c>
      <c r="H276">
        <v>14732.64</v>
      </c>
      <c r="I276" t="s">
        <v>2850</v>
      </c>
    </row>
    <row r="277" spans="1:9" x14ac:dyDescent="0.3">
      <c r="A277" t="s">
        <v>2959</v>
      </c>
      <c r="B277" t="s">
        <v>2512</v>
      </c>
      <c r="C277">
        <v>52</v>
      </c>
      <c r="D277" t="s">
        <v>30</v>
      </c>
      <c r="E277" t="s">
        <v>38</v>
      </c>
      <c r="F277" t="s">
        <v>2499</v>
      </c>
      <c r="G277">
        <v>2</v>
      </c>
      <c r="H277">
        <v>3385.23</v>
      </c>
      <c r="I277" t="s">
        <v>2960</v>
      </c>
    </row>
    <row r="278" spans="1:9" x14ac:dyDescent="0.3">
      <c r="A278" t="s">
        <v>2961</v>
      </c>
      <c r="B278" t="s">
        <v>2528</v>
      </c>
      <c r="C278">
        <v>54</v>
      </c>
      <c r="D278" t="s">
        <v>2506</v>
      </c>
      <c r="E278" t="s">
        <v>21</v>
      </c>
      <c r="F278" t="s">
        <v>2507</v>
      </c>
      <c r="G278">
        <v>2</v>
      </c>
      <c r="I278" t="s">
        <v>2103</v>
      </c>
    </row>
    <row r="279" spans="1:9" x14ac:dyDescent="0.3">
      <c r="A279" t="s">
        <v>2962</v>
      </c>
      <c r="B279" t="s">
        <v>2547</v>
      </c>
      <c r="D279" t="s">
        <v>30</v>
      </c>
      <c r="E279" t="s">
        <v>38</v>
      </c>
      <c r="F279" t="s">
        <v>2499</v>
      </c>
      <c r="G279">
        <v>14</v>
      </c>
      <c r="H279">
        <v>10451.280000000001</v>
      </c>
      <c r="I279" t="s">
        <v>2963</v>
      </c>
    </row>
    <row r="280" spans="1:9" x14ac:dyDescent="0.3">
      <c r="A280" t="s">
        <v>2964</v>
      </c>
      <c r="B280" t="s">
        <v>2512</v>
      </c>
      <c r="C280">
        <v>37</v>
      </c>
      <c r="D280" t="s">
        <v>30</v>
      </c>
      <c r="E280" t="s">
        <v>58</v>
      </c>
      <c r="F280" t="s">
        <v>2507</v>
      </c>
      <c r="G280">
        <v>12</v>
      </c>
      <c r="I280" t="s">
        <v>1103</v>
      </c>
    </row>
    <row r="281" spans="1:9" x14ac:dyDescent="0.3">
      <c r="A281" t="s">
        <v>2965</v>
      </c>
      <c r="B281" t="s">
        <v>2512</v>
      </c>
      <c r="C281">
        <v>21</v>
      </c>
      <c r="D281" t="s">
        <v>2506</v>
      </c>
      <c r="E281" t="s">
        <v>21</v>
      </c>
      <c r="F281" t="s">
        <v>2503</v>
      </c>
      <c r="G281">
        <v>13</v>
      </c>
      <c r="I281" t="s">
        <v>868</v>
      </c>
    </row>
    <row r="282" spans="1:9" x14ac:dyDescent="0.3">
      <c r="A282" t="s">
        <v>2966</v>
      </c>
      <c r="B282" t="s">
        <v>2547</v>
      </c>
      <c r="C282">
        <v>30</v>
      </c>
      <c r="D282" t="s">
        <v>30</v>
      </c>
      <c r="E282" t="s">
        <v>21</v>
      </c>
      <c r="F282" t="s">
        <v>2503</v>
      </c>
      <c r="G282">
        <v>19</v>
      </c>
      <c r="H282">
        <v>5107.3999999999996</v>
      </c>
      <c r="I282" t="s">
        <v>2967</v>
      </c>
    </row>
    <row r="283" spans="1:9" x14ac:dyDescent="0.3">
      <c r="A283" t="s">
        <v>2968</v>
      </c>
      <c r="B283" t="s">
        <v>2607</v>
      </c>
      <c r="D283" t="s">
        <v>30</v>
      </c>
      <c r="E283" t="s">
        <v>58</v>
      </c>
      <c r="F283" t="s">
        <v>2507</v>
      </c>
      <c r="G283">
        <v>18</v>
      </c>
      <c r="I283" t="s">
        <v>2969</v>
      </c>
    </row>
    <row r="284" spans="1:9" x14ac:dyDescent="0.3">
      <c r="A284" t="s">
        <v>2970</v>
      </c>
      <c r="B284" t="s">
        <v>2502</v>
      </c>
      <c r="D284" t="s">
        <v>2506</v>
      </c>
      <c r="E284" t="s">
        <v>31</v>
      </c>
      <c r="F284" t="s">
        <v>2507</v>
      </c>
      <c r="G284">
        <v>2</v>
      </c>
      <c r="H284">
        <v>4651.72</v>
      </c>
      <c r="I284" t="s">
        <v>1793</v>
      </c>
    </row>
    <row r="285" spans="1:9" x14ac:dyDescent="0.3">
      <c r="A285" t="s">
        <v>2971</v>
      </c>
      <c r="B285" t="s">
        <v>2528</v>
      </c>
      <c r="C285">
        <v>40</v>
      </c>
      <c r="D285" t="s">
        <v>30</v>
      </c>
      <c r="E285" t="s">
        <v>21</v>
      </c>
      <c r="F285" t="s">
        <v>2507</v>
      </c>
      <c r="G285">
        <v>8</v>
      </c>
      <c r="I285" t="s">
        <v>2972</v>
      </c>
    </row>
    <row r="286" spans="1:9" x14ac:dyDescent="0.3">
      <c r="A286" t="s">
        <v>2973</v>
      </c>
      <c r="B286" t="s">
        <v>2515</v>
      </c>
      <c r="D286" t="s">
        <v>30</v>
      </c>
      <c r="E286" t="s">
        <v>21</v>
      </c>
      <c r="F286" t="s">
        <v>2507</v>
      </c>
      <c r="G286">
        <v>5</v>
      </c>
      <c r="I286" t="s">
        <v>2974</v>
      </c>
    </row>
    <row r="287" spans="1:9" x14ac:dyDescent="0.3">
      <c r="A287" t="s">
        <v>2975</v>
      </c>
      <c r="B287" t="s">
        <v>2528</v>
      </c>
      <c r="C287">
        <v>37</v>
      </c>
      <c r="D287" t="s">
        <v>30</v>
      </c>
      <c r="E287" t="s">
        <v>58</v>
      </c>
      <c r="F287" t="s">
        <v>2507</v>
      </c>
      <c r="G287">
        <v>13</v>
      </c>
      <c r="H287">
        <v>17319.310000000001</v>
      </c>
      <c r="I287" t="s">
        <v>2976</v>
      </c>
    </row>
    <row r="288" spans="1:9" x14ac:dyDescent="0.3">
      <c r="A288" t="s">
        <v>2977</v>
      </c>
      <c r="B288" t="s">
        <v>2512</v>
      </c>
      <c r="C288">
        <v>31</v>
      </c>
      <c r="D288" t="s">
        <v>30</v>
      </c>
      <c r="E288" t="s">
        <v>58</v>
      </c>
      <c r="F288" t="s">
        <v>2499</v>
      </c>
      <c r="G288">
        <v>13</v>
      </c>
      <c r="H288">
        <v>15770.46</v>
      </c>
      <c r="I288" t="s">
        <v>2543</v>
      </c>
    </row>
    <row r="289" spans="1:9" x14ac:dyDescent="0.3">
      <c r="A289" t="s">
        <v>2978</v>
      </c>
      <c r="B289" t="s">
        <v>2519</v>
      </c>
      <c r="D289" t="s">
        <v>30</v>
      </c>
      <c r="E289" t="s">
        <v>31</v>
      </c>
      <c r="F289" t="s">
        <v>2503</v>
      </c>
      <c r="G289">
        <v>12</v>
      </c>
      <c r="I289" t="s">
        <v>1287</v>
      </c>
    </row>
    <row r="290" spans="1:9" x14ac:dyDescent="0.3">
      <c r="A290" t="s">
        <v>2979</v>
      </c>
      <c r="B290" t="s">
        <v>2607</v>
      </c>
      <c r="D290" t="s">
        <v>30</v>
      </c>
      <c r="E290" t="s">
        <v>38</v>
      </c>
      <c r="F290" t="s">
        <v>2499</v>
      </c>
      <c r="G290">
        <v>11</v>
      </c>
      <c r="I290" t="s">
        <v>2980</v>
      </c>
    </row>
    <row r="291" spans="1:9" x14ac:dyDescent="0.3">
      <c r="A291" t="s">
        <v>2981</v>
      </c>
      <c r="B291" t="s">
        <v>2564</v>
      </c>
      <c r="C291">
        <v>25</v>
      </c>
      <c r="D291" t="s">
        <v>30</v>
      </c>
      <c r="E291" t="s">
        <v>21</v>
      </c>
      <c r="F291" t="s">
        <v>2503</v>
      </c>
      <c r="G291">
        <v>1</v>
      </c>
      <c r="H291">
        <v>11379.24</v>
      </c>
      <c r="I291" t="s">
        <v>606</v>
      </c>
    </row>
    <row r="292" spans="1:9" x14ac:dyDescent="0.3">
      <c r="A292" t="s">
        <v>2982</v>
      </c>
      <c r="B292" t="s">
        <v>2564</v>
      </c>
      <c r="D292" t="s">
        <v>30</v>
      </c>
      <c r="E292" t="s">
        <v>38</v>
      </c>
      <c r="F292" t="s">
        <v>2507</v>
      </c>
      <c r="G292">
        <v>9</v>
      </c>
      <c r="H292">
        <v>5798.57</v>
      </c>
      <c r="I292" t="s">
        <v>2983</v>
      </c>
    </row>
    <row r="293" spans="1:9" x14ac:dyDescent="0.3">
      <c r="A293" t="s">
        <v>2984</v>
      </c>
      <c r="B293" t="s">
        <v>2512</v>
      </c>
      <c r="C293">
        <v>30</v>
      </c>
      <c r="D293" t="s">
        <v>30</v>
      </c>
      <c r="E293" t="s">
        <v>58</v>
      </c>
      <c r="F293" t="s">
        <v>2503</v>
      </c>
      <c r="G293">
        <v>4</v>
      </c>
      <c r="I293" t="s">
        <v>665</v>
      </c>
    </row>
    <row r="294" spans="1:9" x14ac:dyDescent="0.3">
      <c r="A294" t="s">
        <v>2985</v>
      </c>
      <c r="B294" t="s">
        <v>2498</v>
      </c>
      <c r="C294">
        <v>49</v>
      </c>
      <c r="D294" t="s">
        <v>2506</v>
      </c>
      <c r="E294" t="s">
        <v>31</v>
      </c>
      <c r="F294" t="s">
        <v>2499</v>
      </c>
      <c r="G294">
        <v>11</v>
      </c>
      <c r="I294" t="s">
        <v>2986</v>
      </c>
    </row>
    <row r="295" spans="1:9" x14ac:dyDescent="0.3">
      <c r="A295" t="s">
        <v>2987</v>
      </c>
      <c r="B295" t="s">
        <v>2607</v>
      </c>
      <c r="C295">
        <v>21</v>
      </c>
      <c r="D295" t="s">
        <v>2506</v>
      </c>
      <c r="E295" t="s">
        <v>38</v>
      </c>
      <c r="F295" t="s">
        <v>2499</v>
      </c>
      <c r="G295">
        <v>3</v>
      </c>
      <c r="H295">
        <v>18130.740000000002</v>
      </c>
    </row>
    <row r="296" spans="1:9" x14ac:dyDescent="0.3">
      <c r="A296" t="s">
        <v>2988</v>
      </c>
      <c r="B296" t="s">
        <v>2607</v>
      </c>
      <c r="D296" t="s">
        <v>2506</v>
      </c>
      <c r="E296" t="s">
        <v>58</v>
      </c>
      <c r="F296" t="s">
        <v>2507</v>
      </c>
      <c r="G296">
        <v>3</v>
      </c>
      <c r="H296">
        <v>8990.09</v>
      </c>
      <c r="I296" t="s">
        <v>2989</v>
      </c>
    </row>
    <row r="297" spans="1:9" x14ac:dyDescent="0.3">
      <c r="A297" t="s">
        <v>2990</v>
      </c>
      <c r="B297" t="s">
        <v>2505</v>
      </c>
      <c r="D297" t="s">
        <v>30</v>
      </c>
      <c r="E297" t="s">
        <v>21</v>
      </c>
      <c r="F297" t="s">
        <v>2507</v>
      </c>
      <c r="G297">
        <v>15</v>
      </c>
      <c r="H297">
        <v>7497.72</v>
      </c>
      <c r="I297" t="s">
        <v>1845</v>
      </c>
    </row>
    <row r="298" spans="1:9" x14ac:dyDescent="0.3">
      <c r="A298" t="s">
        <v>2991</v>
      </c>
      <c r="B298" t="s">
        <v>2505</v>
      </c>
      <c r="C298">
        <v>22</v>
      </c>
      <c r="D298" t="s">
        <v>30</v>
      </c>
      <c r="E298" t="s">
        <v>38</v>
      </c>
      <c r="F298" t="s">
        <v>2507</v>
      </c>
      <c r="G298">
        <v>3</v>
      </c>
      <c r="H298">
        <v>6646.04</v>
      </c>
    </row>
    <row r="299" spans="1:9" x14ac:dyDescent="0.3">
      <c r="A299" t="s">
        <v>2992</v>
      </c>
      <c r="B299" t="s">
        <v>2528</v>
      </c>
      <c r="D299" t="s">
        <v>30</v>
      </c>
      <c r="E299" t="s">
        <v>31</v>
      </c>
      <c r="F299" t="s">
        <v>2507</v>
      </c>
      <c r="G299">
        <v>1</v>
      </c>
      <c r="I299" t="s">
        <v>2993</v>
      </c>
    </row>
    <row r="300" spans="1:9" x14ac:dyDescent="0.3">
      <c r="A300" t="s">
        <v>2994</v>
      </c>
      <c r="B300" t="s">
        <v>2515</v>
      </c>
      <c r="C300">
        <v>21</v>
      </c>
      <c r="D300" t="s">
        <v>2506</v>
      </c>
      <c r="E300" t="s">
        <v>38</v>
      </c>
      <c r="F300" t="s">
        <v>2503</v>
      </c>
      <c r="G300">
        <v>4</v>
      </c>
      <c r="I300" t="s">
        <v>2995</v>
      </c>
    </row>
    <row r="301" spans="1:9" x14ac:dyDescent="0.3">
      <c r="A301" t="s">
        <v>2996</v>
      </c>
      <c r="B301" t="s">
        <v>2498</v>
      </c>
      <c r="D301" t="s">
        <v>30</v>
      </c>
      <c r="E301" t="s">
        <v>58</v>
      </c>
      <c r="F301" t="s">
        <v>2499</v>
      </c>
      <c r="G301">
        <v>13</v>
      </c>
      <c r="H301">
        <v>16712.53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D93DBD-A235-4EB6-9BD6-2B27E9F05E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1</vt:lpstr>
      <vt:lpstr>product</vt:lpstr>
      <vt:lpstr>customer</vt:lpstr>
      <vt:lpstr>Sales_Data</vt:lpstr>
      <vt:lpstr>Product_Master</vt:lpstr>
      <vt:lpstr>SHOES</vt:lpstr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D</cp:lastModifiedBy>
  <dcterms:created xsi:type="dcterms:W3CDTF">2025-11-13T06:20:13Z</dcterms:created>
  <dcterms:modified xsi:type="dcterms:W3CDTF">2025-11-14T17:06:52Z</dcterms:modified>
</cp:coreProperties>
</file>